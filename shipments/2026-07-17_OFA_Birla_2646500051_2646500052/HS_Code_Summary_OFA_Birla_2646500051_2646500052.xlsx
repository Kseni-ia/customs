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Položky (detail)" sheetId="2" state="visible" r:id="rId2"/>
    <sheet name="Dokumenty a poznámk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5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sz val="10"/>
    </font>
    <font>
      <b val="1"/>
      <color rgb="00FFFFFF"/>
      <sz val="1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164" fontId="0" fillId="3" borderId="1" pivotButton="0" quotePrefix="0" xfId="0"/>
    <xf numFmtId="4" fontId="0" fillId="3" borderId="1" pivotButton="0" quotePrefix="0" xfId="0"/>
    <xf numFmtId="0" fontId="2" fillId="4" borderId="1" pivotButton="0" quotePrefix="0" xfId="0"/>
    <xf numFmtId="0" fontId="0" fillId="4" borderId="1" pivotButton="0" quotePrefix="0" xfId="0"/>
    <xf numFmtId="164" fontId="2" fillId="4" borderId="1" pivotButton="0" quotePrefix="0" xfId="0"/>
    <xf numFmtId="4" fontId="2" fillId="4" borderId="1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4" fontId="0" fillId="0" borderId="1" pivotButton="0" quotePrefix="0" xfId="0"/>
    <xf numFmtId="0" fontId="2" fillId="4" borderId="0" pivotButton="0" quotePrefix="0" xfId="0"/>
    <xf numFmtId="164" fontId="2" fillId="4" borderId="0" pivotButton="0" quotePrefix="0" xfId="0"/>
    <xf numFmtId="4" fontId="2" fillId="4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0" customWidth="1" min="3" max="3"/>
    <col width="16" customWidth="1" min="4" max="4"/>
    <col width="14" customWidth="1" min="5" max="5"/>
    <col width="14" customWidth="1" min="6" max="6"/>
    <col width="16" customWidth="1" min="7" max="7"/>
    <col width="12" customWidth="1" min="8" max="8"/>
    <col width="60" customWidth="1" min="9" max="9"/>
  </cols>
  <sheetData>
    <row r="1">
      <c r="A1" s="1" t="inlineStr">
        <is>
          <t>Souhrn HS kódů</t>
        </is>
      </c>
      <c r="B1" s="1" t="inlineStr">
        <is>
          <t>JSD 2 ze 2 – odesílatel BIRLA CABLE LTD</t>
        </is>
      </c>
    </row>
    <row r="2">
      <c r="A2" s="2" t="inlineStr">
        <is>
          <t>Příjemce (dovozce):</t>
        </is>
      </c>
      <c r="B2" t="inlineStr">
        <is>
          <t>OFA s.r.o., P3 Logistic Park – hall A5, Sezemická 2872/10, 193 00 Praha 9 – Horní Počernice; IČO 26504057, DIČ CZ26504057</t>
        </is>
      </c>
    </row>
    <row r="3">
      <c r="A3" s="2" t="inlineStr">
        <is>
          <t>Odesílatel (vývozce):</t>
        </is>
      </c>
      <c r="B3" t="inlineStr">
        <is>
          <t>BIRLA CABLE LTD, Udyog Vihar, P.O. Chorhata, Rewa – 486006, Indie (IEC 1192001401)</t>
        </is>
      </c>
    </row>
    <row r="4">
      <c r="A4" s="2" t="inlineStr">
        <is>
          <t>Faktura(y):</t>
        </is>
      </c>
      <c r="B4" t="inlineStr">
        <is>
          <t>2646500051 (PO OVZ-117/2026) + 2646500052 (PO OVZ-116/2026), obě ze dne 27.05.2026</t>
        </is>
      </c>
    </row>
    <row r="5">
      <c r="A5" s="2" t="inlineStr">
        <is>
          <t>Konosament (B/L):</t>
        </is>
      </c>
      <c r="B5" t="inlineStr">
        <is>
          <t>4155132P9511</t>
        </is>
      </c>
    </row>
    <row r="6">
      <c r="A6" s="2" t="inlineStr">
        <is>
          <t>Vývozní deklarace (Shipping Bill):</t>
        </is>
      </c>
      <c r="B6" t="inlineStr">
        <is>
          <t>3681971 ze dne 29.05.2026</t>
        </is>
      </c>
    </row>
    <row r="7">
      <c r="A7" s="2" t="inlineStr">
        <is>
          <t>Kontejner:</t>
        </is>
      </c>
      <c r="B7" t="inlineStr">
        <is>
          <t>TGBU 876379-2</t>
        </is>
      </c>
    </row>
    <row r="8">
      <c r="A8" s="2" t="inlineStr">
        <is>
          <t>Počet nákladových kusů:</t>
        </is>
      </c>
      <c r="B8" t="inlineStr">
        <is>
          <t>53 bubnů (30 + 23)</t>
        </is>
      </c>
    </row>
    <row r="9">
      <c r="A9" s="2" t="inlineStr">
        <is>
          <t>Země původu:</t>
        </is>
      </c>
      <c r="B9" t="inlineStr">
        <is>
          <t>Indie (nepreferenční)</t>
        </is>
      </c>
    </row>
    <row r="11">
      <c r="A11" s="3" t="inlineStr">
        <is>
          <t>HS kód</t>
        </is>
      </c>
      <c r="B11" s="3" t="inlineStr">
        <is>
          <t>Popis zboží (CZ)</t>
        </is>
      </c>
      <c r="C11" s="3" t="inlineStr">
        <is>
          <t>Země původu (COO)</t>
        </is>
      </c>
      <c r="D11" s="3" t="inlineStr">
        <is>
          <t>Celkové množství (kabelové km)</t>
        </is>
      </c>
      <c r="E11" s="3" t="inlineStr">
        <is>
          <t>Čistá hmotnost (kg)</t>
        </is>
      </c>
      <c r="F11" s="3" t="inlineStr">
        <is>
          <t>Hrubá hmotnost (kg)</t>
        </is>
      </c>
      <c r="G11" s="3" t="inlineStr">
        <is>
          <t>Celní hodnota USD (FOB)</t>
        </is>
      </c>
      <c r="H11" s="3" t="inlineStr">
        <is>
          <t>Příznak</t>
        </is>
      </c>
      <c r="I11" s="3" t="inlineStr">
        <is>
          <t>TARIC / poznámka / CBAM / Antidumping</t>
        </is>
      </c>
    </row>
    <row r="12">
      <c r="A12" s="4" t="inlineStr">
        <is>
          <t>8544700010</t>
        </is>
      </c>
      <c r="B12" s="5" t="inlineStr">
        <is>
          <t>Optický kabel vyrobený z více jednovidových optických vláken, kde vlákna mají dvouvrstvou akrylátovou ochranu (každé jednotlivě) a jsou uložené v ochranném obalu, vlákna nejsou okonektorovaná</t>
        </is>
      </c>
      <c r="C12" s="4" t="inlineStr">
        <is>
          <t>IN</t>
        </is>
      </c>
      <c r="D12" s="6" t="n">
        <v>263.403</v>
      </c>
      <c r="E12" s="6" t="n">
        <v>13189</v>
      </c>
      <c r="F12" s="6" t="n">
        <v>17618</v>
      </c>
      <c r="G12" s="7" t="n">
        <v>234511.57</v>
      </c>
      <c r="H12" s="4" t="inlineStr">
        <is>
          <t>ANTIDUMPING</t>
        </is>
      </c>
      <c r="I12" s="5" t="inlineStr">
        <is>
          <t>Antidump. clo (EU) 2025/1985, příd. kód TARIC 89CF = 5,4 %. CBAM se netýká. Bez preferenční věty → clo 3. země ~2,7 %.</t>
        </is>
      </c>
    </row>
    <row r="13">
      <c r="A13" s="8" t="inlineStr">
        <is>
          <t>CELKEM</t>
        </is>
      </c>
      <c r="B13" s="9" t="n"/>
      <c r="C13" s="9" t="n"/>
      <c r="D13" s="10" t="n">
        <v>263.403</v>
      </c>
      <c r="E13" s="10" t="n">
        <v>13189</v>
      </c>
      <c r="F13" s="10" t="n">
        <v>17618</v>
      </c>
      <c r="G13" s="11" t="n">
        <v>234511.57</v>
      </c>
      <c r="H13" s="9" t="n"/>
      <c r="I13" s="9" t="n"/>
    </row>
    <row r="15">
      <c r="A15" s="2" t="inlineStr">
        <is>
          <t>Legenda:</t>
        </is>
      </c>
    </row>
    <row r="16">
      <c r="A16" s="12" t="inlineStr">
        <is>
          <t>🔴 ČERVENÁ</t>
        </is>
      </c>
      <c r="B16" t="inlineStr">
        <is>
          <t>Antidumpingové clo – ověřit v TARIC a uvést přídavný kód 89CF.</t>
        </is>
      </c>
    </row>
    <row r="17">
      <c r="A17" s="2" t="inlineStr">
        <is>
          <t>Množství</t>
        </is>
      </c>
      <c r="B17" t="inlineStr">
        <is>
          <t>V kabelových kilometrech (KME) dle faktur; počet bubnů viz metadata výše.</t>
        </is>
      </c>
    </row>
    <row r="18">
      <c r="A18" s="2" t="inlineStr">
        <is>
          <t>Sleva</t>
        </is>
      </c>
      <c r="B18" t="inlineStr">
        <is>
          <t>Obchodní sleva neuplatněna – celní hodnota = fakturovaná hodnota FOB.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4" customWidth="1" min="3" max="3"/>
    <col width="16" customWidth="1" min="4" max="4"/>
    <col width="16" customWidth="1" min="5" max="5"/>
    <col width="8" customWidth="1" min="6" max="6"/>
  </cols>
  <sheetData>
    <row r="1">
      <c r="A1" s="13" t="inlineStr">
        <is>
          <t>Faktura</t>
        </is>
      </c>
      <c r="B1" s="13" t="inlineStr">
        <is>
          <t>Popis položky</t>
        </is>
      </c>
      <c r="C1" s="13" t="inlineStr">
        <is>
          <t>Množství (km)</t>
        </is>
      </c>
      <c r="D1" s="13" t="inlineStr">
        <is>
          <t>Jedn. cena USD/km</t>
        </is>
      </c>
      <c r="E1" s="13" t="inlineStr">
        <is>
          <t>Hodnota USD (FOB)</t>
        </is>
      </c>
      <c r="F1" s="13" t="inlineStr">
        <is>
          <t>Bubny</t>
        </is>
      </c>
    </row>
    <row r="2">
      <c r="A2" s="14" t="inlineStr">
        <is>
          <t>2646500051</t>
        </is>
      </c>
      <c r="B2" s="15" t="inlineStr">
        <is>
          <t>24F Single Sheath (ADSS) Dry Core Optical Fibre Cable, G657A1, OD 9,9 mm</t>
        </is>
      </c>
      <c r="C2" s="16" t="n">
        <v>61.454</v>
      </c>
      <c r="D2" s="17" t="n">
        <v>590</v>
      </c>
      <c r="E2" s="17" t="n">
        <v>36257.86</v>
      </c>
      <c r="F2" s="14" t="n">
        <v>30</v>
      </c>
    </row>
    <row r="3">
      <c r="A3" s="14" t="inlineStr">
        <is>
          <t>2646500051</t>
        </is>
      </c>
      <c r="B3" s="15" t="inlineStr">
        <is>
          <t>48F Single Sheath (ADSS) Dry Core Optical Fibre Cable, G657A1, OD 9,9 mm</t>
        </is>
      </c>
      <c r="C3" s="16" t="n">
        <v>61.266</v>
      </c>
      <c r="D3" s="17" t="n">
        <v>860</v>
      </c>
      <c r="E3" s="17" t="n">
        <v>52688.76</v>
      </c>
      <c r="F3" s="14" t="inlineStr"/>
    </row>
    <row r="4">
      <c r="A4" s="14" t="inlineStr">
        <is>
          <t>2646500052</t>
        </is>
      </c>
      <c r="B4" s="15" t="inlineStr">
        <is>
          <t>96F (8x12F) G657A1 250um PE Micro Cable 6,2 mm</t>
        </is>
      </c>
      <c r="C4" s="16" t="n">
        <v>30.724</v>
      </c>
      <c r="D4" s="17" t="n">
        <v>909</v>
      </c>
      <c r="E4" s="17" t="n">
        <v>27928.12</v>
      </c>
      <c r="F4" s="14" t="n">
        <v>23</v>
      </c>
    </row>
    <row r="5">
      <c r="A5" s="14" t="inlineStr">
        <is>
          <t>2646500052</t>
        </is>
      </c>
      <c r="B5" s="15" t="inlineStr">
        <is>
          <t>48F (4x12F) G657A1 250um HDPE Micro Cable 5,6 mm</t>
        </is>
      </c>
      <c r="C5" s="16" t="n">
        <v>49.012</v>
      </c>
      <c r="D5" s="17" t="n">
        <v>515</v>
      </c>
      <c r="E5" s="17" t="n">
        <v>25241.18</v>
      </c>
      <c r="F5" s="14" t="inlineStr"/>
    </row>
    <row r="6">
      <c r="A6" s="14" t="inlineStr">
        <is>
          <t>2646500052</t>
        </is>
      </c>
      <c r="B6" s="15" t="inlineStr">
        <is>
          <t>144F MMicro Cable (Multi LT) air blown duct cable G657A1 200um 24/tube PE 6,0 mm</t>
        </is>
      </c>
      <c r="C6" s="16" t="n">
        <v>60.947</v>
      </c>
      <c r="D6" s="17" t="n">
        <v>1516</v>
      </c>
      <c r="E6" s="17" t="n">
        <v>92395.64999999999</v>
      </c>
      <c r="F6" s="14" t="inlineStr"/>
    </row>
    <row r="7">
      <c r="A7" s="18" t="n"/>
      <c r="B7" s="18" t="inlineStr">
        <is>
          <t>CELKEM</t>
        </is>
      </c>
      <c r="C7" s="19" t="n">
        <v>263.403</v>
      </c>
      <c r="D7" s="18" t="n"/>
      <c r="E7" s="20" t="n">
        <v>234511.57</v>
      </c>
      <c r="F7" s="21" t="n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2">
        <f>== JSD 2 ze 2 – odesílatel BIRLA CABLE LTD ===</f>
        <v/>
      </c>
    </row>
    <row r="2">
      <c r="A2" s="23" t="inlineStr">
        <is>
          <t>Příjemce: OFA s.r.o., P3 Logistic Park – hall A5, Sezemická 2872/10, 193 00 Praha 9 – Horní Počernice; IČO 26504057, DIČ CZ26504057</t>
        </is>
      </c>
    </row>
    <row r="3">
      <c r="A3" s="23" t="inlineStr">
        <is>
          <t>Odesílatel: BIRLA CABLE LTD, Udyog Vihar, P.O. Chorhata, Rewa – 486006, Indie (IEC 1192001401)</t>
        </is>
      </c>
    </row>
    <row r="4">
      <c r="A4" s="23" t="inlineStr">
        <is>
          <t>Faktura(y): 2646500051 (PO OVZ-117/2026) + 2646500052 (PO OVZ-116/2026), obě ze dne 27.05.2026</t>
        </is>
      </c>
    </row>
    <row r="5">
      <c r="A5" s="23" t="inlineStr">
        <is>
          <t>B/L: 4155132P9511   |   Shipping Bill: 3681971 ze dne 29.05.2026   |   Kontejner: TGBU 876379-2</t>
        </is>
      </c>
    </row>
    <row r="6">
      <c r="A6" s="23" t="inlineStr"/>
    </row>
    <row r="7">
      <c r="A7" s="22">
        <f>== ANTIDUMPING (týká se celé JSD) ===</f>
        <v/>
      </c>
    </row>
    <row r="8">
      <c r="A8" s="23" t="inlineStr">
        <is>
          <t>ANTIDUMPING: konečné antidumpingové clo dle prov. nařízení (EU) 2025/1985 (jednovidové optické kabely z Indie, 8544 70 00). Přídavný kód TARIC 89CF (skupina Birla / Vindhya / Universal) – sazba 5,4 %. NUTNO ověřit v TARIC a uvést v přídavných kódech JSD.</t>
        </is>
      </c>
    </row>
    <row r="9">
      <c r="A9" s="23" t="inlineStr">
        <is>
          <t>Podmínka individuální sazby splněna: faktury obsahují prohlášení výrobce s uvedením firmy a přídavného kódu 89CF. Bez platného prohlášení by platila zbytková sazba („všechny ostatní společnosti“).</t>
        </is>
      </c>
    </row>
    <row r="10">
      <c r="A10" s="23" t="inlineStr"/>
    </row>
    <row r="11">
      <c r="A11" s="22">
        <f>== CBAM ===</f>
        <v/>
      </c>
    </row>
    <row r="12">
      <c r="A12" s="23" t="inlineStr">
        <is>
          <t>CBAM: netýká se – optické kabely (8544 70) nejsou v rozsahu CBAM.</t>
        </is>
      </c>
    </row>
    <row r="13">
      <c r="A13" s="23" t="inlineStr"/>
    </row>
    <row r="14">
      <c r="A14" s="22">
        <f>== PREFERENČNÍ PŮVOD / COO ===</f>
        <v/>
      </c>
    </row>
    <row r="15">
      <c r="A15" s="23" t="inlineStr">
        <is>
          <t>PREFERENČNÍ PŮVOD: v dokladech NENÍ preferenční věta. Přiložena pouze nepreferenční osvědčení o původu (Indie). Uplatní se standardní clo třetí země (~2,7 %) + antidumping 5,4 %.</t>
        </is>
      </c>
    </row>
    <row r="16">
      <c r="A16" s="23" t="inlineStr"/>
    </row>
    <row r="17">
      <c r="A17" s="22">
        <f>== INCOTERM (mimo tabulku) ===</f>
        <v/>
      </c>
    </row>
    <row r="18">
      <c r="A18" s="23" t="inlineStr">
        <is>
          <t>Všechny faktury: FOB Nhava Sheva, v USD. Incoterm není sloupcem souhrnu (dle instrukcí).</t>
        </is>
      </c>
    </row>
    <row r="19">
      <c r="A19" s="23" t="inlineStr"/>
    </row>
    <row r="20">
      <c r="A20" s="22">
        <f>== HMOTNOSTI ===</f>
        <v/>
      </c>
    </row>
    <row r="21">
      <c r="A21" s="23" t="inlineStr">
        <is>
          <t>Čistá hmotnost: 13189.000 kg   |   Hrubá hmotnost: 17618.000 kg (dle faktur / balicího listu / B/L).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2026-07-17T11:08:56Z</dcterms:created>
  <dcterms:modified xsi:type="dcterms:W3CDTF">2026-07-17T11:08:56Z</dcterms:modified>
</cp:coreProperties>
</file>