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/>
    </xf>
    <xf numFmtId="4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/>
    </xf>
    <xf numFmtId="4" fontId="0" fillId="5" borderId="1" applyAlignment="1" pivotButton="0" quotePrefix="0" xfId="0">
      <alignment vertical="top"/>
    </xf>
    <xf numFmtId="0" fontId="1" fillId="0" borderId="1" pivotButton="0" quotePrefix="0" xfId="0"/>
    <xf numFmtId="3" fontId="1" fillId="0" borderId="1" pivotButton="0" quotePrefix="0" xfId="0"/>
    <xf numFmtId="4" fontId="1" fillId="0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2" customWidth="1" min="3" max="3"/>
    <col width="10" customWidth="1" min="4" max="4"/>
    <col width="14" customWidth="1" min="5" max="5"/>
    <col width="13" customWidth="1" min="6" max="6"/>
    <col width="15" customWidth="1" min="7" max="7"/>
    <col width="16" customWidth="1" min="8" max="8"/>
    <col width="17" customWidth="1" min="9" max="9"/>
    <col width="16" customWidth="1" min="10" max="10"/>
    <col width="14" customWidth="1" min="11" max="11"/>
    <col width="62" customWidth="1" min="12" max="12"/>
  </cols>
  <sheetData>
    <row r="1">
      <c r="A1" s="1" t="inlineStr">
        <is>
          <t>Zásilka:</t>
        </is>
      </c>
      <c r="B1" t="inlineStr">
        <is>
          <t>WPXA26B0826CZ501  (kontejner NWRU8624306/003451032, 40HC)</t>
        </is>
      </c>
    </row>
    <row r="2">
      <c r="A2" s="1" t="inlineStr">
        <is>
          <t>Odesílatel:</t>
        </is>
      </c>
      <c r="B2" t="inlineStr">
        <is>
          <t>HANGZHOU ONTIME I.T. CO., LTD. (CN)</t>
        </is>
      </c>
    </row>
    <row r="3">
      <c r="A3" s="1" t="inlineStr">
        <is>
          <t>Příjemce (CZ):</t>
        </is>
      </c>
      <c r="B3" t="inlineStr">
        <is>
          <t>V-TOP EUROPE s.r.o., Františka Diviše 1012/64, 104 00 Praha 22 – Uhříněves, IČO 257 95 040, DIČ/EORI CZ25795040</t>
        </is>
      </c>
    </row>
    <row r="4">
      <c r="A4" s="1" t="inlineStr">
        <is>
          <t>Faktura:</t>
        </is>
      </c>
      <c r="B4" t="inlineStr">
        <is>
          <t>PI24200070026048B&amp;053&amp;054B ze dne 14.8.2026, celkem 43 377,18 EUR</t>
        </is>
      </c>
    </row>
    <row r="5">
      <c r="A5" s="1" t="inlineStr">
        <is>
          <t>Incoterm:</t>
        </is>
      </c>
      <c r="B5" t="inlineStr">
        <is>
          <t>CFR Prague  (CFR Praha – dle faktury; přeprava po železnici Xi'an – Khorgos – Praha, CFS/CFS)</t>
        </is>
      </c>
    </row>
    <row r="6">
      <c r="A6" s="1" t="inlineStr">
        <is>
          <t>Země původu:</t>
        </is>
      </c>
      <c r="B6" t="inlineStr">
        <is>
          <t>Čína (MADE IN CHINA) – bez preferenčního původu, viz list Dokumenty a poznámky</t>
        </is>
      </c>
    </row>
    <row r="7">
      <c r="A7" s="1" t="inlineStr">
        <is>
          <t>Měna:</t>
        </is>
      </c>
      <c r="B7" t="inlineStr">
        <is>
          <t>EUR</t>
        </is>
      </c>
    </row>
    <row r="9" ht="34" customHeight="1">
      <c r="A9" s="2" t="inlineStr">
        <is>
          <t>Odesílatel</t>
        </is>
      </c>
      <c r="B9" s="2" t="inlineStr">
        <is>
          <t>HS kód</t>
        </is>
      </c>
      <c r="C9" s="2" t="inlineStr">
        <is>
          <t>Popis zboží (CZ)</t>
        </is>
      </c>
      <c r="D9" s="2" t="inlineStr">
        <is>
          <t>Země původu (COO)</t>
        </is>
      </c>
      <c r="E9" s="2" t="inlineStr">
        <is>
          <t>Incoterm</t>
        </is>
      </c>
      <c r="F9" s="2" t="inlineStr">
        <is>
          <t>Množství (ks)</t>
        </is>
      </c>
      <c r="G9" s="2" t="inlineStr">
        <is>
          <t>Čistá hmotnost (kg)</t>
        </is>
      </c>
      <c r="H9" s="2" t="inlineStr">
        <is>
          <t>Hrubá hmotnost – zboží (kg)</t>
        </is>
      </c>
      <c r="I9" s="2" t="inlineStr">
        <is>
          <t>Hrubá hmotnost vč. palet (kg)</t>
        </is>
      </c>
      <c r="J9" s="2" t="inlineStr">
        <is>
          <t>Celní hodnota (EUR)</t>
        </is>
      </c>
      <c r="K9" s="2" t="inlineStr">
        <is>
          <t>Příznak</t>
        </is>
      </c>
      <c r="L9" s="2" t="inlineStr">
        <is>
          <t>Poznámka (CBAM / antidumping / TARIC)</t>
        </is>
      </c>
    </row>
    <row r="10" ht="62" customHeight="1">
      <c r="A10" s="3" t="inlineStr">
        <is>
          <t>HANGZHOU ONTIME I.T. CO., LTD. (CN)</t>
        </is>
      </c>
      <c r="B10" s="3" t="inlineStr">
        <is>
          <t>8531 90 00 00</t>
        </is>
      </c>
      <c r="C10" s="4" t="inlineStr">
        <is>
          <t>Části a součásti elektrických poplašných zařízení (EAS) – pevné samoobslužné schránky a štítky AM/RF s magnetickým zámkem, tvrdé etikety k ochraně textilu a oděvů, štítky s ocelovým/plastovým kabelem na lahve; k ochraně zboží proti krádeži v obchodech (řady AS, BT, HD)</t>
        </is>
      </c>
      <c r="D10" s="3" t="inlineStr">
        <is>
          <t>CN</t>
        </is>
      </c>
      <c r="E10" s="3" t="inlineStr">
        <is>
          <t>CFR Prague</t>
        </is>
      </c>
      <c r="F10" s="5" t="n">
        <v>259100</v>
      </c>
      <c r="G10" s="6" t="n">
        <v>4340.4</v>
      </c>
      <c r="H10" s="6" t="n">
        <v>4665</v>
      </c>
      <c r="I10" s="6" t="n">
        <v>4794.11</v>
      </c>
      <c r="J10" s="6" t="n">
        <v>38250.08</v>
      </c>
      <c r="K10" s="3" t="inlineStr"/>
      <c r="L10" s="4" t="inlineStr"/>
    </row>
    <row r="11" ht="62" customHeight="1">
      <c r="A11" s="7" t="inlineStr">
        <is>
          <t>HANGZHOU ONTIME I.T. CO., LTD. (CN)</t>
        </is>
      </c>
      <c r="B11" s="7" t="inlineStr">
        <is>
          <t>8505 11 10</t>
        </is>
      </c>
      <c r="C11" s="8" t="inlineStr">
        <is>
          <t>Permanentní magnety z kovu – magnetický oddělovač (uvolňovač) pevných štítků zboží v obchodech (DT4004, DT4015, DT4010, DT4114)</t>
        </is>
      </c>
      <c r="D11" s="7" t="inlineStr">
        <is>
          <t>CN</t>
        </is>
      </c>
      <c r="E11" s="7" t="inlineStr">
        <is>
          <t>CFR Prague</t>
        </is>
      </c>
      <c r="F11" s="9" t="n">
        <v>230</v>
      </c>
      <c r="G11" s="10" t="n">
        <v>45.6</v>
      </c>
      <c r="H11" s="10" t="n">
        <v>48</v>
      </c>
      <c r="I11" s="10" t="n">
        <v>49.33</v>
      </c>
      <c r="J11" s="10" t="n">
        <v>2019</v>
      </c>
      <c r="K11" s="7" t="inlineStr">
        <is>
          <t>KONTROLA</t>
        </is>
      </c>
      <c r="L11" s="8" t="inlineStr">
        <is>
          <t>Permanentní magnety z ČLR – ověřit případná antidumpingová/registrační opatření v TARIC k datu podání JSD (u ostatních položek zásilky antidumpingová opatření zjištěna nebyla).</t>
        </is>
      </c>
    </row>
    <row r="12" ht="62" customHeight="1">
      <c r="A12" s="3" t="inlineStr">
        <is>
          <t>HANGZHOU ONTIME I.T. CO., LTD. (CN)</t>
        </is>
      </c>
      <c r="B12" s="3" t="inlineStr">
        <is>
          <t>8534 00 19 00</t>
        </is>
      </c>
      <c r="C12" s="4" t="inlineStr">
        <is>
          <t>Tištěné obvody – měkký plastový RF štítek s poplachovým zabezpečením obsahující tištěný obvod, s falešným čárovým kódem (řada RL)</t>
        </is>
      </c>
      <c r="D12" s="3" t="inlineStr">
        <is>
          <t>CN</t>
        </is>
      </c>
      <c r="E12" s="3" t="inlineStr">
        <is>
          <t>CFR Prague</t>
        </is>
      </c>
      <c r="F12" s="5" t="n">
        <v>180000</v>
      </c>
      <c r="G12" s="6" t="n">
        <v>54.1</v>
      </c>
      <c r="H12" s="6" t="n">
        <v>59.5</v>
      </c>
      <c r="I12" s="6" t="n">
        <v>61.15</v>
      </c>
      <c r="J12" s="6" t="n">
        <v>1504</v>
      </c>
      <c r="K12" s="3" t="inlineStr"/>
      <c r="L12" s="4" t="inlineStr"/>
    </row>
    <row r="13" ht="62" customHeight="1">
      <c r="A13" s="3" t="inlineStr">
        <is>
          <t>HANGZHOU ONTIME I.T. CO., LTD. (CN)</t>
        </is>
      </c>
      <c r="B13" s="3" t="inlineStr">
        <is>
          <t>8543 70 90 99</t>
        </is>
      </c>
      <c r="C13" s="4" t="inlineStr">
        <is>
          <t>Ostatní elektrické přístroje a zařízení s vlastní funkcí – deaktivátory pro detekční štítky EAS: deaktivační podložka se zvukem, přenosný RF deaktivátor s počítadlem (řada OS)</t>
        </is>
      </c>
      <c r="D13" s="3" t="inlineStr">
        <is>
          <t>CN</t>
        </is>
      </c>
      <c r="E13" s="3" t="inlineStr">
        <is>
          <t>CFR Prague</t>
        </is>
      </c>
      <c r="F13" s="5" t="n">
        <v>24</v>
      </c>
      <c r="G13" s="6" t="n">
        <v>27.3</v>
      </c>
      <c r="H13" s="6" t="n">
        <v>30.9</v>
      </c>
      <c r="I13" s="6" t="n">
        <v>31.76</v>
      </c>
      <c r="J13" s="6" t="n">
        <v>1000.6</v>
      </c>
      <c r="K13" s="3" t="inlineStr"/>
      <c r="L13" s="4" t="inlineStr"/>
    </row>
    <row r="14" ht="62" customHeight="1">
      <c r="A14" s="7" t="inlineStr">
        <is>
          <t>HANGZHOU ONTIME I.T. CO., LTD. (CN)</t>
        </is>
      </c>
      <c r="B14" s="7" t="inlineStr">
        <is>
          <t>7319 40 00 00</t>
        </is>
      </c>
      <c r="C14" s="8" t="inlineStr">
        <is>
          <t>Zavírací a jiné špendlíky ze železa nebo oceli – bezpečnostní špendlík pro tvrdé štítky (kovový nebo s plastovou hlavou) (řada PN)</t>
        </is>
      </c>
      <c r="D14" s="7" t="inlineStr">
        <is>
          <t>CN</t>
        </is>
      </c>
      <c r="E14" s="7" t="inlineStr">
        <is>
          <t>CFR Prague</t>
        </is>
      </c>
      <c r="F14" s="9" t="n">
        <v>60000</v>
      </c>
      <c r="G14" s="10" t="n">
        <v>55.6</v>
      </c>
      <c r="H14" s="10" t="n">
        <v>59.2</v>
      </c>
      <c r="I14" s="10" t="n">
        <v>60.84</v>
      </c>
      <c r="J14" s="10" t="n">
        <v>356</v>
      </c>
      <c r="K14" s="7" t="inlineStr">
        <is>
          <t>KONTROLA</t>
        </is>
      </c>
      <c r="L14" s="8" t="inlineStr">
        <is>
          <t>Kapitola 73 (železo/ocel) – pokryto prohlášením odesílatele o neruském původu ze dne 2.9.2026 (zákaz dovozu dle sankcí EU). KN 7319 40 NENÍ v příloze I nařízení CBAM (příloha zahrnuje z kap. 73 pouze 7301–7311, 7318 a 7326) – doporučuji ověřit při podání.</t>
        </is>
      </c>
    </row>
    <row r="15" ht="62" customHeight="1">
      <c r="A15" s="3" t="inlineStr">
        <is>
          <t>HANGZHOU ONTIME I.T. CO., LTD. (CN)</t>
        </is>
      </c>
      <c r="B15" s="3" t="inlineStr">
        <is>
          <t>8205 59 80 00</t>
        </is>
      </c>
      <c r="C15" s="4" t="inlineStr">
        <is>
          <t>Ostatní ruční nástroje – speciální nemagnetický ruční uvolňovač pevných štítků (pro etikety na brýle) (DT4002)</t>
        </is>
      </c>
      <c r="D15" s="3" t="inlineStr">
        <is>
          <t>CN</t>
        </is>
      </c>
      <c r="E15" s="3" t="inlineStr">
        <is>
          <t>CFR Prague</t>
        </is>
      </c>
      <c r="F15" s="5" t="n">
        <v>100</v>
      </c>
      <c r="G15" s="6" t="n">
        <v>1.1</v>
      </c>
      <c r="H15" s="6" t="n">
        <v>1.7</v>
      </c>
      <c r="I15" s="6" t="n">
        <v>1.75</v>
      </c>
      <c r="J15" s="6" t="n">
        <v>107</v>
      </c>
      <c r="K15" s="3" t="inlineStr"/>
      <c r="L15" s="4" t="inlineStr"/>
    </row>
    <row r="16" ht="62" customHeight="1">
      <c r="A16" s="11" t="inlineStr">
        <is>
          <t>HANGZHOU ONTIME I.T. CO., LTD. (CN)</t>
        </is>
      </c>
      <c r="B16" s="11" t="inlineStr">
        <is>
          <t>7326 90 98 90</t>
        </is>
      </c>
      <c r="C16" s="12" t="inlineStr">
        <is>
          <t>Ostatní výrobky ze železa nebo oceli – vyndavací kovová klička do víčka uvolňovače, slouží k uzamčení víčka (DL4405 KEY)</t>
        </is>
      </c>
      <c r="D16" s="11" t="inlineStr">
        <is>
          <t>CN</t>
        </is>
      </c>
      <c r="E16" s="11" t="inlineStr">
        <is>
          <t>CFR Prague</t>
        </is>
      </c>
      <c r="F16" s="13" t="n">
        <v>50</v>
      </c>
      <c r="G16" s="14" t="n">
        <v>0.8</v>
      </c>
      <c r="H16" s="14" t="n">
        <v>1.4</v>
      </c>
      <c r="I16" s="14" t="n">
        <v>1.44</v>
      </c>
      <c r="J16" s="14" t="n">
        <v>65</v>
      </c>
      <c r="K16" s="11" t="inlineStr">
        <is>
          <t>CBAM</t>
        </is>
      </c>
      <c r="L16" s="12" t="inlineStr">
        <is>
          <t>CBAM zboží (železo/ocel, kap. 73 – KN 7326 v příloze I nařízení CBAM). Příjemce V-TOP EUROPE s.r.o. (EORI CZ25795040) je v registru veden jako Y137 – do 50 t ročně (de minimis). → V JSD uvést kód Y137. Množství v této zásilce: 0,80 kg NW. Pokryto prohlášením odesílatele o neruském původu železa/oceli ze dne 2.9.2026.</t>
        </is>
      </c>
    </row>
    <row r="17" ht="62" customHeight="1">
      <c r="A17" s="15" t="inlineStr">
        <is>
          <t>HANGZHOU ONTIME I.T. CO., LTD. (CN)</t>
        </is>
      </c>
      <c r="B17" s="15" t="inlineStr">
        <is>
          <t>CHYBÍ (DL4405 LID)</t>
        </is>
      </c>
      <c r="C17" s="16" t="inlineStr">
        <is>
          <t>Víčko pro magnetický uvolňovač pevných štítků, materiál plast + kov (DL4405 LID) – v podkladu HS kódy 10.9.2026 je u této položky uvedeno pouze '?'</t>
        </is>
      </c>
      <c r="D17" s="15" t="inlineStr">
        <is>
          <t>CN</t>
        </is>
      </c>
      <c r="E17" s="15" t="inlineStr">
        <is>
          <t>CFR Prague</t>
        </is>
      </c>
      <c r="F17" s="17" t="n">
        <v>50</v>
      </c>
      <c r="G17" s="18" t="n">
        <v>0.6</v>
      </c>
      <c r="H17" s="18" t="n">
        <v>1.2</v>
      </c>
      <c r="I17" s="18" t="n">
        <v>1.23</v>
      </c>
      <c r="J17" s="18" t="n">
        <v>55.5</v>
      </c>
      <c r="K17" s="15" t="inlineStr">
        <is>
          <t>K DOPLNĚNÍ</t>
        </is>
      </c>
      <c r="L17" s="16" t="inlineStr">
        <is>
          <t>V souboru 'HS kódy 10.9.2026' je u DL4405 LID uveden pouze '?'. HS kód nutno doplnit před podáním JSD – nelze deklarovat bez zařazení. Pozn.: souvisejicí DL4405 KEY je zařazen do 7326 90 98 90.</t>
        </is>
      </c>
    </row>
    <row r="18" ht="62" customHeight="1">
      <c r="A18" s="15" t="inlineStr">
        <is>
          <t>HANGZHOU ONTIME I.T. CO., LTD. (CN)</t>
        </is>
      </c>
      <c r="B18" s="15" t="inlineStr">
        <is>
          <t>CHYBÍ (SAMPLE BAG)</t>
        </is>
      </c>
      <c r="C18" s="16" t="inlineStr">
        <is>
          <t>Vzorkovací sáček (SAMPLE BAG) – v podkladu HS kódy 10.9.2026 tato položka není uvedena vůbec</t>
        </is>
      </c>
      <c r="D18" s="15" t="inlineStr">
        <is>
          <t>CN</t>
        </is>
      </c>
      <c r="E18" s="15" t="inlineStr">
        <is>
          <t>CFR Prague</t>
        </is>
      </c>
      <c r="F18" s="17" t="n">
        <v>1000</v>
      </c>
      <c r="G18" s="18" t="n">
        <v>10.5</v>
      </c>
      <c r="H18" s="18" t="n">
        <v>11.1</v>
      </c>
      <c r="I18" s="18" t="n">
        <v>11.41</v>
      </c>
      <c r="J18" s="18" t="n">
        <v>20</v>
      </c>
      <c r="K18" s="15" t="inlineStr">
        <is>
          <t>K DOPLNĚNÍ</t>
        </is>
      </c>
      <c r="L18" s="16" t="inlineStr">
        <is>
          <t>SAMPLE BAG v souboru 'HS kódy 10.9.2026' chybí úplně. HS kód nutno doplnit před podáním JSD – nelze deklarovat bez zařazení.</t>
        </is>
      </c>
    </row>
    <row r="19">
      <c r="A19" s="19" t="inlineStr">
        <is>
          <t>CELKEM</t>
        </is>
      </c>
      <c r="B19" s="19" t="n"/>
      <c r="C19" s="19" t="n"/>
      <c r="D19" s="19" t="n"/>
      <c r="E19" s="19" t="n"/>
      <c r="F19" s="20" t="n">
        <v>500554</v>
      </c>
      <c r="G19" s="21" t="n">
        <v>4536</v>
      </c>
      <c r="H19" s="21" t="n">
        <v>4878</v>
      </c>
      <c r="I19" s="21" t="n">
        <v>5013</v>
      </c>
      <c r="J19" s="21" t="n">
        <v>43377.18</v>
      </c>
      <c r="K19" s="19" t="n"/>
      <c r="L19" s="19" t="n"/>
    </row>
    <row r="21">
      <c r="A21" s="1" t="inlineStr">
        <is>
          <t>Legenda:</t>
        </is>
      </c>
      <c r="B21" s="22" t="inlineStr"/>
    </row>
    <row r="22" ht="30" customHeight="1">
      <c r="A22" s="1" t="inlineStr">
        <is>
          <t>🟠 ORANŽOVÁ</t>
        </is>
      </c>
      <c r="B22" s="22" t="inlineStr">
        <is>
          <t>CBAM zboží – v JSD uvést kód Y137 (výjimka de minimis, do 50 t/rok) – příjemce ověřen v registru CBAM_receivers_CZ.xlsx</t>
        </is>
      </c>
    </row>
    <row r="23" ht="30" customHeight="1">
      <c r="A23" s="1" t="inlineStr">
        <is>
          <t>🔴 ČERVENÁ</t>
        </is>
      </c>
      <c r="B23" s="22" t="inlineStr">
        <is>
          <t>Chybí HS kód – nutno doplnit před podáním JSD</t>
        </is>
      </c>
    </row>
    <row r="24" ht="30" customHeight="1">
      <c r="A24" s="1" t="inlineStr">
        <is>
          <t>🟡 ŽLUTÁ</t>
        </is>
      </c>
      <c r="B24" s="22" t="inlineStr">
        <is>
          <t>Ke kontrole v TARIC / ověření rozsahu opatření při podání</t>
        </is>
      </c>
    </row>
    <row r="25" ht="30" customHeight="1">
      <c r="A25" s="1" t="inlineStr">
        <is>
          <t>Hrubá hmotnost</t>
        </is>
      </c>
      <c r="B25" s="22" t="inlineStr">
        <is>
          <t>Sloupec 'zboží' = součet hrubých hmotností položek z packing listu (4 878,00 kg). Sloupec 'vč. palet' = navíc rozpočteno 135,00 kg tára 9 palet proporcionálně dle hrubé hmotnosti; celkem 5 013,00 kg dle B/L i packing listu.</t>
        </is>
      </c>
    </row>
    <row r="26" ht="30" customHeight="1">
      <c r="A26" s="1" t="inlineStr">
        <is>
          <t>Sleva</t>
        </is>
      </c>
      <c r="B26" s="22" t="inlineStr">
        <is>
          <t>Na faktuře PI24200070026048B&amp;053&amp;054B není uvedena žádná obchodní sleva – proporcionální rozpuštění slevy se neuplatňuje.</t>
        </is>
      </c>
    </row>
    <row r="27" ht="30" customHeight="1">
      <c r="A27" s="1" t="inlineStr">
        <is>
          <t>Zdroj HS kódů</t>
        </is>
      </c>
      <c r="B27" s="22" t="inlineStr">
        <is>
          <t>HS kódy 10.9.2026.xlsx (list List1) – zařazení dle řad produktových kódů Ontime (AS, BT, DL, DT, HD, OS, PN, RL).</t>
        </is>
      </c>
    </row>
  </sheetData>
  <mergeCells count="7">
    <mergeCell ref="B26:L26"/>
    <mergeCell ref="B21:L21"/>
    <mergeCell ref="B25:L25"/>
    <mergeCell ref="B24:L24"/>
    <mergeCell ref="B22:L22"/>
    <mergeCell ref="B23:L23"/>
    <mergeCell ref="B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3">
        <f>== PODKLADY (stav 10.9.2026) ===</f>
        <v/>
      </c>
    </row>
    <row r="2">
      <c r="A2" s="24" t="inlineStr">
        <is>
          <t>✓ Commercial Invoice PI24200070026048B&amp;053&amp;054B, 14.8.2026 – Hangzhou Ontime I.T. Co., Ltd. → V-TOP EUROPE s.r.o., celkem 43 377,18 EUR</t>
        </is>
      </c>
    </row>
    <row r="3">
      <c r="A3" s="24" t="inlineStr">
        <is>
          <t>✓ Packing list PI24200070026048B&amp;053&amp;054B – 570 kartonů na 9 paletách, 500 554 ks, NW 4 536,00 kg, GW 5 013,00 kg, 19,20 CBM</t>
        </is>
      </c>
    </row>
    <row r="4">
      <c r="A4" s="24" t="inlineStr">
        <is>
          <t>✓ Nákladní list / B/L WPXA26B0826CZ501 – Xi'an → Khorgos → Praha, kontejner NWRU8624306/003451032 40HC, CFS-CFS, FREIGHT PREPAID, 9 PLTS EAS TAG</t>
        </is>
      </c>
    </row>
    <row r="5">
      <c r="A5" s="24" t="inlineStr">
        <is>
          <t>✓ Statement (prohlášení odesílatele) ze dne 2.9.2026 – viz sekce SANKCE níže</t>
        </is>
      </c>
    </row>
    <row r="6">
      <c r="A6" s="24" t="inlineStr">
        <is>
          <t>✓ HS kódy 10.9.2026.xlsx – zařazení podle řad produktových kódů Ontime</t>
        </is>
      </c>
    </row>
    <row r="7">
      <c r="A7" s="24" t="inlineStr">
        <is>
          <t>✓ Registr CBAM_receivers_CZ.xlsx (list List1) – ověřen příjemce</t>
        </is>
      </c>
    </row>
    <row r="8">
      <c r="A8" s="24" t="inlineStr">
        <is>
          <t>Zdroj dokumentů: e-mail IMAP email.mauriceward.com, INBOX/IM SEA, UID 8697 (kseniia.lukianova@mauriceward.com)</t>
        </is>
      </c>
    </row>
    <row r="9">
      <c r="A9" s="24" t="inlineStr"/>
    </row>
    <row r="10">
      <c r="A10" s="23">
        <f>== ⚠ PREFERENČNÍ PŮVOD (COO) – PREFERENČNÍ VĚTA NENÍ NA FAKTUŘE ===</f>
        <v/>
      </c>
    </row>
    <row r="11">
      <c r="A11" s="24" t="inlineStr">
        <is>
          <t>Faktura PI24200070026048B&amp;053&amp;054B byla zkontrolována na obou stranách – PREFERENČNÍ VĚTA NENÍ UVEDENA.</t>
        </is>
      </c>
    </row>
    <row r="12">
      <c r="A12" s="24" t="inlineStr">
        <is>
          <t>Na faktuře je pouze údaj 'MADE IN CHINA' (nepreferenční původ Čína).</t>
        </is>
      </c>
    </row>
    <row r="13">
      <c r="A13" s="24" t="inlineStr">
        <is>
          <t>→ EU nemá s ČLR dohodu o preferenčním zacházení, preferenční sazba tedy stejně nepřipadá v úvahu.</t>
        </is>
      </c>
    </row>
    <row r="14">
      <c r="A14" s="24" t="inlineStr">
        <is>
          <t>→ Uplatní se STANDARDNÍ CLO TŘETÍ ZEMĚ (erga omnes) dle jednotlivých HS kódů – ověřit sazby v TARIC k datu podání JSD.</t>
        </is>
      </c>
    </row>
    <row r="15">
      <c r="A15" s="24" t="inlineStr"/>
    </row>
    <row r="16">
      <c r="A16" s="23">
        <f>== ⚠ REX ČÍSLO – NA FAKTUŘE NENÍ ===</f>
        <v/>
      </c>
    </row>
    <row r="17">
      <c r="A17" s="24" t="inlineStr">
        <is>
          <t>Na faktuře NENÍ uvedeno žádné REX číslo ani číslo celního povolení vývozce.</t>
        </is>
      </c>
    </row>
    <row r="18">
      <c r="A18" s="24" t="inlineStr">
        <is>
          <t>Absence REX je v tomto případě konzistentní s tím, že se neuplatňuje preferenční původ (ČLR není v systému REX pro preference vůči EU u tohoto zboží).</t>
        </is>
      </c>
    </row>
    <row r="19">
      <c r="A19" s="24" t="inlineStr">
        <is>
          <t>→ Žádný nárok na preferenční sazbu nelze podložit; deklarovat nepreferenční původ CN.</t>
        </is>
      </c>
    </row>
    <row r="20">
      <c r="A20" s="24" t="inlineStr"/>
    </row>
    <row r="21">
      <c r="A21" s="23">
        <f>== CBAM ===</f>
        <v/>
      </c>
    </row>
    <row r="22">
      <c r="A22" s="24" t="inlineStr">
        <is>
          <t>Dotčený HS kód: 7326 90 98 90 (ostatní výrobky ze železa/oceli – DL4405 KEY), NW 0,80 kg, 50 ks, hodnota 65,00 EUR.</t>
        </is>
      </c>
    </row>
    <row r="23">
      <c r="A23" s="24" t="inlineStr">
        <is>
          <t>Příjemce nalezen v registru: V-TOP EUROPE s.r.o., EORI CZ25795040.</t>
        </is>
      </c>
    </row>
    <row r="24">
      <c r="A24" s="24" t="inlineStr">
        <is>
          <t xml:space="preserve">   • Y KÓD: Y137 (do 50 t ročně – výjimka de minimis)</t>
        </is>
      </c>
    </row>
    <row r="25">
      <c r="A25" s="24" t="inlineStr">
        <is>
          <t xml:space="preserve">   • povolení (CBAM-CZ-…): není uvedeno</t>
        </is>
      </c>
    </row>
    <row r="26">
      <c r="A26" s="24" t="inlineStr">
        <is>
          <t xml:space="preserve">   • podaná žádost (APPL-CZ-…): není uvedena</t>
        </is>
      </c>
    </row>
    <row r="27">
      <c r="A27" s="24" t="inlineStr">
        <is>
          <t xml:space="preserve">   • datum vydání: neuvedeno; v registru je poznámka 25MWCCCIM008782</t>
        </is>
      </c>
    </row>
    <row r="28">
      <c r="A28" s="24" t="inlineStr">
        <is>
          <t>→ V JSD uvést u HS 7326 90 98 90 kód Y137.</t>
        </is>
      </c>
    </row>
    <row r="29">
      <c r="A29" s="24" t="inlineStr">
        <is>
          <t>Poznámka: KN 7319 40 00 00 (bezpečnostní špendlíky, NW 55,60 kg) je rovněž z kapitoly 73, ale v příloze I nařízení CBAM není uvedena (z kap. 73 jsou zahrnuty 7301–7311, 7318 a 7326). Doporučuji ověřit při podání.</t>
        </is>
      </c>
    </row>
    <row r="30">
      <c r="A30" s="24" t="inlineStr">
        <is>
          <t>Zásilka nespadá pod sdílený účet CBAM-CZ-2025-QGM67089385721 – V-TOP EUROPE je vlastní CZ příjemce s vlastním záznamem.</t>
        </is>
      </c>
    </row>
    <row r="31">
      <c r="A31" s="24" t="inlineStr"/>
    </row>
    <row r="32">
      <c r="A32" s="23">
        <f>== SANKCE – ŽELEZO A OCEL (čl. 3g nařízení 833/2014) ===</f>
        <v/>
      </c>
    </row>
    <row r="33">
      <c r="A33" s="24" t="inlineStr">
        <is>
          <t>Odesílatel Hangzhou Ontime I.T. Co., Ltd. vydal 2.9.2026 podepsané prohlášení (Statement) k faktuře PI24200070026048B&amp;053&amp;054, kontejneru NWRU8624306/003451032 a nákladnímu listu WPXA26B0826CZ501, že zboží kapitol HS 72 a 73:</t>
        </is>
      </c>
    </row>
    <row r="34">
      <c r="A34" s="24" t="inlineStr">
        <is>
          <t xml:space="preserve">   (i) nepochází z Ruska, (ii) nebylo z Ruska vyvezeno, (iii) nebylo zpracováno ze železa/oceli ruského původu (položky 7206–7229 a kapitola 73).</t>
        </is>
      </c>
    </row>
    <row r="35">
      <c r="A35" s="24" t="inlineStr">
        <is>
          <t>→ Pokrývá položky 7326 90 98 90 a 7319 40 00 00 v této zásilce. Prohlášení přiložit k JSD.</t>
        </is>
      </c>
    </row>
    <row r="36">
      <c r="A36" s="24" t="inlineStr"/>
    </row>
    <row r="37">
      <c r="A37" s="23">
        <f>== ⚠ CHYBĚJÍCÍ HS KÓDY ===</f>
        <v/>
      </c>
    </row>
    <row r="38">
      <c r="A38" s="24" t="inlineStr">
        <is>
          <t>1) DL4405 LID (víčko pro magnetický uvolňovač, plast + kov) – v souboru HS kódy 10.9.2026 je uvedeno pouze '?'. 50 ks, NW 0,60 kg, 55,50 EUR.</t>
        </is>
      </c>
    </row>
    <row r="39">
      <c r="A39" s="24" t="inlineStr">
        <is>
          <t>2) SAMPLE BAG (vzorkovací sáček) – v souboru HS kódy 10.9.2026 vůbec není uveden. 1 000 ks, NW 10,50 kg, 20,00 EUR.</t>
        </is>
      </c>
    </row>
    <row r="40">
      <c r="A40" s="24" t="inlineStr">
        <is>
          <t>→ Obě položky nutno zařadit před podáním JSD. V přehledu jsou uvedeny na samostatných řádcích označených červeně.</t>
        </is>
      </c>
    </row>
    <row r="41">
      <c r="A41" s="24" t="inlineStr"/>
    </row>
    <row r="42">
      <c r="A42" s="23">
        <f>== ANTIDUMPING ===</f>
        <v/>
      </c>
    </row>
    <row r="43">
      <c r="A43" s="24" t="inlineStr">
        <is>
          <t>U položek 8531 90 00 00, 8534 00 19 00, 8543 70 90 99, 8205 59 80 00, 7319 40 00 00 a 7326 90 98 90 nebyla pro původ CN zjištěna antidumpingová opatření relevantní pro toto zboží.</t>
        </is>
      </c>
    </row>
    <row r="44">
      <c r="A44" s="24" t="inlineStr">
        <is>
          <t>8505 11 10 – permanentní magnety z kovu (magnetické oddělovače, řada DT): u permanentních magnetů z ČLR doporučuji před podáním JSD ověřit aktuální stav opatření v TARIC (antidumping / celní evidence).</t>
        </is>
      </c>
    </row>
    <row r="45">
      <c r="A45" s="24" t="inlineStr"/>
    </row>
    <row r="46">
      <c r="A46" s="23">
        <f>== HMOTNOSTI A MNOŽSTVÍ ===</f>
        <v/>
      </c>
    </row>
    <row r="47">
      <c r="A47" s="24" t="inlineStr">
        <is>
          <t>Množství celkem: 500 554 ks (souhlasí faktura i packing list).</t>
        </is>
      </c>
    </row>
    <row r="48">
      <c r="A48" s="24" t="inlineStr">
        <is>
          <t>Čistá hmotnost celkem: 4 536,00 kg (packing list).</t>
        </is>
      </c>
    </row>
    <row r="49">
      <c r="A49" s="24" t="inlineStr">
        <is>
          <t>Hrubá hmotnost zboží (bez palet): 4 878,00 kg. Tára 9 palet: 135,00 kg. Celkem 5 013,00 kg (souhlasí s B/L: 19.2 CBM / 5013 KGS).</t>
        </is>
      </c>
    </row>
    <row r="50">
      <c r="A50" s="24" t="inlineStr">
        <is>
          <t>Hrubá hmotnost na úrovni HS kódu: součet položek z packing listu; sloupec 'vč. palet' rozpouští 135,00 kg palet proporcionálně dle hrubé hmotnosti položek.</t>
        </is>
      </c>
    </row>
    <row r="51">
      <c r="A51" s="24" t="inlineStr"/>
    </row>
    <row r="52">
      <c r="A52" s="23">
        <f>== INCOTERM ===</f>
        <v/>
      </c>
    </row>
    <row r="53">
      <c r="A53" s="24" t="inlineStr">
        <is>
          <t>CFR PRAGUE – uvedeno na faktuře (sloupec PAYMENT TERM), přeprava BY TRAIN, FREIGHT PREPAID dle B/L, CFS-CFS Praha.</t>
        </is>
      </c>
    </row>
    <row r="54">
      <c r="A54" s="24" t="inlineStr">
        <is>
          <t>Pozn.: CFR je doložka určená pro námořní/vnitrozemskou vodní přepravu; u železniční přepravy je použití nestandardní. Pro celní hodnotu je podstatné, že přepravné do Prahy je zahrnuto v ceně (FREIGHT PREPAID).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2026-09-10T12:20:31Z</dcterms:created>
  <dcterms:modified xsi:type="dcterms:W3CDTF">2026-09-10T12:20:31Z</dcterms:modified>
</cp:coreProperties>
</file>