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  <col width="20" customWidth="1" min="8" max="8"/>
    <col width="60" customWidth="1" min="9" max="9"/>
  </cols>
  <sheetData>
    <row r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Země původu (COO)</t>
        </is>
      </c>
      <c r="D1" s="1" t="inlineStr">
        <is>
          <t>Celkové množství (ks)</t>
        </is>
      </c>
      <c r="E1" s="1" t="inlineStr">
        <is>
          <t>Čistá hmotnost (kg)</t>
        </is>
      </c>
      <c r="F1" s="1" t="inlineStr">
        <is>
          <t>Hrubá hmotnost (kg)</t>
        </is>
      </c>
      <c r="G1" s="1" t="inlineStr">
        <is>
          <t>Hodnota USD (celní hodnota FOB)</t>
        </is>
      </c>
      <c r="H1" s="1" t="inlineStr">
        <is>
          <t>Příznak</t>
        </is>
      </c>
      <c r="I1" s="1" t="inlineStr">
        <is>
          <t>TARIC / poznámka / CBAM / Antidumping</t>
        </is>
      </c>
    </row>
    <row r="2">
      <c r="A2" s="2" t="inlineStr">
        <is>
          <t>94032080</t>
        </is>
      </c>
      <c r="B2" s="3" t="inlineStr">
        <is>
          <t>Kovový nábytek, Ocelový pracovní stůl speciálně určený pro svářeče</t>
        </is>
      </c>
      <c r="C2" s="2" t="inlineStr">
        <is>
          <t>CN</t>
        </is>
      </c>
      <c r="D2" s="2" t="n">
        <v>67</v>
      </c>
      <c r="E2" s="2" t="n">
        <v>16573</v>
      </c>
      <c r="F2" s="2" t="n">
        <v>18127</v>
      </c>
      <c r="G2" s="2" t="n">
        <v>65345.49</v>
      </c>
      <c r="H2" s="2" t="n"/>
      <c r="I2" s="3" t="n"/>
    </row>
    <row r="3">
      <c r="A3" s="2" t="inlineStr">
        <is>
          <t>82057000</t>
        </is>
      </c>
      <c r="B3" s="3" t="inlineStr">
        <is>
          <t>Ruční svěrky, upínáky a podobné nářadí z obecných kovů-svěrky</t>
        </is>
      </c>
      <c r="C3" s="2" t="inlineStr">
        <is>
          <t>CN</t>
        </is>
      </c>
      <c r="D3" s="2" t="n">
        <v>362</v>
      </c>
      <c r="E3" s="2" t="n">
        <v>4478</v>
      </c>
      <c r="F3" s="2" t="n">
        <v>5041</v>
      </c>
      <c r="G3" s="2" t="n">
        <v>40424.86</v>
      </c>
      <c r="H3" s="2" t="n"/>
      <c r="I3" s="3" t="n"/>
    </row>
    <row r="4">
      <c r="A4" s="2" t="inlineStr">
        <is>
          <t>39269097</t>
        </is>
      </c>
      <c r="B4" s="3" t="inlineStr">
        <is>
          <t>Dvouplášťový plastový nástavec na ventil tlakové lahve, usnadňuje otevírání a zavíraní ventilu</t>
        </is>
      </c>
      <c r="C4" s="2" t="inlineStr">
        <is>
          <t>CN</t>
        </is>
      </c>
      <c r="D4" s="2" t="n">
        <v>2000</v>
      </c>
      <c r="E4" s="2" t="n">
        <v>140</v>
      </c>
      <c r="F4" s="2" t="n">
        <v>258</v>
      </c>
      <c r="G4" s="2" t="n">
        <v>11500</v>
      </c>
      <c r="H4" s="2" t="n"/>
      <c r="I4" s="3" t="n"/>
    </row>
    <row r="5">
      <c r="A5" s="4" t="inlineStr">
        <is>
          <t>73269098</t>
        </is>
      </c>
      <c r="B5" s="5" t="inlineStr">
        <is>
          <t>Výrobky ze železa nebo oceli, lamely, ocelové bloky, výrobky tvořící ocelovou konstrukci, čtverce, sloty</t>
        </is>
      </c>
      <c r="C5" s="4" t="inlineStr">
        <is>
          <t>CN</t>
        </is>
      </c>
      <c r="D5" s="4" t="n">
        <v>165</v>
      </c>
      <c r="E5" s="4" t="n">
        <v>1492</v>
      </c>
      <c r="F5" s="4" t="n">
        <v>1732</v>
      </c>
      <c r="G5" s="4" t="n">
        <v>9137.75</v>
      </c>
      <c r="H5" s="4" t="inlineStr">
        <is>
          <t>CBAM</t>
        </is>
      </c>
      <c r="I5" s="5" t="inlineStr">
        <is>
          <t>CBAM zboží (železo/ocel, kód 7318/7326 v příloze I nař. 2023/956). Ověřit režim/výjimku de minimis 50 t/rok se zákazníkem.</t>
        </is>
      </c>
    </row>
    <row r="6">
      <c r="A6" s="2" t="inlineStr">
        <is>
          <t>85051110</t>
        </is>
      </c>
      <c r="B6" s="3" t="inlineStr">
        <is>
          <t>Permanentní kovové magnety a předměty určené k tomu, aby se po magnetizaci staly permanentními neodymovými magnety</t>
        </is>
      </c>
      <c r="C6" s="2" t="inlineStr">
        <is>
          <t>CN</t>
        </is>
      </c>
      <c r="D6" s="2" t="n">
        <v>147</v>
      </c>
      <c r="E6" s="2" t="n">
        <v>144</v>
      </c>
      <c r="F6" s="2" t="n">
        <v>180</v>
      </c>
      <c r="G6" s="2" t="n">
        <v>3438.8</v>
      </c>
      <c r="H6" s="2" t="n"/>
      <c r="I6" s="3" t="n"/>
    </row>
    <row r="7">
      <c r="A7" s="2" t="inlineStr">
        <is>
          <t>73259990</t>
        </is>
      </c>
      <c r="B7" s="3" t="inlineStr">
        <is>
          <t>Výrobky ze železa, zarážky, V-bloky, V-pad, V-podložky, piny, D-stop</t>
        </is>
      </c>
      <c r="C7" s="2" t="inlineStr">
        <is>
          <t>CN</t>
        </is>
      </c>
      <c r="D7" s="2" t="n">
        <v>302</v>
      </c>
      <c r="E7" s="2" t="n">
        <v>61</v>
      </c>
      <c r="F7" s="2" t="n">
        <v>74</v>
      </c>
      <c r="G7" s="2" t="n">
        <v>1104.74</v>
      </c>
      <c r="H7" s="2" t="n"/>
      <c r="I7" s="3" t="n"/>
    </row>
    <row r="8">
      <c r="A8" s="2" t="inlineStr">
        <is>
          <t>90318020</t>
        </is>
      </c>
      <c r="B8" s="3" t="inlineStr">
        <is>
          <t>Úhelníky z kovu, sady, příslušenství pro měření nebo kontrolu geometrických veličin</t>
        </is>
      </c>
      <c r="C8" s="2" t="inlineStr">
        <is>
          <t>CN</t>
        </is>
      </c>
      <c r="D8" s="2" t="n">
        <v>50</v>
      </c>
      <c r="E8" s="2" t="n">
        <v>73</v>
      </c>
      <c r="F8" s="2" t="n">
        <v>84</v>
      </c>
      <c r="G8" s="2" t="n">
        <v>1100</v>
      </c>
      <c r="H8" s="2" t="n"/>
      <c r="I8" s="3" t="n"/>
    </row>
    <row r="9">
      <c r="A9" s="2" t="inlineStr">
        <is>
          <t>85051910</t>
        </is>
      </c>
      <c r="B9" s="3" t="inlineStr">
        <is>
          <t>Magnetický úhelník a magnetické podpěrné válečky z kombinace kovu a aglomerovaných feritů</t>
        </is>
      </c>
      <c r="C9" s="2" t="inlineStr">
        <is>
          <t>CN</t>
        </is>
      </c>
      <c r="D9" s="2" t="n">
        <v>200</v>
      </c>
      <c r="E9" s="2" t="n">
        <v>60</v>
      </c>
      <c r="F9" s="2" t="n">
        <v>65</v>
      </c>
      <c r="G9" s="2" t="n">
        <v>896</v>
      </c>
      <c r="H9" s="2" t="n"/>
      <c r="I9" s="3" t="n"/>
    </row>
    <row r="10">
      <c r="A10" s="4" t="inlineStr">
        <is>
          <t>73182900</t>
        </is>
      </c>
      <c r="B10" s="5" t="inlineStr">
        <is>
          <t>Dorazy s čepem - výrobky z oceli</t>
        </is>
      </c>
      <c r="C10" s="4" t="inlineStr">
        <is>
          <t>CN</t>
        </is>
      </c>
      <c r="D10" s="4" t="n">
        <v>300</v>
      </c>
      <c r="E10" s="4" t="n">
        <v>63</v>
      </c>
      <c r="F10" s="4" t="n">
        <v>66</v>
      </c>
      <c r="G10" s="4" t="n">
        <v>639</v>
      </c>
      <c r="H10" s="4" t="inlineStr">
        <is>
          <t>CBAM</t>
        </is>
      </c>
      <c r="I10" s="5" t="inlineStr">
        <is>
          <t>CBAM zboží (železo/ocel, kód 7318/7326 v příloze I nař. 2023/956). Ověřit režim/výjimku de minimis 50 t/rok se zákazníkem.</t>
        </is>
      </c>
    </row>
    <row r="11">
      <c r="A11" s="6" t="inlineStr">
        <is>
          <t>73181568</t>
        </is>
      </c>
      <c r="B11" s="7" t="inlineStr">
        <is>
          <t>Imbusový šroub, podložka a matice</t>
        </is>
      </c>
      <c r="C11" s="6" t="inlineStr">
        <is>
          <t>CN</t>
        </is>
      </c>
      <c r="D11" s="6" t="n">
        <v>40</v>
      </c>
      <c r="E11" s="6" t="n">
        <v>5</v>
      </c>
      <c r="F11" s="6" t="n">
        <v>7</v>
      </c>
      <c r="G11" s="6" t="n">
        <v>136.6</v>
      </c>
      <c r="H11" s="6" t="inlineStr">
        <is>
          <t>CBAM + ANTIDUMPING</t>
        </is>
      </c>
      <c r="I11" s="7" t="inlineStr">
        <is>
          <t>Antidumpingové clo – spojovací prostředky ze železa/oceli z ČLR, nařízení (EU) 2022/191 (sazby 22,1–86,5 %, zbytková 86,5 %). Ověřit přesný TARIC a dodavatelský kód při podání JSD. Zároveň CBAM zboží (kap. 7318 – železo/ocel).</t>
        </is>
      </c>
    </row>
    <row r="12">
      <c r="A12" s="2" t="inlineStr">
        <is>
          <t>73251000</t>
        </is>
      </c>
      <c r="B12" s="3" t="inlineStr">
        <is>
          <t>Ostatní výrobky odlité ze železa nebo oceli</t>
        </is>
      </c>
      <c r="C12" s="2" t="inlineStr">
        <is>
          <t>CN</t>
        </is>
      </c>
      <c r="D12" s="2" t="n">
        <v>1</v>
      </c>
      <c r="E12" s="2" t="n">
        <v>13</v>
      </c>
      <c r="F12" s="2" t="n">
        <v>14</v>
      </c>
      <c r="G12" s="2" t="n">
        <v>92.3</v>
      </c>
      <c r="H12" s="2" t="n"/>
      <c r="I12" s="3" t="n"/>
    </row>
    <row r="13">
      <c r="A13" s="2" t="inlineStr">
        <is>
          <t>40169997</t>
        </is>
      </c>
      <c r="B13" s="3" t="inlineStr">
        <is>
          <t>Gumová podložka pro vozík na plynové lahve</t>
        </is>
      </c>
      <c r="C13" s="2" t="inlineStr">
        <is>
          <t>CN</t>
        </is>
      </c>
      <c r="D13" s="2" t="n">
        <v>10</v>
      </c>
      <c r="E13" s="2" t="n">
        <v>1</v>
      </c>
      <c r="F13" s="2" t="n">
        <v>2</v>
      </c>
      <c r="G13" s="2" t="n">
        <v>56</v>
      </c>
      <c r="H13" s="2" t="n"/>
      <c r="I13" s="3" t="n"/>
    </row>
    <row r="14">
      <c r="A14" s="8" t="inlineStr">
        <is>
          <t>CELKEM</t>
        </is>
      </c>
      <c r="B14" s="9" t="n"/>
      <c r="C14" s="8" t="n"/>
      <c r="D14" s="8" t="n">
        <v>3644</v>
      </c>
      <c r="E14" s="8" t="n">
        <v>23103</v>
      </c>
      <c r="F14" s="8" t="n">
        <v>25650</v>
      </c>
      <c r="G14" s="8" t="n">
        <v>133871.54</v>
      </c>
      <c r="H14" s="8" t="n"/>
      <c r="I14" s="9" t="n"/>
    </row>
    <row r="15">
      <c r="B15" s="10" t="n"/>
      <c r="I15" s="10" t="n"/>
    </row>
    <row r="16">
      <c r="A16" t="inlineStr">
        <is>
          <t>Legenda:</t>
        </is>
      </c>
      <c r="B16" s="10" t="n"/>
      <c r="I16" s="10" t="n"/>
    </row>
    <row r="17">
      <c r="A17" t="inlineStr">
        <is>
          <t>🟡 ORANŽOVÁ</t>
        </is>
      </c>
      <c r="B17" s="10" t="inlineStr">
        <is>
          <t>CBAM zboží – potvrdit uplatnění výjimky de minimis (50 t/rok) nebo režim CBAM v JSD</t>
        </is>
      </c>
      <c r="I17" s="10" t="n"/>
    </row>
    <row r="18">
      <c r="A18" t="inlineStr">
        <is>
          <t>🔴 ČERVENÁ</t>
        </is>
      </c>
      <c r="B18" s="10" t="inlineStr">
        <is>
          <t>Antidumpingové clo (nař. 2022/191, spojovací prostředky z ČLR) – zkontrolovat TARIC při podání JSD</t>
        </is>
      </c>
      <c r="I18" s="10" t="n"/>
    </row>
    <row r="19">
      <c r="A19" t="inlineStr">
        <is>
          <t>⚠ PREFERENČNÍ VĚTA</t>
        </is>
      </c>
      <c r="B19" s="10" t="inlineStr">
        <is>
          <t>NENALEZENA v žádném dokladu – uplatní se standardní clo třetí země (Čína). COO = nepreferenční certifikát CCPIT.</t>
        </is>
      </c>
      <c r="I19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9">
        <f>== ZÁSILKA ===</f>
        <v/>
      </c>
    </row>
    <row r="2">
      <c r="A2" s="10" t="inlineStr">
        <is>
          <t>Klient: Strong Hand Europe s.r.o., Prazska 410/11 / Tomase Bati 1075, 674 01 Třebíč</t>
        </is>
      </c>
    </row>
    <row r="3">
      <c r="A3" s="10" t="inlineStr">
        <is>
          <t>Dodavatel: Shanghai Welding Parts Industry &amp; Trade Co., Ltd., Šanghaj, Čína</t>
        </is>
      </c>
    </row>
    <row r="4">
      <c r="A4" s="10" t="inlineStr">
        <is>
          <t>Objednávka: SHEU2605 | Faktura: #4839 z 29.5.2026 | Podmínky: FOB Shanghai</t>
        </is>
      </c>
    </row>
    <row r="5">
      <c r="A5" s="10" t="inlineStr">
        <is>
          <t>HBL: AHD26050986 | Kontejner: MRKU4788960 (40'HQ), pečeť CN4856436 | 403 nákladových kusů, 25 650 kg GW, 68 CBM</t>
        </is>
      </c>
    </row>
    <row r="6">
      <c r="A6" s="10" t="inlineStr">
        <is>
          <t>Trasa: Šanghaj → Bremerhaven → Mělník, plavidlo AL MURAYKH / 622W (as carrier: MSK), ETD 7.6.2026, freight collect</t>
        </is>
      </c>
    </row>
    <row r="7">
      <c r="A7" s="10" t="inlineStr">
        <is>
          <t>Příjemce dokladů / zástupce: Maurice Ward &amp; Co., Kněževes</t>
        </is>
      </c>
    </row>
    <row r="8">
      <c r="A8" s="10" t="inlineStr"/>
    </row>
    <row r="9">
      <c r="A9" s="9">
        <f>== PŘIJATÉ DOKUMENTY (stav 8.7.2026) ===</f>
        <v/>
      </c>
    </row>
    <row r="10">
      <c r="A10" s="10" t="inlineStr">
        <is>
          <t>✓ Obchodní faktura CI #4839 (PDF + XLS) – celkem 133 871,54 USD</t>
        </is>
      </c>
    </row>
    <row r="11">
      <c r="A11" s="10" t="inlineStr">
        <is>
          <t>✓ Packing list SHEU2605 (PDF + XLS) – NW 23 103 kg / GW 25 650 kg</t>
        </is>
      </c>
    </row>
    <row r="12">
      <c r="A12" s="10" t="inlineStr">
        <is>
          <t>✓ INSTRUKCE1.xlsx – řádkové HS kódy + české popisy (použito jako zdroj pro sumarizaci)</t>
        </is>
      </c>
    </row>
    <row r="13">
      <c r="A13" s="10" t="inlineStr">
        <is>
          <t>✓ COO – nepreferenční certifikát původu CCPIT Šanghaj (ICC accredited CN1300101), k faktuře 4839, vystaven RETROSPEKTIVNĚ 7.6.2026</t>
        </is>
      </c>
    </row>
    <row r="14">
      <c r="A14" s="10" t="inlineStr">
        <is>
          <t>✓ HBL AHD26050986 (surrender)</t>
        </is>
      </c>
    </row>
    <row r="15">
      <c r="A15" s="10" t="inlineStr">
        <is>
          <t>✓ Supplier Confirmation (Shanghai Welding Parts) – prohlášení k čl. 3g nařízení 833/2014 (sankce Rusko)</t>
        </is>
      </c>
    </row>
    <row r="16">
      <c r="A16" s="10" t="inlineStr">
        <is>
          <t>✓ MTC – Anhui Luan Steel, inspekční certifikát 2501050311 z 5.1.2025, ocel jakosti 45 (GB/T711), tavba/výroba Čína</t>
        </is>
      </c>
    </row>
    <row r="17">
      <c r="A17" s="10" t="inlineStr"/>
    </row>
    <row r="18">
      <c r="A18" s="9">
        <f>== ⚠ PREFERENČNÍ VĚTA (COO) – DŮLEŽITÉ ===</f>
        <v/>
      </c>
    </row>
    <row r="19">
      <c r="A19" s="10" t="inlineStr">
        <is>
          <t>V žádném z dokladů NENÍ preferenční věta / prohlášení o preferenčním původu.</t>
        </is>
      </c>
    </row>
    <row r="20">
      <c r="A20" s="10" t="inlineStr">
        <is>
          <t>COO je nepreferenční (CCPIT) – mezi EU a Čínou žádná preference neexistuje.</t>
        </is>
      </c>
    </row>
    <row r="21">
      <c r="A21" s="10" t="inlineStr">
        <is>
          <t>→ Uplatní se standardní smluvní clo třetí země dle TARIC pro každý HS kód.</t>
        </is>
      </c>
    </row>
    <row r="22">
      <c r="A22" s="10" t="inlineStr"/>
    </row>
    <row r="23">
      <c r="A23" s="9">
        <f>== CBAM ===</f>
        <v/>
      </c>
    </row>
    <row r="24">
      <c r="A24" s="10" t="inlineStr">
        <is>
          <t>Dotčené HS kódy (příloha I nař. 2023/956, železo/ocel): 73181568 (NW 5 kg), 73182900 (NW 63 kg), 73269098 (NW 1 492 kg).</t>
        </is>
      </c>
    </row>
    <row r="25">
      <c r="A25" s="10" t="inlineStr">
        <is>
          <t>Celkem CBAM zboží v zásilce: cca 1 560 kg NW = 1,56 t.</t>
        </is>
      </c>
    </row>
    <row r="26">
      <c r="A26" s="10" t="inlineStr">
        <is>
          <t>Kódy 73251000 a 73259990 (čísla 7325 – odlitky) v příloze I CBAM uvedeny NEJSOU.</t>
        </is>
      </c>
    </row>
    <row r="27">
      <c r="A27" s="10" t="inlineStr">
        <is>
          <t>POZOR: při této velikosti zásilky nelze automaticky předpokládat výjimku de minimis 50 t/rok – ověřit u klienta roční objem dovozu CBAM zboží. Pokud pod 50 t/rok → kód Y137 v JSD.</t>
        </is>
      </c>
    </row>
    <row r="28">
      <c r="A28" s="10" t="inlineStr"/>
    </row>
    <row r="29">
      <c r="A29" s="9">
        <f>== ANTIDUMPING – 73181568 (spojovací prostředky, CN) ===</f>
        <v/>
      </c>
    </row>
    <row r="30">
      <c r="A30" s="10" t="inlineStr">
        <is>
          <t>Šrouby s vnitřním šestihranem (T28-48235 FLUSH MNT CONNECT BOLT, 932605 Socket Shoulder Screw).</t>
        </is>
      </c>
    </row>
    <row r="31">
      <c r="A31" s="10" t="inlineStr">
        <is>
          <t>Nařízení (EU) 2022/191 – antidumpingové clo na spojovací prostředky ze železa/oceli z ČLR, sazby 22,1–86,5 % (zbytková 86,5 %).</t>
        </is>
      </c>
    </row>
    <row r="32">
      <c r="A32" s="10" t="inlineStr">
        <is>
          <t>Hodnota dotčeného zboží: 136,60 USD, NW 5 kg – dopad malý, ale clo se uplatní.</t>
        </is>
      </c>
    </row>
    <row r="33">
      <c r="A33" s="10" t="inlineStr">
        <is>
          <t>Ověřit při podání JSD: přesný 10místný TARIC, zda výrobce nemá individuální sazbu; nerezové spojovací prostředky do působnosti nařízení nespadají.</t>
        </is>
      </c>
    </row>
    <row r="34">
      <c r="A34" s="10" t="inlineStr"/>
    </row>
    <row r="35">
      <c r="A35" s="9">
        <f>== SANKCE RUSKO (čl. 3g nař. 833/2014) ===</f>
        <v/>
      </c>
    </row>
    <row r="36">
      <c r="A36" s="10" t="inlineStr">
        <is>
          <t>Zboží kap. 72/73: Supplier Confirmation potvrzuje, že výrobky nepocházejí z Ruska, nebyly z Ruska vyvezeny ani zpracovány z ruských vstupů (7206–7229, kap. 73).</t>
        </is>
      </c>
    </row>
    <row r="37">
      <c r="A37" s="10" t="inlineStr">
        <is>
          <t>MTC od Luan Steel (Anhui, Čína) dokládá tavbu a lití v Číně. → Podmínka "melted and poured" splněna, doklady kompletní.</t>
        </is>
      </c>
    </row>
    <row r="38">
      <c r="A38" s="10" t="inlineStr"/>
    </row>
    <row r="39">
      <c r="A39" s="9">
        <f>== CELNÍ HODNOTA / INCOTERM ===</f>
        <v/>
      </c>
    </row>
    <row r="40">
      <c r="A40" s="10" t="inlineStr">
        <is>
          <t>Faktura FOB Shanghai, freight collect → k celní hodnotě nutno připočíst námořní dopravné (a pojištění) do místa vstupu do EU.</t>
        </is>
      </c>
    </row>
    <row r="41">
      <c r="A41" s="10" t="inlineStr">
        <is>
          <t>→ Vyžádat fakturu za dopravu od Maurice Ward &amp; Co. před podáním JSD. (Incoterm se dle pravidel do sumarizace neuvádí.)</t>
        </is>
      </c>
    </row>
    <row r="42">
      <c r="A42" s="10" t="inlineStr"/>
    </row>
    <row r="43">
      <c r="A43" s="9">
        <f>== HMOTNOSTI A KONTROLY ===</f>
        <v/>
      </c>
    </row>
    <row r="44">
      <c r="A44" s="10" t="inlineStr">
        <is>
          <t>NW 23 103 kg a GW 25 650 kg ověřeny křížem: packing list = HBL = INSTRUKCE (řádkové součty sedí přesně).</t>
        </is>
      </c>
    </row>
    <row r="45">
      <c r="A45" s="10" t="inlineStr">
        <is>
          <t>Hodnota 133 871,54 USD ověřena: faktura PDF = XLS = součet řádků INSTRUKCE.</t>
        </is>
      </c>
    </row>
    <row r="46">
      <c r="A46" s="10" t="inlineStr">
        <is>
          <t>Na faktuře NENÍ žádná obchodní sleva → žádné proporcionální rozpočítání.</t>
        </is>
      </c>
    </row>
    <row r="47">
      <c r="A47" s="10" t="inlineStr">
        <is>
          <t>Deklarované HS na HBL: 940320 – odpovídá dominantnímu kódu 94032080.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2026-07-08T10:10:51Z</dcterms:created>
  <dcterms:modified xsi:type="dcterms:W3CDTF">2026-07-08T10:10:51Z</dcterms:modified>
</cp:coreProperties>
</file>