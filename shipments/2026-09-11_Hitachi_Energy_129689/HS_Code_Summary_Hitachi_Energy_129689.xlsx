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" sheetId="1" state="visible" r:id="rId1"/>
    <sheet name="Export decl – položky" sheetId="2" state="visible" r:id="rId2"/>
    <sheet name="Detail položek" sheetId="3" state="visible" r:id="rId3"/>
    <sheet name="Původ – rozpad" sheetId="4" state="visible" r:id="rId4"/>
    <sheet name="Kontroly a upozorněn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1F3864"/>
      <sz val="12"/>
    </font>
    <font>
      <name val="Arial"/>
      <b val="1"/>
      <color rgb="001F3864"/>
      <sz val="13"/>
    </font>
    <font>
      <name val="Arial"/>
      <b val="1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pivotButton="0" quotePrefix="0" xfId="0"/>
    <xf numFmtId="164" fontId="2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5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4" fontId="3" fillId="3" borderId="1" applyAlignment="1" pivotButton="0" quotePrefix="0" xfId="0">
      <alignment vertical="top"/>
    </xf>
    <xf numFmtId="0" fontId="7" fillId="0" borderId="0" pivotButton="0" quotePrefix="0" xfId="0"/>
    <xf numFmtId="0" fontId="8" fillId="5" borderId="1" pivotButton="0" quotePrefix="0" xfId="0"/>
    <xf numFmtId="0" fontId="9" fillId="5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3" ySplit="14" topLeftCell="D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46" customWidth="1" min="4" max="4"/>
    <col width="42" customWidth="1" min="5" max="5"/>
    <col width="13" customWidth="1" min="6" max="6"/>
    <col width="13" customWidth="1" min="7" max="7"/>
    <col width="15" customWidth="1" min="8" max="8"/>
    <col width="11" customWidth="1" min="9" max="9"/>
    <col width="15" customWidth="1" min="10" max="10"/>
    <col width="24" customWidth="1" min="11" max="11"/>
    <col width="22" customWidth="1" min="12" max="12"/>
    <col width="26" customWidth="1" min="13" max="13"/>
    <col width="26" customWidth="1" min="14" max="14"/>
    <col width="60" customWidth="1" min="15" max="15"/>
  </cols>
  <sheetData>
    <row r="1">
      <c r="A1" s="1" t="inlineStr">
        <is>
          <t>SOUHRN HS KÓDŮ – Hitachi Energy, faktura 129689</t>
        </is>
      </c>
    </row>
    <row r="3">
      <c r="A3" s="2" t="inlineStr">
        <is>
          <t>Odesílatel (sender):</t>
        </is>
      </c>
      <c r="B3" s="3" t="inlineStr">
        <is>
          <t>Hitachi Energy UK Limited, Alpha Tower, Suffolk Street Queensway, Birmingham B1 1TT, GB (EORI GB641401089000)</t>
        </is>
      </c>
    </row>
    <row r="4">
      <c r="A4" s="2" t="inlineStr">
        <is>
          <t>Příjemce (CZ receiver):</t>
        </is>
      </c>
      <c r="B4" s="3" t="inlineStr">
        <is>
          <t>Hitachi Energy Czech Republic s.r.o., Průmyslová 137, 541 01 Trutnov, CZ – EORI CZ08136289</t>
        </is>
      </c>
    </row>
    <row r="5">
      <c r="A5" s="2" t="inlineStr">
        <is>
          <t>Faktura / projekt č.:</t>
        </is>
      </c>
      <c r="B5" s="3" t="inlineStr">
        <is>
          <t>129689 ze dne 13.08.2026 (ref. HWUP PGGA; v e-mailu uvedeno „129869 -0-0-00-FRP“ – viz kontroly)</t>
        </is>
      </c>
    </row>
    <row r="6">
      <c r="A6" s="2" t="inlineStr">
        <is>
          <t>Export declaration:</t>
        </is>
      </c>
      <c r="B6" s="3" t="inlineStr">
        <is>
          <t>1400045712 ze dne 19.08.2026 (Hitachi Energy UK Ltd)</t>
        </is>
      </c>
    </row>
    <row r="7">
      <c r="A7" s="2" t="inlineStr">
        <is>
          <t>MRN vývozu (SCP):</t>
        </is>
      </c>
      <c r="B7" s="3" t="inlineStr">
        <is>
          <t>26GB000246SZVJOHJ0 (DSV Road, zásilka GBPFT608004151 / MSA850/012)</t>
        </is>
      </c>
    </row>
    <row r="8">
      <c r="A8" s="2" t="inlineStr">
        <is>
          <t>Dodací podmínka (Incoterm):</t>
        </is>
      </c>
      <c r="B8" s="3" t="inlineStr">
        <is>
          <t>CPT Trutnov, Česká republika</t>
        </is>
      </c>
    </row>
    <row r="9">
      <c r="A9" s="2" t="inlineStr">
        <is>
          <t>Země odeslání → určení:</t>
        </is>
      </c>
      <c r="B9" s="3" t="inlineStr">
        <is>
          <t>GB (Spojené království) → CZ (Česká republika)</t>
        </is>
      </c>
    </row>
    <row r="10">
      <c r="A10" s="2" t="inlineStr">
        <is>
          <t>Měna:</t>
        </is>
      </c>
      <c r="B10" s="3" t="inlineStr">
        <is>
          <t>GBP</t>
        </is>
      </c>
    </row>
    <row r="11">
      <c r="A11" s="2" t="inlineStr">
        <is>
          <t>Kusů / hmotnost:</t>
        </is>
      </c>
      <c r="B11" s="3" t="inlineStr">
        <is>
          <t>2 palety; hrubá hmotnost 116 kg dle Packing Note (46 kg + 70 kg)</t>
        </is>
      </c>
    </row>
    <row r="12">
      <c r="A12" s="2" t="inlineStr">
        <is>
          <t>Vykládka:</t>
        </is>
      </c>
      <c r="B12" s="3" t="inlineStr">
        <is>
          <t>14./15.09.2026, Trutnov, Průmyslová 137</t>
        </is>
      </c>
    </row>
    <row r="14" ht="46" customHeight="1">
      <c r="A14" s="4" t="inlineStr">
        <is>
          <t>Odesílatel</t>
        </is>
      </c>
      <c r="B14" s="4" t="inlineStr">
        <is>
          <t>HS kód (CN 8)</t>
        </is>
      </c>
      <c r="C14" s="4" t="inlineStr">
        <is>
          <t>TARIC (10)</t>
        </is>
      </c>
      <c r="D14" s="4" t="inlineStr">
        <is>
          <t>Popis zboží (CZ)</t>
        </is>
      </c>
      <c r="E14" s="4" t="inlineStr">
        <is>
          <t>Description (EN – zdrojové doklady)</t>
        </is>
      </c>
      <c r="F14" s="4" t="inlineStr">
        <is>
          <t>Čistá hmotnost (kg)</t>
        </is>
      </c>
      <c r="G14" s="4" t="inlineStr">
        <is>
          <t>Hrubá hmotnost (kg)</t>
        </is>
      </c>
      <c r="H14" s="4" t="inlineStr">
        <is>
          <t>Hrubá hm. – přepočet na 116 kg (ODHAD)</t>
        </is>
      </c>
      <c r="I14" s="4" t="inlineStr">
        <is>
          <t>Množství (ks)</t>
        </is>
      </c>
      <c r="J14" s="4" t="inlineStr">
        <is>
          <t>Celní hodnota (GBP)</t>
        </is>
      </c>
      <c r="K14" s="4" t="inlineStr">
        <is>
          <t>Země původu</t>
        </is>
      </c>
      <c r="L14" s="4" t="inlineStr">
        <is>
          <t>Incoterm</t>
        </is>
      </c>
      <c r="M14" s="4" t="inlineStr">
        <is>
          <t>CBAM</t>
        </is>
      </c>
      <c r="N14" s="4" t="inlineStr">
        <is>
          <t>Antidumping</t>
        </is>
      </c>
      <c r="O14" s="4" t="inlineStr">
        <is>
          <t>Poznámka / kontrola</t>
        </is>
      </c>
    </row>
    <row r="15">
      <c r="A15" s="5" t="inlineStr">
        <is>
          <t>Hitachi Energy UK Limited</t>
        </is>
      </c>
      <c r="B15" s="6" t="inlineStr">
        <is>
          <t>39269097</t>
        </is>
      </c>
      <c r="C15" s="6" t="inlineStr">
        <is>
          <t>3926909790</t>
        </is>
      </c>
      <c r="D15" s="5" t="inlineStr">
        <is>
          <t>Ostatní výrobky z plastů – příslušenství kabeláže (zámky a záslepky portů RJ45 / USB)</t>
        </is>
      </c>
      <c r="E15" s="5" t="inlineStr">
        <is>
          <t>Cable Acc_RJ45 Port Lock Basic; Cable Acc_Port lock key; Cable Acc_USB Type-A Blue Port Blocker</t>
        </is>
      </c>
      <c r="F15" s="7">
        <f>SUMIF('Export decl – položky'!$B$4:$B$25,$C15,'Export decl – položky'!$E$4:$E$25)</f>
        <v>2.09</v>
      </c>
      <c r="G15" s="7">
        <f>SUMIF('Export decl – položky'!$B$4:$B$25,$C15,'Export decl – položky'!$D$4:$D$25)</f>
        <v>3.18</v>
      </c>
      <c r="H15" s="7">
        <f>ROUND(G15/SUM($G$15:$G$31)*116.0,2)</f>
        <v>5.27</v>
      </c>
      <c r="I15" s="8">
        <f>SUMIF('Detail položek'!$F$4:$F$40,$C15,'Detail položek'!$G$4:$G$40)</f>
        <v>14</v>
      </c>
      <c r="J15" s="9">
        <f>ROUND(SUMIF('Detail položek'!$F$4:$F$40,$C15,'Detail položek'!$I$4:$I$40),2)</f>
        <v>664.0</v>
      </c>
      <c r="K15" s="5" t="inlineStr">
        <is>
          <t>KR – Jižní Korea</t>
        </is>
      </c>
      <c r="L15" s="6" t="inlineStr">
        <is>
          <t>CPT Trutnov, Česká republika</t>
        </is>
      </c>
      <c r="M15" s="6" t="inlineStr">
        <is>
          <t>Ne – nepodléhá (mimo přílohu I CBAM)</t>
        </is>
      </c>
      <c r="N15" s="6" t="inlineStr">
        <is>
          <t>Ne</t>
        </is>
      </c>
      <c r="O15" s="10" t="inlineStr">
        <is>
          <t>⚠ Původ: faktura i Supplier Declaration uvádějí SOUTH KOREA (KR), export declaration uvádí „SK“ = Slovensko. Nutno opravit na KR.</t>
        </is>
      </c>
    </row>
    <row r="16">
      <c r="A16" s="5" t="inlineStr">
        <is>
          <t>Hitachi Energy UK Limited</t>
        </is>
      </c>
      <c r="B16" s="6" t="inlineStr">
        <is>
          <t>84433210</t>
        </is>
      </c>
      <c r="C16" s="6" t="inlineStr">
        <is>
          <t>8443321000</t>
        </is>
      </c>
      <c r="D16" s="5" t="inlineStr">
        <is>
          <t>Laserová tiskárna připojitelná k zařízení pro automatizované zpracování dat</t>
        </is>
      </c>
      <c r="E16" s="5" t="inlineStr">
        <is>
          <t>IT HW_Printer Color LaserJet</t>
        </is>
      </c>
      <c r="F16" s="7">
        <f>SUMIF('Export decl – položky'!$B$4:$B$25,$C16,'Export decl – položky'!$E$4:$E$25)</f>
        <v>2.09</v>
      </c>
      <c r="G16" s="7">
        <f>SUMIF('Export decl – položky'!$B$4:$B$25,$C16,'Export decl – položky'!$D$4:$D$25)</f>
        <v>3.18</v>
      </c>
      <c r="H16" s="7">
        <f>ROUND(G16/SUM($G$15:$G$31)*116.0,2)</f>
        <v>5.27</v>
      </c>
      <c r="I16" s="8">
        <f>SUMIF('Detail položek'!$F$4:$F$40,$C16,'Detail položek'!$G$4:$G$40)</f>
        <v>1</v>
      </c>
      <c r="J16" s="9">
        <f>ROUND(SUMIF('Detail položek'!$F$4:$F$40,$C16,'Detail položek'!$I$4:$I$40),2)</f>
        <v>406.45</v>
      </c>
      <c r="K16" s="5" t="inlineStr">
        <is>
          <t>CN – Čína</t>
        </is>
      </c>
      <c r="L16" s="6" t="inlineStr">
        <is>
          <t>CPT Trutnov, Česká republika</t>
        </is>
      </c>
      <c r="M16" s="6" t="inlineStr">
        <is>
          <t>Ne – nepodléhá (mimo přílohu I CBAM)</t>
        </is>
      </c>
      <c r="N16" s="6" t="inlineStr">
        <is>
          <t>Ne</t>
        </is>
      </c>
      <c r="O16" s="5" t="inlineStr"/>
    </row>
    <row r="17">
      <c r="A17" s="5" t="inlineStr">
        <is>
          <t>Hitachi Energy UK Limited</t>
        </is>
      </c>
      <c r="B17" s="6" t="inlineStr">
        <is>
          <t>84715000</t>
        </is>
      </c>
      <c r="C17" s="6" t="inlineStr">
        <is>
          <t>8471500000</t>
        </is>
      </c>
      <c r="D17" s="5" t="inlineStr">
        <is>
          <t>Zpracovatelské jednotky pro automatizované zpracování dat (průmyslový server)</t>
        </is>
      </c>
      <c r="E17" s="5" t="inlineStr">
        <is>
          <t>IT HW_Server CTOS: V2.0</t>
        </is>
      </c>
      <c r="F17" s="7">
        <f>SUMIF('Export decl – položky'!$B$4:$B$25,$C17,'Export decl – položky'!$E$4:$E$25)</f>
        <v>2.09</v>
      </c>
      <c r="G17" s="7">
        <f>SUMIF('Export decl – položky'!$B$4:$B$25,$C17,'Export decl – položky'!$D$4:$D$25)</f>
        <v>3.18</v>
      </c>
      <c r="H17" s="7">
        <f>ROUND(G17/SUM($G$15:$G$31)*116.0,2)</f>
        <v>5.27</v>
      </c>
      <c r="I17" s="8">
        <f>SUMIF('Detail položek'!$F$4:$F$40,$C17,'Detail položek'!$G$4:$G$40)</f>
        <v>3</v>
      </c>
      <c r="J17" s="9">
        <f>ROUND(SUMIF('Detail položek'!$F$4:$F$40,$C17,'Detail položek'!$I$4:$I$40),2)</f>
        <v>30215.35</v>
      </c>
      <c r="K17" s="5" t="inlineStr">
        <is>
          <t>CN – Čína</t>
        </is>
      </c>
      <c r="L17" s="6" t="inlineStr">
        <is>
          <t>CPT Trutnov, Česká republika</t>
        </is>
      </c>
      <c r="M17" s="6" t="inlineStr">
        <is>
          <t>Ne – nepodléhá (mimo přílohu I CBAM)</t>
        </is>
      </c>
      <c r="N17" s="6" t="inlineStr">
        <is>
          <t>Ne</t>
        </is>
      </c>
      <c r="O17" s="5" t="inlineStr">
        <is>
          <t>Nejvyšší hodnotová položka zásilky (30 215,35 GBP).</t>
        </is>
      </c>
    </row>
    <row r="18">
      <c r="A18" s="5" t="inlineStr">
        <is>
          <t>Hitachi Energy UK Limited</t>
        </is>
      </c>
      <c r="B18" s="6" t="inlineStr">
        <is>
          <t>84716060</t>
        </is>
      </c>
      <c r="C18" s="6" t="inlineStr">
        <is>
          <t>8471606000</t>
        </is>
      </c>
      <c r="D18" s="5" t="inlineStr">
        <is>
          <t>Klávesnice k zařízení pro automatizované zpracování dat</t>
        </is>
      </c>
      <c r="E18" s="5" t="inlineStr">
        <is>
          <t>IT HW_K120 Wired USB Black Keyboard</t>
        </is>
      </c>
      <c r="F18" s="7">
        <f>SUMIF('Export decl – položky'!$B$4:$B$25,$C18,'Export decl – položky'!$E$4:$E$25)</f>
        <v>2.09</v>
      </c>
      <c r="G18" s="7">
        <f>SUMIF('Export decl – položky'!$B$4:$B$25,$C18,'Export decl – položky'!$D$4:$D$25)</f>
        <v>3.18</v>
      </c>
      <c r="H18" s="7">
        <f>ROUND(G18/SUM($G$15:$G$31)*116.0,2)</f>
        <v>5.27</v>
      </c>
      <c r="I18" s="8">
        <f>SUMIF('Detail položek'!$F$4:$F$40,$C18,'Detail položek'!$G$4:$G$40)</f>
        <v>1</v>
      </c>
      <c r="J18" s="9">
        <f>ROUND(SUMIF('Detail položek'!$F$4:$F$40,$C18,'Detail položek'!$I$4:$I$40),2)</f>
        <v>13.33</v>
      </c>
      <c r="K18" s="5" t="inlineStr">
        <is>
          <t>CN – Čína</t>
        </is>
      </c>
      <c r="L18" s="6" t="inlineStr">
        <is>
          <t>CPT Trutnov, Česká republika</t>
        </is>
      </c>
      <c r="M18" s="6" t="inlineStr">
        <is>
          <t>Ne – nepodléhá (mimo přílohu I CBAM)</t>
        </is>
      </c>
      <c r="N18" s="6" t="inlineStr">
        <is>
          <t>Ne</t>
        </is>
      </c>
      <c r="O18" s="5" t="inlineStr"/>
    </row>
    <row r="19">
      <c r="A19" s="5" t="inlineStr">
        <is>
          <t>Hitachi Energy UK Limited</t>
        </is>
      </c>
      <c r="B19" s="6" t="inlineStr">
        <is>
          <t>84716070</t>
        </is>
      </c>
      <c r="C19" s="6" t="inlineStr">
        <is>
          <t>8471607000</t>
        </is>
      </c>
      <c r="D19" s="5" t="inlineStr">
        <is>
          <t>Ostatní vstupní jednotky – počítačová myš</t>
        </is>
      </c>
      <c r="E19" s="5" t="inlineStr">
        <is>
          <t>IT HW_Wired,USB Optical, Black, Mouse</t>
        </is>
      </c>
      <c r="F19" s="7">
        <f>SUMIF('Export decl – položky'!$B$4:$B$25,$C19,'Export decl – položky'!$E$4:$E$25)</f>
        <v>2.09</v>
      </c>
      <c r="G19" s="7">
        <f>SUMIF('Export decl – položky'!$B$4:$B$25,$C19,'Export decl – položky'!$D$4:$D$25)</f>
        <v>3.18</v>
      </c>
      <c r="H19" s="7">
        <f>ROUND(G19/SUM($G$15:$G$31)*116.0,2)</f>
        <v>5.27</v>
      </c>
      <c r="I19" s="8">
        <f>SUMIF('Detail položek'!$F$4:$F$40,$C19,'Detail položek'!$G$4:$G$40)</f>
        <v>1</v>
      </c>
      <c r="J19" s="9">
        <f>ROUND(SUMIF('Detail položek'!$F$4:$F$40,$C19,'Detail položek'!$I$4:$I$40),2)</f>
        <v>8.33</v>
      </c>
      <c r="K19" s="5" t="inlineStr">
        <is>
          <t>CN – Čína</t>
        </is>
      </c>
      <c r="L19" s="6" t="inlineStr">
        <is>
          <t>CPT Trutnov, Česká republika</t>
        </is>
      </c>
      <c r="M19" s="6" t="inlineStr">
        <is>
          <t>Ne – nepodléhá (mimo přílohu I CBAM)</t>
        </is>
      </c>
      <c r="N19" s="6" t="inlineStr">
        <is>
          <t>Ne</t>
        </is>
      </c>
      <c r="O19" s="5" t="inlineStr"/>
    </row>
    <row r="20">
      <c r="A20" s="5" t="inlineStr">
        <is>
          <t>Hitachi Energy UK Limited</t>
        </is>
      </c>
      <c r="B20" s="6" t="inlineStr">
        <is>
          <t>84718000</t>
        </is>
      </c>
      <c r="C20" s="6" t="inlineStr">
        <is>
          <t>8471800000</t>
        </is>
      </c>
      <c r="D20" s="5" t="inlineStr">
        <is>
          <t>Ostatní jednotky zařízení pro automatizované zpracování dat (KVM přepínač USB/DVI)</t>
        </is>
      </c>
      <c r="E20" s="5" t="inlineStr">
        <is>
          <t>Switch 2port USB DVI Dual link</t>
        </is>
      </c>
      <c r="F20" s="7">
        <f>SUMIF('Export decl – položky'!$B$4:$B$25,$C20,'Export decl – položky'!$E$4:$E$25)</f>
        <v>2.09</v>
      </c>
      <c r="G20" s="7">
        <f>SUMIF('Export decl – položky'!$B$4:$B$25,$C20,'Export decl – položky'!$D$4:$D$25)</f>
        <v>3.18</v>
      </c>
      <c r="H20" s="7">
        <f>ROUND(G20/SUM($G$15:$G$31)*116.0,2)</f>
        <v>5.27</v>
      </c>
      <c r="I20" s="8">
        <f>SUMIF('Detail položek'!$F$4:$F$40,$C20,'Detail položek'!$G$4:$G$40)</f>
        <v>2</v>
      </c>
      <c r="J20" s="9">
        <f>ROUND(SUMIF('Detail položek'!$F$4:$F$40,$C20,'Detail položek'!$I$4:$I$40),2)</f>
        <v>756.0</v>
      </c>
      <c r="K20" s="5" t="inlineStr">
        <is>
          <t>TW – Tchaj-wan</t>
        </is>
      </c>
      <c r="L20" s="6" t="inlineStr">
        <is>
          <t>CPT Trutnov, Česká republika</t>
        </is>
      </c>
      <c r="M20" s="6" t="inlineStr">
        <is>
          <t>Ne – nepodléhá (mimo přílohu I CBAM)</t>
        </is>
      </c>
      <c r="N20" s="6" t="inlineStr">
        <is>
          <t>Ne</t>
        </is>
      </c>
      <c r="O20" s="5" t="inlineStr">
        <is>
          <t>Na faktuře 2× samostatný řádek (ř. 5 a ř. 37), sloučeno.</t>
        </is>
      </c>
    </row>
    <row r="21">
      <c r="A21" s="5" t="inlineStr">
        <is>
          <t>Hitachi Energy UK Limited</t>
        </is>
      </c>
      <c r="B21" s="6" t="inlineStr">
        <is>
          <t>85044087</t>
        </is>
      </c>
      <c r="C21" s="6" t="inlineStr">
        <is>
          <t>8504408790</t>
        </is>
      </c>
      <c r="D21" s="5" t="inlineStr">
        <is>
          <t>Statický měnič – modulární invertor a jeho příslušenství (ochranný kryt)</t>
        </is>
      </c>
      <c r="E21" s="5" t="inlineStr">
        <is>
          <t>Inverter_Modular Bravo 25-110/230-277; Cab Acc_Back protection shell for BRAVO</t>
        </is>
      </c>
      <c r="F21" s="7">
        <f>SUMIF('Export decl – položky'!$B$4:$B$25,$C21,'Export decl – položky'!$E$4:$E$25)</f>
        <v>2.09</v>
      </c>
      <c r="G21" s="7">
        <f>SUMIF('Export decl – položky'!$B$4:$B$25,$C21,'Export decl – položky'!$D$4:$D$25)</f>
        <v>3.18</v>
      </c>
      <c r="H21" s="7">
        <f>ROUND(G21/SUM($G$15:$G$31)*116.0,2)</f>
        <v>5.27</v>
      </c>
      <c r="I21" s="8">
        <f>SUMIF('Detail položek'!$F$4:$F$40,$C21,'Detail položek'!$G$4:$G$40)</f>
        <v>2</v>
      </c>
      <c r="J21" s="9">
        <f>ROUND(SUMIF('Detail položek'!$F$4:$F$40,$C21,'Detail položek'!$I$4:$I$40),2)</f>
        <v>2914.0</v>
      </c>
      <c r="K21" s="5" t="inlineStr">
        <is>
          <t>BE – Belgie</t>
        </is>
      </c>
      <c r="L21" s="6" t="inlineStr">
        <is>
          <t>CPT Trutnov, Česká republika</t>
        </is>
      </c>
      <c r="M21" s="6" t="inlineStr">
        <is>
          <t>Ne – nepodléhá (mimo přílohu I CBAM)</t>
        </is>
      </c>
      <c r="N21" s="6" t="inlineStr">
        <is>
          <t>Ne</t>
        </is>
      </c>
      <c r="O21" s="10" t="inlineStr">
        <is>
          <t>⚠ Rozpor HS: faktura + Supplier Declaration uvádějí 8504 40 86, export declaration 8504 40 87 90. Nutno ověřit správné podpoložky v TARIC.</t>
        </is>
      </c>
    </row>
    <row r="22">
      <c r="A22" s="5" t="inlineStr">
        <is>
          <t>Hitachi Energy UK Limited</t>
        </is>
      </c>
      <c r="B22" s="6" t="inlineStr">
        <is>
          <t>85176200</t>
        </is>
      </c>
      <c r="C22" s="6" t="inlineStr">
        <is>
          <t>8517620000</t>
        </is>
      </c>
      <c r="D22" s="5" t="inlineStr">
        <is>
          <t>Přístroje pro příjem, konverzi, vysílání nebo regeneraci hlasu, obrazu nebo jiných dat (SFP moduly, optické převodníky, KVM over IP, ethernetový přepínač)</t>
        </is>
      </c>
      <c r="E22" s="5" t="inlineStr">
        <is>
          <t>SFP_Hardened; NPort; TCF-90; Router DVI-I KVM IP Rec./Transm.; SFP_SM; SFP Transceivers; Switch Ether_SEL 2741 SDN</t>
        </is>
      </c>
      <c r="F22" s="7">
        <f>SUMIF('Export decl – položky'!$B$4:$B$25,$C22,'Export decl – položky'!$E$4:$E$25)</f>
        <v>6.27</v>
      </c>
      <c r="G22" s="7">
        <f>SUMIF('Export decl – položky'!$B$4:$B$25,$C22,'Export decl – položky'!$D$4:$D$25)</f>
        <v>9.54</v>
      </c>
      <c r="H22" s="7">
        <f>ROUND(G22/SUM($G$15:$G$31)*116.0,2)</f>
        <v>15.81</v>
      </c>
      <c r="I22" s="8">
        <f>SUMIF('Detail položek'!$F$4:$F$40,$C22,'Detail položek'!$G$4:$G$40)</f>
        <v>37</v>
      </c>
      <c r="J22" s="9">
        <f>ROUND(SUMIF('Detail položek'!$F$4:$F$40,$C22,'Detail položek'!$I$4:$I$40),2)</f>
        <v>12677.33</v>
      </c>
      <c r="K22" s="5" t="inlineStr">
        <is>
          <t>TW – Tchaj-wan; CN – Čína; US – USA</t>
        </is>
      </c>
      <c r="L22" s="6" t="inlineStr">
        <is>
          <t>CPT Trutnov, Česká republika</t>
        </is>
      </c>
      <c r="M22" s="6" t="inlineStr">
        <is>
          <t>Ne – nepodléhá (mimo přílohu I CBAM)</t>
        </is>
      </c>
      <c r="N22" s="6" t="inlineStr">
        <is>
          <t>Ne</t>
        </is>
      </c>
      <c r="O22" s="10" t="inlineStr">
        <is>
          <t>⚠ Rozpor HS: SFP-GMM-2K je na faktuře pod 8517 60 00, export declaration ho zařadila do 8517 62 00. ⚠ Jeden HS kód, tři země původu (TW 8 215,60 / CN 849,90 / US 3 611,83 GBP) – pro JSD nutno rozdělit na 3 položky, viz list „Původ – rozpad“.</t>
        </is>
      </c>
    </row>
    <row r="23">
      <c r="A23" s="5" t="inlineStr">
        <is>
          <t>Hitachi Energy UK Limited</t>
        </is>
      </c>
      <c r="B23" s="6" t="inlineStr">
        <is>
          <t>85235110</t>
        </is>
      </c>
      <c r="C23" s="6" t="inlineStr">
        <is>
          <t>8523511000</t>
        </is>
      </c>
      <c r="D23" s="5" t="inlineStr">
        <is>
          <t>Polovodičové energeticky nezávislé paměťové zařízení – externí SSD disk (nezaznamenané)</t>
        </is>
      </c>
      <c r="E23" s="5" t="inlineStr">
        <is>
          <t>TB External SSD Hard Drive</t>
        </is>
      </c>
      <c r="F23" s="7">
        <f>SUMIF('Export decl – položky'!$B$4:$B$25,$C23,'Export decl – položky'!$E$4:$E$25)</f>
        <v>2.09</v>
      </c>
      <c r="G23" s="7">
        <f>SUMIF('Export decl – položky'!$B$4:$B$25,$C23,'Export decl – položky'!$D$4:$D$25)</f>
        <v>3.18</v>
      </c>
      <c r="H23" s="7">
        <f>ROUND(G23/SUM($G$15:$G$31)*116.0,2)</f>
        <v>5.27</v>
      </c>
      <c r="I23" s="8">
        <f>SUMIF('Detail položek'!$F$4:$F$40,$C23,'Detail položek'!$G$4:$G$40)</f>
        <v>1</v>
      </c>
      <c r="J23" s="9">
        <f>ROUND(SUMIF('Detail položek'!$F$4:$F$40,$C23,'Detail položek'!$I$4:$I$40),2)</f>
        <v>630.0</v>
      </c>
      <c r="K23" s="5" t="inlineStr">
        <is>
          <t>CN – Čína</t>
        </is>
      </c>
      <c r="L23" s="6" t="inlineStr">
        <is>
          <t>CPT Trutnov, Česká republika</t>
        </is>
      </c>
      <c r="M23" s="6" t="inlineStr">
        <is>
          <t>Ne – nepodléhá (mimo přílohu I CBAM)</t>
        </is>
      </c>
      <c r="N23" s="6" t="inlineStr">
        <is>
          <t>Ne</t>
        </is>
      </c>
      <c r="O23" s="5" t="inlineStr"/>
    </row>
    <row r="24">
      <c r="A24" s="5" t="inlineStr">
        <is>
          <t>Hitachi Energy UK Limited</t>
        </is>
      </c>
      <c r="B24" s="6" t="inlineStr">
        <is>
          <t>85285210</t>
        </is>
      </c>
      <c r="C24" s="6" t="inlineStr">
        <is>
          <t>8528521000</t>
        </is>
      </c>
      <c r="D24" s="5" t="inlineStr">
        <is>
          <t>Monitor schopný přímého připojení k zařízení pro automatizované zpracování dat</t>
        </is>
      </c>
      <c r="E24" s="5" t="inlineStr">
        <is>
          <t>E27 G5 - E-Series - LED monitor</t>
        </is>
      </c>
      <c r="F24" s="7">
        <f>SUMIF('Export decl – položky'!$B$4:$B$25,$C24,'Export decl – položky'!$E$4:$E$25)</f>
        <v>2.09</v>
      </c>
      <c r="G24" s="7">
        <f>SUMIF('Export decl – položky'!$B$4:$B$25,$C24,'Export decl – položky'!$D$4:$D$25)</f>
        <v>3.18</v>
      </c>
      <c r="H24" s="7">
        <f>ROUND(G24/SUM($G$15:$G$31)*116.0,2)</f>
        <v>5.27</v>
      </c>
      <c r="I24" s="8">
        <f>SUMIF('Detail položek'!$F$4:$F$40,$C24,'Detail položek'!$G$4:$G$40)</f>
        <v>2</v>
      </c>
      <c r="J24" s="9">
        <f>ROUND(SUMIF('Detail položek'!$F$4:$F$40,$C24,'Detail položek'!$I$4:$I$40),2)</f>
        <v>255.3</v>
      </c>
      <c r="K24" s="5" t="inlineStr">
        <is>
          <t>CN – Čína</t>
        </is>
      </c>
      <c r="L24" s="6" t="inlineStr">
        <is>
          <t>CPT Trutnov, Česká republika</t>
        </is>
      </c>
      <c r="M24" s="6" t="inlineStr">
        <is>
          <t>Ne – nepodléhá (mimo přílohu I CBAM)</t>
        </is>
      </c>
      <c r="N24" s="6" t="inlineStr">
        <is>
          <t>Ne</t>
        </is>
      </c>
      <c r="O24" s="5" t="inlineStr"/>
    </row>
    <row r="25">
      <c r="A25" s="5" t="inlineStr">
        <is>
          <t>Hitachi Energy UK Limited</t>
        </is>
      </c>
      <c r="B25" s="6" t="inlineStr">
        <is>
          <t>85363010</t>
        </is>
      </c>
      <c r="C25" s="6" t="inlineStr">
        <is>
          <t>8536301000</t>
        </is>
      </c>
      <c r="D25" s="5" t="inlineStr">
        <is>
          <t>Přístroje k ochraně elektrických obvodů pro napětí ≤ 1 000 V – přepěťová ochrana</t>
        </is>
      </c>
      <c r="E25" s="5" t="inlineStr">
        <is>
          <t>Surge proctective LV MBG S-PRO</t>
        </is>
      </c>
      <c r="F25" s="7">
        <f>SUMIF('Export decl – položky'!$B$4:$B$25,$C25,'Export decl – položky'!$E$4:$E$25)</f>
        <v>2.09</v>
      </c>
      <c r="G25" s="7">
        <f>SUMIF('Export decl – položky'!$B$4:$B$25,$C25,'Export decl – položky'!$D$4:$D$25)</f>
        <v>3.18</v>
      </c>
      <c r="H25" s="7">
        <f>ROUND(G25/SUM($G$15:$G$31)*116.0,2)</f>
        <v>5.27</v>
      </c>
      <c r="I25" s="8">
        <f>SUMIF('Detail položek'!$F$4:$F$40,$C25,'Detail položek'!$G$4:$G$40)</f>
        <v>1</v>
      </c>
      <c r="J25" s="9">
        <f>ROUND(SUMIF('Detail položek'!$F$4:$F$40,$C25,'Detail položek'!$I$4:$I$40),2)</f>
        <v>164.0</v>
      </c>
      <c r="K25" s="5" t="inlineStr">
        <is>
          <t>DE – Německo</t>
        </is>
      </c>
      <c r="L25" s="6" t="inlineStr">
        <is>
          <t>CPT Trutnov, Česká republika</t>
        </is>
      </c>
      <c r="M25" s="6" t="inlineStr">
        <is>
          <t>Ne – nepodléhá (mimo přílohu I CBAM)</t>
        </is>
      </c>
      <c r="N25" s="6" t="inlineStr">
        <is>
          <t>Ne</t>
        </is>
      </c>
      <c r="O25" s="5" t="inlineStr"/>
    </row>
    <row r="26">
      <c r="A26" s="5" t="inlineStr">
        <is>
          <t>Hitachi Energy UK Limited</t>
        </is>
      </c>
      <c r="B26" s="6" t="inlineStr">
        <is>
          <t>85366990</t>
        </is>
      </c>
      <c r="C26" s="6" t="inlineStr">
        <is>
          <t>8536699099</t>
        </is>
      </c>
      <c r="D26" s="5" t="inlineStr">
        <is>
          <t>Zástrčky a zásuvky, ostatní – adaptér D-SUB 9pin</t>
        </is>
      </c>
      <c r="E26" s="5" t="inlineStr">
        <is>
          <t>Adapter_D SUB Female 9 pole</t>
        </is>
      </c>
      <c r="F26" s="7">
        <f>SUMIF('Export decl – položky'!$B$4:$B$25,$C26,'Export decl – položky'!$E$4:$E$25)</f>
        <v>2.09</v>
      </c>
      <c r="G26" s="7">
        <f>SUMIF('Export decl – položky'!$B$4:$B$25,$C26,'Export decl – položky'!$D$4:$D$25)</f>
        <v>3.18</v>
      </c>
      <c r="H26" s="7">
        <f>ROUND(G26/SUM($G$15:$G$31)*116.0,2)</f>
        <v>5.27</v>
      </c>
      <c r="I26" s="8">
        <f>SUMIF('Detail položek'!$F$4:$F$40,$C26,'Detail položek'!$G$4:$G$40)</f>
        <v>4</v>
      </c>
      <c r="J26" s="9">
        <f>ROUND(SUMIF('Detail položek'!$F$4:$F$40,$C26,'Detail položek'!$I$4:$I$40),2)</f>
        <v>59.68</v>
      </c>
      <c r="K26" s="5" t="inlineStr">
        <is>
          <t>LI – Lichtenštejnsko</t>
        </is>
      </c>
      <c r="L26" s="6" t="inlineStr">
        <is>
          <t>CPT Trutnov, Česká republika</t>
        </is>
      </c>
      <c r="M26" s="6" t="inlineStr">
        <is>
          <t>Ne – nepodléhá (mimo přílohu I CBAM)</t>
        </is>
      </c>
      <c r="N26" s="6" t="inlineStr">
        <is>
          <t>Ne</t>
        </is>
      </c>
      <c r="O26" s="5" t="inlineStr"/>
    </row>
    <row r="27">
      <c r="A27" s="5" t="inlineStr">
        <is>
          <t>Hitachi Energy UK Limited</t>
        </is>
      </c>
      <c r="B27" s="6" t="inlineStr">
        <is>
          <t>85367000</t>
        </is>
      </c>
      <c r="C27" s="6" t="inlineStr">
        <is>
          <t>8536700099</t>
        </is>
      </c>
      <c r="D27" s="5" t="inlineStr">
        <is>
          <t>Konektory pro optická vlákna, svazky optických vláken nebo optické kabely</t>
        </is>
      </c>
      <c r="E27" s="5" t="inlineStr">
        <is>
          <t>Converter_Module DIN rail MDR,04 x ST-PC</t>
        </is>
      </c>
      <c r="F27" s="7">
        <f>SUMIF('Export decl – položky'!$B$4:$B$25,$C27,'Export decl – položky'!$E$4:$E$25)</f>
        <v>2.11</v>
      </c>
      <c r="G27" s="7">
        <f>SUMIF('Export decl – položky'!$B$4:$B$25,$C27,'Export decl – položky'!$D$4:$D$25)</f>
        <v>3.22</v>
      </c>
      <c r="H27" s="7">
        <f>ROUND(G27/SUM($G$15:$G$31)*116.0,2)</f>
        <v>5.34</v>
      </c>
      <c r="I27" s="8">
        <f>SUMIF('Detail položek'!$F$4:$F$40,$C27,'Detail položek'!$G$4:$G$40)</f>
        <v>4</v>
      </c>
      <c r="J27" s="9">
        <f>ROUND(SUMIF('Detail položek'!$F$4:$F$40,$C27,'Detail položek'!$I$4:$I$40),2)</f>
        <v>189.73</v>
      </c>
      <c r="K27" s="5" t="inlineStr">
        <is>
          <t>TN – Tunisko</t>
        </is>
      </c>
      <c r="L27" s="6" t="inlineStr">
        <is>
          <t>CPT Trutnov, Česká republika</t>
        </is>
      </c>
      <c r="M27" s="6" t="inlineStr">
        <is>
          <t>Ne – nepodléhá (mimo přílohu I CBAM)</t>
        </is>
      </c>
      <c r="N27" s="6" t="inlineStr">
        <is>
          <t>Ne</t>
        </is>
      </c>
      <c r="O27" s="5" t="inlineStr">
        <is>
          <t>Na faktuře uvedeno jako „8536700“ (7 míst) – správně 8536 70 00.</t>
        </is>
      </c>
    </row>
    <row r="28">
      <c r="A28" s="5" t="inlineStr">
        <is>
          <t>Hitachi Energy UK Limited</t>
        </is>
      </c>
      <c r="B28" s="6" t="inlineStr">
        <is>
          <t>85437090</t>
        </is>
      </c>
      <c r="C28" s="6" t="inlineStr">
        <is>
          <t>8543709099</t>
        </is>
      </c>
      <c r="D28" s="5" t="inlineStr">
        <is>
          <t>Elektrické stroje a přístroje s vlastní individuální funkcí, ostatní – USB extender, GPS časový server</t>
        </is>
      </c>
      <c r="E28" s="5" t="inlineStr">
        <is>
          <t>Cable_1 USB 2.0 Cat5 Extender,60m; GPS LANTIME M3000-IMS</t>
        </is>
      </c>
      <c r="F28" s="7">
        <f>SUMIF('Export decl – položky'!$B$4:$B$25,$C28,'Export decl – položky'!$E$4:$E$25)</f>
        <v>4.18</v>
      </c>
      <c r="G28" s="7">
        <f>SUMIF('Export decl – položky'!$B$4:$B$25,$C28,'Export decl – položky'!$D$4:$D$25)</f>
        <v>6.36</v>
      </c>
      <c r="H28" s="7">
        <f>ROUND(G28/SUM($G$15:$G$31)*116.0,2)</f>
        <v>10.54</v>
      </c>
      <c r="I28" s="8">
        <f>SUMIF('Detail položek'!$F$4:$F$40,$C28,'Detail položek'!$G$4:$G$40)</f>
        <v>2</v>
      </c>
      <c r="J28" s="9">
        <f>ROUND(SUMIF('Detail položek'!$F$4:$F$40,$C28,'Detail položek'!$I$4:$I$40),2)</f>
        <v>6396.5</v>
      </c>
      <c r="K28" s="5" t="inlineStr">
        <is>
          <t>TW – Tchaj-wan; DE – Německo</t>
        </is>
      </c>
      <c r="L28" s="6" t="inlineStr">
        <is>
          <t>CPT Trutnov, Česká republika</t>
        </is>
      </c>
      <c r="M28" s="6" t="inlineStr">
        <is>
          <t>Ne – nepodléhá (mimo přílohu I CBAM)</t>
        </is>
      </c>
      <c r="N28" s="6" t="inlineStr">
        <is>
          <t>Ne</t>
        </is>
      </c>
      <c r="O28" s="10" t="inlineStr">
        <is>
          <t>⚠ Jeden HS kód, dvě země původu (TW 98,00 / DE 6 298,50 GBP) – pro JSD rozdělit, viz list „Původ – rozpad“.</t>
        </is>
      </c>
    </row>
    <row r="29">
      <c r="A29" s="5" t="inlineStr">
        <is>
          <t>Hitachi Energy UK Limited</t>
        </is>
      </c>
      <c r="B29" s="6" t="inlineStr">
        <is>
          <t>85444210</t>
        </is>
      </c>
      <c r="C29" s="6" t="inlineStr">
        <is>
          <t>8544421000</t>
        </is>
      </c>
      <c r="D29" s="5" t="inlineStr">
        <is>
          <t>Elektrické vodiče pro napětí ≤ 1 000 V, opatřené přípojkami, pro telekomunikace (patch kabel Cat6)</t>
        </is>
      </c>
      <c r="E29" s="5" t="inlineStr">
        <is>
          <t>Cable_Cat6, RJ45-Male RJ45 Male S/FTP</t>
        </is>
      </c>
      <c r="F29" s="7">
        <f>SUMIF('Export decl – položky'!$B$4:$B$25,$C29,'Export decl – položky'!$E$4:$E$25)</f>
        <v>2.09</v>
      </c>
      <c r="G29" s="7">
        <f>SUMIF('Export decl – položky'!$B$4:$B$25,$C29,'Export decl – položky'!$D$4:$D$25)</f>
        <v>3.18</v>
      </c>
      <c r="H29" s="7">
        <f>ROUND(G29/SUM($G$15:$G$31)*116.0,2)</f>
        <v>5.27</v>
      </c>
      <c r="I29" s="8">
        <f>SUMIF('Detail položek'!$F$4:$F$40,$C29,'Detail položek'!$G$4:$G$40)</f>
        <v>5</v>
      </c>
      <c r="J29" s="9">
        <f>ROUND(SUMIF('Detail položek'!$F$4:$F$40,$C29,'Detail položek'!$I$4:$I$40),2)</f>
        <v>25.0</v>
      </c>
      <c r="K29" s="5" t="inlineStr">
        <is>
          <t>CN – Čína</t>
        </is>
      </c>
      <c r="L29" s="6" t="inlineStr">
        <is>
          <t>CPT Trutnov, Česká republika</t>
        </is>
      </c>
      <c r="M29" s="6" t="inlineStr">
        <is>
          <t>Ne – nepodléhá (mimo přílohu I CBAM)</t>
        </is>
      </c>
      <c r="N29" s="6" t="inlineStr">
        <is>
          <t>Ne</t>
        </is>
      </c>
      <c r="O29" s="5" t="inlineStr"/>
    </row>
    <row r="30">
      <c r="A30" s="5" t="inlineStr">
        <is>
          <t>Hitachi Energy UK Limited</t>
        </is>
      </c>
      <c r="B30" s="6" t="inlineStr">
        <is>
          <t>85444290</t>
        </is>
      </c>
      <c r="C30" s="6" t="inlineStr">
        <is>
          <t>8544429090</t>
        </is>
      </c>
      <c r="D30" s="5" t="inlineStr">
        <is>
          <t>Ostatní elektrické vodiče pro napětí ≤ 1 000 V, opatřené přípojkami (DVI, HDMI, USB, D-Sub kabely)</t>
        </is>
      </c>
      <c r="E30" s="5" t="inlineStr">
        <is>
          <t>Cable Comms DVI-D KVM; Cable comms D-sub; Cable_Port DVI-D; Cable Comm USB 2.0; Cable Comm HDMI-DVI</t>
        </is>
      </c>
      <c r="F30" s="7">
        <f>SUMIF('Export decl – položky'!$B$4:$B$25,$C30,'Export decl – položky'!$E$4:$E$25)</f>
        <v>6.27</v>
      </c>
      <c r="G30" s="7">
        <f>SUMIF('Export decl – položky'!$B$4:$B$25,$C30,'Export decl – položky'!$D$4:$D$25)</f>
        <v>9.54</v>
      </c>
      <c r="H30" s="7">
        <f>ROUND(G30/SUM($G$15:$G$31)*116.0,2)</f>
        <v>15.81</v>
      </c>
      <c r="I30" s="8">
        <f>SUMIF('Detail položek'!$F$4:$F$40,$C30,'Detail položek'!$G$4:$G$40)</f>
        <v>12</v>
      </c>
      <c r="J30" s="9">
        <f>ROUND(SUMIF('Detail položek'!$F$4:$F$40,$C30,'Detail položek'!$I$4:$I$40),2)</f>
        <v>387.07</v>
      </c>
      <c r="K30" s="5" t="inlineStr">
        <is>
          <t>CN – Čína; TW – Tchaj-wan; VN – Vietnam</t>
        </is>
      </c>
      <c r="L30" s="6" t="inlineStr">
        <is>
          <t>CPT Trutnov, Česká republika</t>
        </is>
      </c>
      <c r="M30" s="6" t="inlineStr">
        <is>
          <t>Ne – nepodléhá (mimo přílohu I CBAM)</t>
        </is>
      </c>
      <c r="N30" s="6" t="inlineStr">
        <is>
          <t>Ne</t>
        </is>
      </c>
      <c r="O30" s="10" t="inlineStr">
        <is>
          <t>⚠ Jeden HS kód, tři země původu (CN 297,28 / TW 50,00 / VN 39,79 GBP) – pro JSD rozdělit, viz list „Původ – rozpad“.</t>
        </is>
      </c>
    </row>
    <row r="31">
      <c r="A31" s="5" t="inlineStr">
        <is>
          <t>Hitachi Energy UK Limited</t>
        </is>
      </c>
      <c r="B31" s="6" t="inlineStr">
        <is>
          <t>85447000</t>
        </is>
      </c>
      <c r="C31" s="6" t="inlineStr">
        <is>
          <t>8544700099</t>
        </is>
      </c>
      <c r="D31" s="5" t="inlineStr">
        <is>
          <t>Kabely z optických vláken</t>
        </is>
      </c>
      <c r="E31" s="5" t="inlineStr">
        <is>
          <t>Fiber Acc_MDRII_OM1_LC_SplicePatch</t>
        </is>
      </c>
      <c r="F31" s="7">
        <f>SUMIF('Export decl – položky'!$B$4:$B$25,$C31,'Export decl – položky'!$E$4:$E$25)</f>
        <v>2.09</v>
      </c>
      <c r="G31" s="7">
        <f>SUMIF('Export decl – položky'!$B$4:$B$25,$C31,'Export decl – položky'!$D$4:$D$25)</f>
        <v>3.18</v>
      </c>
      <c r="H31" s="7">
        <f>ROUND(G31/SUM($G$15:$G$31)*116.0,2)</f>
        <v>5.27</v>
      </c>
      <c r="I31" s="8">
        <f>SUMIF('Detail položek'!$F$4:$F$40,$C31,'Detail položek'!$G$4:$G$40)</f>
        <v>6</v>
      </c>
      <c r="J31" s="9">
        <f>ROUND(SUMIF('Detail položek'!$F$4:$F$40,$C31,'Detail položek'!$I$4:$I$40),2)</f>
        <v>1199.94</v>
      </c>
      <c r="K31" s="5" t="inlineStr">
        <is>
          <t>GB – Spojené království</t>
        </is>
      </c>
      <c r="L31" s="6" t="inlineStr">
        <is>
          <t>CPT Trutnov, Česká republika</t>
        </is>
      </c>
      <c r="M31" s="6" t="inlineStr">
        <is>
          <t>Ne – nepodléhá (mimo přílohu I CBAM)</t>
        </is>
      </c>
      <c r="N31" s="11" t="inlineStr">
        <is>
          <t>⚠ Ověřit v TARIC</t>
        </is>
      </c>
      <c r="O31" s="10" t="inlineStr">
        <is>
          <t>⚠ ANTIDUMPING: EU vede antidumpingová a vyrovnávací opatření na kabely z optických vláken původu ČLNA a Indie. Zde deklarován původ GB → opatření by se uplatnit neměla, ale původ musí být doložen. Ověřit v TARIC ke dni propuštění. Jediná položka zásilky s původem GB.</t>
        </is>
      </c>
    </row>
    <row r="32">
      <c r="A32" s="12" t="inlineStr">
        <is>
          <t>CELKEM</t>
        </is>
      </c>
      <c r="B32" s="12" t="n"/>
      <c r="C32" s="12" t="n"/>
      <c r="D32" s="12" t="n"/>
      <c r="E32" s="12" t="n"/>
      <c r="F32" s="13">
        <f>SUM(F15:F31)</f>
        <v>46.0</v>
      </c>
      <c r="G32" s="13">
        <f>SUM(G15:G31)</f>
        <v>70.0</v>
      </c>
      <c r="H32" s="13">
        <f>SUM(H15:H31)</f>
        <v>116.01</v>
      </c>
      <c r="I32" s="14">
        <f>SUM(I15:I31)</f>
        <v>98</v>
      </c>
      <c r="J32" s="15">
        <f>SUM(J15:J31)</f>
        <v>56962.01</v>
      </c>
      <c r="K32" s="12" t="n"/>
      <c r="L32" s="12" t="n"/>
      <c r="M32" s="12" t="n"/>
      <c r="N32" s="12" t="n"/>
      <c r="O32" s="12" t="inlineStr">
        <is>
          <t>Kontrola: hodnota musí = 56 962,01 GBP; množství = 98 ks</t>
        </is>
      </c>
    </row>
    <row r="34">
      <c r="A34" s="16" t="inlineStr">
        <is>
          <t>KONTROLA HMOTNOSTI</t>
        </is>
      </c>
    </row>
    <row r="35">
      <c r="A35" s="3" t="inlineStr">
        <is>
          <t>Hrubá hmotnost dle Packing Note (2 palety: 46 + 70 kg)</t>
        </is>
      </c>
      <c r="G35" s="17" t="n">
        <v>116</v>
      </c>
    </row>
    <row r="36">
      <c r="A36" s="3" t="inlineStr">
        <is>
          <t>Hrubá hmotnost dle Export Declaration (pole 30)</t>
        </is>
      </c>
      <c r="G36" s="17" t="n">
        <v>70</v>
      </c>
    </row>
    <row r="37">
      <c r="A37" s="16" t="inlineStr">
        <is>
          <t>ROZDÍL (nedoloženo)</t>
        </is>
      </c>
      <c r="G37" s="18">
        <f>G35-G36</f>
        <v>46.0</v>
      </c>
    </row>
    <row r="39">
      <c r="A39" s="19" t="inlineStr">
        <is>
          <t>POZOR – hmotnosti: zdrojové doklady NEOBSAHUJÍ hmotnosti na položku. Export Declaration rozpočítala 70,000 kg rovnoměrně na 22 položek (3,180 kg na položku) a jako „net“ použila 46,000 kg – což je ve skutečnosti hrubá hmotnost palety č. 1 z Packing Note. Hodnoty ve sloupcích „Čistá hmotnost“ a „Hrubá hmotnost“ jsou tedy systémové výplně, nikoli skutečné hmotnosti. Sloupec H je pomocný přepočet skutečných 116 kg – rovněž ODHAD. Před podáním JSD si vyžádejte skutečné hmotnosti na položku.</t>
        </is>
      </c>
    </row>
    <row r="40"/>
    <row r="41"/>
  </sheetData>
  <mergeCells count="1">
    <mergeCell ref="A39:O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52" customWidth="1" min="8" max="8"/>
  </cols>
  <sheetData>
    <row r="1">
      <c r="A1" s="20" t="inlineStr">
        <is>
          <t>Export Declaration Instruction Sheet č. 1400045712 – položky (zdroj hmotností)</t>
        </is>
      </c>
    </row>
    <row r="3">
      <c r="A3" s="21" t="inlineStr">
        <is>
          <t>Pol. č.</t>
        </is>
      </c>
      <c r="B3" s="21" t="inlineStr">
        <is>
          <t>TARIC (10)</t>
        </is>
      </c>
      <c r="C3" s="21" t="inlineStr">
        <is>
          <t>Množství (ks)</t>
        </is>
      </c>
      <c r="D3" s="21" t="inlineStr">
        <is>
          <t>Hrubá hm. (kg)</t>
        </is>
      </c>
      <c r="E3" s="21" t="inlineStr">
        <is>
          <t>Čistá hm. (kg)</t>
        </is>
      </c>
      <c r="F3" s="21" t="inlineStr">
        <is>
          <t>Země původu</t>
        </is>
      </c>
      <c r="G3" s="21" t="inlineStr">
        <is>
          <t>Hodnota (GBP)</t>
        </is>
      </c>
      <c r="H3" s="21" t="inlineStr">
        <is>
          <t>Popis (EN)</t>
        </is>
      </c>
    </row>
    <row r="4">
      <c r="A4" s="6" t="n">
        <v>1</v>
      </c>
      <c r="B4" s="6" t="inlineStr">
        <is>
          <t>8536700099</t>
        </is>
      </c>
      <c r="C4" s="6" t="n">
        <v>4</v>
      </c>
      <c r="D4" s="7" t="n">
        <v>3.22</v>
      </c>
      <c r="E4" s="7" t="n">
        <v>2.11</v>
      </c>
      <c r="F4" s="6" t="inlineStr">
        <is>
          <t>TN</t>
        </is>
      </c>
      <c r="G4" s="9" t="n">
        <v>189.73</v>
      </c>
      <c r="H4" s="5" t="inlineStr">
        <is>
          <t>Converter_Module DIN rail MDR,04 x ST-PC</t>
        </is>
      </c>
    </row>
    <row r="5">
      <c r="A5" s="6" t="n">
        <v>2</v>
      </c>
      <c r="B5" s="6" t="inlineStr">
        <is>
          <t>3926909790</t>
        </is>
      </c>
      <c r="C5" s="6" t="n">
        <v>14</v>
      </c>
      <c r="D5" s="7" t="n">
        <v>3.18</v>
      </c>
      <c r="E5" s="7" t="n">
        <v>2.09</v>
      </c>
      <c r="F5" s="6" t="inlineStr">
        <is>
          <t>SK</t>
        </is>
      </c>
      <c r="G5" s="9" t="n">
        <v>664</v>
      </c>
      <c r="H5" s="5" t="inlineStr">
        <is>
          <t>Cable Acc</t>
        </is>
      </c>
    </row>
    <row r="6">
      <c r="A6" s="6" t="n">
        <v>3</v>
      </c>
      <c r="B6" s="6" t="inlineStr">
        <is>
          <t>8443321000</t>
        </is>
      </c>
      <c r="C6" s="6" t="n">
        <v>1</v>
      </c>
      <c r="D6" s="7" t="n">
        <v>3.18</v>
      </c>
      <c r="E6" s="7" t="n">
        <v>2.09</v>
      </c>
      <c r="F6" s="6" t="inlineStr">
        <is>
          <t>CN</t>
        </is>
      </c>
      <c r="G6" s="9" t="n">
        <v>406.45</v>
      </c>
      <c r="H6" s="5" t="inlineStr">
        <is>
          <t>IT HW_Printer Color LaserJet</t>
        </is>
      </c>
    </row>
    <row r="7">
      <c r="A7" s="6" t="n">
        <v>4</v>
      </c>
      <c r="B7" s="6" t="inlineStr">
        <is>
          <t>8471500000</t>
        </is>
      </c>
      <c r="C7" s="6" t="n">
        <v>3</v>
      </c>
      <c r="D7" s="7" t="n">
        <v>3.18</v>
      </c>
      <c r="E7" s="7" t="n">
        <v>2.09</v>
      </c>
      <c r="F7" s="6" t="inlineStr">
        <is>
          <t>CN</t>
        </is>
      </c>
      <c r="G7" s="9" t="n">
        <v>30215.35</v>
      </c>
      <c r="H7" s="5" t="inlineStr">
        <is>
          <t>IT HW_Server CTOS: V2.0</t>
        </is>
      </c>
    </row>
    <row r="8">
      <c r="A8" s="6" t="n">
        <v>5</v>
      </c>
      <c r="B8" s="6" t="inlineStr">
        <is>
          <t>8471606000</t>
        </is>
      </c>
      <c r="C8" s="6" t="n">
        <v>1</v>
      </c>
      <c r="D8" s="7" t="n">
        <v>3.18</v>
      </c>
      <c r="E8" s="7" t="n">
        <v>2.09</v>
      </c>
      <c r="F8" s="6" t="inlineStr">
        <is>
          <t>CN</t>
        </is>
      </c>
      <c r="G8" s="9" t="n">
        <v>13.33</v>
      </c>
      <c r="H8" s="5" t="inlineStr">
        <is>
          <t>IT HW_K120 Wired USB Black Keyboard</t>
        </is>
      </c>
    </row>
    <row r="9">
      <c r="A9" s="6" t="n">
        <v>6</v>
      </c>
      <c r="B9" s="6" t="inlineStr">
        <is>
          <t>8471607000</t>
        </is>
      </c>
      <c r="C9" s="6" t="n">
        <v>1</v>
      </c>
      <c r="D9" s="7" t="n">
        <v>3.18</v>
      </c>
      <c r="E9" s="7" t="n">
        <v>2.09</v>
      </c>
      <c r="F9" s="6" t="inlineStr">
        <is>
          <t>CN</t>
        </is>
      </c>
      <c r="G9" s="9" t="n">
        <v>8.33</v>
      </c>
      <c r="H9" s="5" t="inlineStr">
        <is>
          <t>IT HW_Wired,USB Optical, Black, Mouse</t>
        </is>
      </c>
    </row>
    <row r="10">
      <c r="A10" s="6" t="n">
        <v>7</v>
      </c>
      <c r="B10" s="6" t="inlineStr">
        <is>
          <t>8471800000</t>
        </is>
      </c>
      <c r="C10" s="6" t="n">
        <v>2</v>
      </c>
      <c r="D10" s="7" t="n">
        <v>3.18</v>
      </c>
      <c r="E10" s="7" t="n">
        <v>2.09</v>
      </c>
      <c r="F10" s="6" t="inlineStr">
        <is>
          <t>TW</t>
        </is>
      </c>
      <c r="G10" s="9" t="n">
        <v>756</v>
      </c>
      <c r="H10" s="5" t="inlineStr">
        <is>
          <t>Switch 2port USB DVI Dual link</t>
        </is>
      </c>
    </row>
    <row r="11">
      <c r="A11" s="6" t="n">
        <v>8</v>
      </c>
      <c r="B11" s="6" t="inlineStr">
        <is>
          <t>8504408790</t>
        </is>
      </c>
      <c r="C11" s="6" t="n">
        <v>2</v>
      </c>
      <c r="D11" s="7" t="n">
        <v>3.18</v>
      </c>
      <c r="E11" s="7" t="n">
        <v>2.09</v>
      </c>
      <c r="F11" s="6" t="inlineStr">
        <is>
          <t>BE</t>
        </is>
      </c>
      <c r="G11" s="9" t="n">
        <v>2914</v>
      </c>
      <c r="H11" s="5" t="inlineStr">
        <is>
          <t>Inverter_Modular Bravo; Back protection shell</t>
        </is>
      </c>
    </row>
    <row r="12">
      <c r="A12" s="6" t="n">
        <v>9</v>
      </c>
      <c r="B12" s="6" t="inlineStr">
        <is>
          <t>8517620000</t>
        </is>
      </c>
      <c r="C12" s="6" t="n">
        <v>26</v>
      </c>
      <c r="D12" s="7" t="n">
        <v>3.18</v>
      </c>
      <c r="E12" s="7" t="n">
        <v>2.09</v>
      </c>
      <c r="F12" s="6" t="inlineStr">
        <is>
          <t>TW</t>
        </is>
      </c>
      <c r="G12" s="9" t="n">
        <v>8215.6</v>
      </c>
      <c r="H12" s="5" t="inlineStr">
        <is>
          <t>SFP_Hardened; Router DVI-I KVM IP Rec./Transm.; NPort; TCF-90; SFP_SM</t>
        </is>
      </c>
    </row>
    <row r="13">
      <c r="A13" s="6" t="n">
        <v>10</v>
      </c>
      <c r="B13" s="6" t="inlineStr">
        <is>
          <t>8517620000</t>
        </is>
      </c>
      <c r="C13" s="6" t="n">
        <v>10</v>
      </c>
      <c r="D13" s="7" t="n">
        <v>3.18</v>
      </c>
      <c r="E13" s="7" t="n">
        <v>2.09</v>
      </c>
      <c r="F13" s="6" t="inlineStr">
        <is>
          <t>CN</t>
        </is>
      </c>
      <c r="G13" s="9" t="n">
        <v>849.9</v>
      </c>
      <c r="H13" s="5" t="inlineStr">
        <is>
          <t>SFP Transceivers</t>
        </is>
      </c>
    </row>
    <row r="14">
      <c r="A14" s="6" t="n">
        <v>11</v>
      </c>
      <c r="B14" s="6" t="inlineStr">
        <is>
          <t>8517620000</t>
        </is>
      </c>
      <c r="C14" s="6" t="n">
        <v>1</v>
      </c>
      <c r="D14" s="7" t="n">
        <v>3.18</v>
      </c>
      <c r="E14" s="7" t="n">
        <v>2.09</v>
      </c>
      <c r="F14" s="6" t="inlineStr">
        <is>
          <t>US</t>
        </is>
      </c>
      <c r="G14" s="9" t="n">
        <v>3611.83</v>
      </c>
      <c r="H14" s="5" t="inlineStr">
        <is>
          <t>Switch Ether_SEL 2741 SDN</t>
        </is>
      </c>
    </row>
    <row r="15">
      <c r="A15" s="6" t="n">
        <v>12</v>
      </c>
      <c r="B15" s="6" t="inlineStr">
        <is>
          <t>8523511000</t>
        </is>
      </c>
      <c r="C15" s="6" t="n">
        <v>1</v>
      </c>
      <c r="D15" s="7" t="n">
        <v>3.18</v>
      </c>
      <c r="E15" s="7" t="n">
        <v>2.09</v>
      </c>
      <c r="F15" s="6" t="inlineStr">
        <is>
          <t>CN</t>
        </is>
      </c>
      <c r="G15" s="9" t="n">
        <v>630</v>
      </c>
      <c r="H15" s="5" t="inlineStr">
        <is>
          <t>TB External SSD Hard Drive</t>
        </is>
      </c>
    </row>
    <row r="16">
      <c r="A16" s="6" t="n">
        <v>13</v>
      </c>
      <c r="B16" s="6" t="inlineStr">
        <is>
          <t>8528521000</t>
        </is>
      </c>
      <c r="C16" s="6" t="n">
        <v>2</v>
      </c>
      <c r="D16" s="7" t="n">
        <v>3.18</v>
      </c>
      <c r="E16" s="7" t="n">
        <v>2.09</v>
      </c>
      <c r="F16" s="6" t="inlineStr">
        <is>
          <t>CN</t>
        </is>
      </c>
      <c r="G16" s="9" t="n">
        <v>255.3</v>
      </c>
      <c r="H16" s="5" t="inlineStr">
        <is>
          <t>E27 G5 - E-Series - LED monitor</t>
        </is>
      </c>
    </row>
    <row r="17">
      <c r="A17" s="6" t="n">
        <v>14</v>
      </c>
      <c r="B17" s="6" t="inlineStr">
        <is>
          <t>8536301000</t>
        </is>
      </c>
      <c r="C17" s="6" t="n">
        <v>1</v>
      </c>
      <c r="D17" s="7" t="n">
        <v>3.18</v>
      </c>
      <c r="E17" s="7" t="n">
        <v>2.09</v>
      </c>
      <c r="F17" s="6" t="inlineStr">
        <is>
          <t>DE</t>
        </is>
      </c>
      <c r="G17" s="9" t="n">
        <v>164</v>
      </c>
      <c r="H17" s="5" t="inlineStr">
        <is>
          <t>Surge proctective LV MBG S-PRO</t>
        </is>
      </c>
    </row>
    <row r="18">
      <c r="A18" s="6" t="n">
        <v>15</v>
      </c>
      <c r="B18" s="6" t="inlineStr">
        <is>
          <t>8536699099</t>
        </is>
      </c>
      <c r="C18" s="6" t="n">
        <v>4</v>
      </c>
      <c r="D18" s="7" t="n">
        <v>3.18</v>
      </c>
      <c r="E18" s="7" t="n">
        <v>2.09</v>
      </c>
      <c r="F18" s="6" t="inlineStr">
        <is>
          <t>LI</t>
        </is>
      </c>
      <c r="G18" s="9" t="n">
        <v>59.68</v>
      </c>
      <c r="H18" s="5" t="inlineStr">
        <is>
          <t>Adapter_D SUB Female 9 pole</t>
        </is>
      </c>
    </row>
    <row r="19">
      <c r="A19" s="6" t="n">
        <v>16</v>
      </c>
      <c r="B19" s="6" t="inlineStr">
        <is>
          <t>8543709099</t>
        </is>
      </c>
      <c r="C19" s="6" t="n">
        <v>1</v>
      </c>
      <c r="D19" s="7" t="n">
        <v>3.18</v>
      </c>
      <c r="E19" s="7" t="n">
        <v>2.09</v>
      </c>
      <c r="F19" s="6" t="inlineStr">
        <is>
          <t>TW</t>
        </is>
      </c>
      <c r="G19" s="9" t="n">
        <v>98</v>
      </c>
      <c r="H19" s="5" t="inlineStr">
        <is>
          <t>Cable_1 USB 2.0 Cat5 Extender,60m</t>
        </is>
      </c>
    </row>
    <row r="20">
      <c r="A20" s="6" t="n">
        <v>17</v>
      </c>
      <c r="B20" s="6" t="inlineStr">
        <is>
          <t>8543709099</t>
        </is>
      </c>
      <c r="C20" s="6" t="n">
        <v>1</v>
      </c>
      <c r="D20" s="7" t="n">
        <v>3.18</v>
      </c>
      <c r="E20" s="7" t="n">
        <v>2.09</v>
      </c>
      <c r="F20" s="6" t="inlineStr">
        <is>
          <t>DE</t>
        </is>
      </c>
      <c r="G20" s="9" t="n">
        <v>6298.5</v>
      </c>
      <c r="H20" s="5" t="inlineStr">
        <is>
          <t>GPS LANTIME M3000-IMS</t>
        </is>
      </c>
    </row>
    <row r="21">
      <c r="A21" s="6" t="n">
        <v>18</v>
      </c>
      <c r="B21" s="6" t="inlineStr">
        <is>
          <t>8544421000</t>
        </is>
      </c>
      <c r="C21" s="6" t="n">
        <v>5</v>
      </c>
      <c r="D21" s="7" t="n">
        <v>3.18</v>
      </c>
      <c r="E21" s="7" t="n">
        <v>2.09</v>
      </c>
      <c r="F21" s="6" t="inlineStr">
        <is>
          <t>CN</t>
        </is>
      </c>
      <c r="G21" s="9" t="n">
        <v>25</v>
      </c>
      <c r="H21" s="5" t="inlineStr">
        <is>
          <t>Cable_Cat6, RJ45-Male RJ45 Male S/FTP</t>
        </is>
      </c>
    </row>
    <row r="22">
      <c r="A22" s="6" t="n">
        <v>19</v>
      </c>
      <c r="B22" s="6" t="inlineStr">
        <is>
          <t>8544429090</t>
        </is>
      </c>
      <c r="C22" s="6" t="n">
        <v>9</v>
      </c>
      <c r="D22" s="7" t="n">
        <v>3.18</v>
      </c>
      <c r="E22" s="7" t="n">
        <v>2.09</v>
      </c>
      <c r="F22" s="6" t="inlineStr">
        <is>
          <t>CN</t>
        </is>
      </c>
      <c r="G22" s="9" t="n">
        <v>297.28</v>
      </c>
      <c r="H22" s="5" t="inlineStr">
        <is>
          <t>Cable comms D-sub; DVI-D; HDMI-DVI; USB 2.0</t>
        </is>
      </c>
    </row>
    <row r="23">
      <c r="A23" s="6" t="n">
        <v>20</v>
      </c>
      <c r="B23" s="6" t="inlineStr">
        <is>
          <t>8544429090</t>
        </is>
      </c>
      <c r="C23" s="6" t="n">
        <v>2</v>
      </c>
      <c r="D23" s="7" t="n">
        <v>3.18</v>
      </c>
      <c r="E23" s="7" t="n">
        <v>2.09</v>
      </c>
      <c r="F23" s="6" t="inlineStr">
        <is>
          <t>TW</t>
        </is>
      </c>
      <c r="G23" s="9" t="n">
        <v>50</v>
      </c>
      <c r="H23" s="5" t="inlineStr">
        <is>
          <t>Cable Comms 1.8M DVI-D Single-Link KVM</t>
        </is>
      </c>
    </row>
    <row r="24">
      <c r="A24" s="6" t="n">
        <v>21</v>
      </c>
      <c r="B24" s="6" t="inlineStr">
        <is>
          <t>8544429090</t>
        </is>
      </c>
      <c r="C24" s="6" t="n">
        <v>1</v>
      </c>
      <c r="D24" s="7" t="n">
        <v>3.18</v>
      </c>
      <c r="E24" s="7" t="n">
        <v>2.09</v>
      </c>
      <c r="F24" s="6" t="inlineStr">
        <is>
          <t>VN</t>
        </is>
      </c>
      <c r="G24" s="9" t="n">
        <v>39.79</v>
      </c>
      <c r="H24" s="5" t="inlineStr">
        <is>
          <t>Cable Comm USB 2.0, Male A to B, 2m</t>
        </is>
      </c>
    </row>
    <row r="25">
      <c r="A25" s="6" t="n">
        <v>22</v>
      </c>
      <c r="B25" s="6" t="inlineStr">
        <is>
          <t>8544700099</t>
        </is>
      </c>
      <c r="C25" s="6" t="n">
        <v>6</v>
      </c>
      <c r="D25" s="7" t="n">
        <v>3.18</v>
      </c>
      <c r="E25" s="7" t="n">
        <v>2.09</v>
      </c>
      <c r="F25" s="6" t="inlineStr">
        <is>
          <t>GB</t>
        </is>
      </c>
      <c r="G25" s="9" t="n">
        <v>1199.94</v>
      </c>
      <c r="H25" s="5" t="inlineStr">
        <is>
          <t>Fiber Acc_MDRII_OM1_LC_SplicePatch</t>
        </is>
      </c>
    </row>
    <row r="26">
      <c r="A26" s="12" t="inlineStr">
        <is>
          <t>CELKEM</t>
        </is>
      </c>
      <c r="C26" s="12">
        <f>SUM(C4:C25)</f>
        <v>98</v>
      </c>
      <c r="D26" s="13">
        <f>SUM(D4:D25)</f>
        <v>70.0</v>
      </c>
      <c r="E26" s="13">
        <f>SUM(E4:E25)</f>
        <v>46.0</v>
      </c>
      <c r="G26" s="15">
        <f>SUM(G4:G25)</f>
        <v>56962.01</v>
      </c>
    </row>
    <row r="28">
      <c r="A28" s="19" t="inlineStr">
        <is>
          <t>Hmotnosti v tomto listu jsou systémově rozpočítané (3,180 kg hrubá / 2,090 kg čistá na položku u 21 z 22 položek). Součet hrubé = 70,000 kg a čisté = 46,000 kg odpovídá přesně hmotnostem obou palet z Packing Note (70 kg a 46 kg). Nejde tedy o skutečné čisté hmotnosti – viz kontroly.</t>
        </is>
      </c>
    </row>
    <row r="29"/>
    <row r="30"/>
  </sheetData>
  <mergeCells count="1">
    <mergeCell ref="A28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5" customWidth="1" min="4" max="4"/>
    <col width="13" customWidth="1" min="5" max="5"/>
    <col width="17" customWidth="1" min="6" max="6"/>
    <col width="13" customWidth="1" min="7" max="7"/>
    <col width="26" customWidth="1" min="8" max="8"/>
    <col width="14" customWidth="1" min="9" max="9"/>
    <col width="46" customWidth="1" min="10" max="10"/>
  </cols>
  <sheetData>
    <row r="1">
      <c r="A1" s="20" t="inlineStr">
        <is>
          <t>Rozpis položek faktury 129689 a jejich zařazení pod HS kódy</t>
        </is>
      </c>
    </row>
    <row r="3" ht="34" customHeight="1">
      <c r="A3" s="21" t="inlineStr">
        <is>
          <t>Ř. faktury</t>
        </is>
      </c>
      <c r="B3" s="21" t="inlineStr">
        <is>
          <t>Description (EN)</t>
        </is>
      </c>
      <c r="C3" s="21" t="inlineStr">
        <is>
          <t>Part No</t>
        </is>
      </c>
      <c r="D3" s="21" t="inlineStr">
        <is>
          <t>HS dle faktury</t>
        </is>
      </c>
      <c r="E3" s="21" t="inlineStr">
        <is>
          <t>Pol. export decl.</t>
        </is>
      </c>
      <c r="F3" s="21" t="inlineStr">
        <is>
          <t>TARIC dle export decl.</t>
        </is>
      </c>
      <c r="G3" s="21" t="inlineStr">
        <is>
          <t>Množství (ks)</t>
        </is>
      </c>
      <c r="H3" s="21" t="inlineStr">
        <is>
          <t>Země původu (faktura / Supplier Decl.)</t>
        </is>
      </c>
      <c r="I3" s="21" t="inlineStr">
        <is>
          <t>Hodnota (GBP)</t>
        </is>
      </c>
      <c r="J3" s="21" t="inlineStr">
        <is>
          <t>Poznámka</t>
        </is>
      </c>
    </row>
    <row r="4">
      <c r="A4" s="6" t="n">
        <v>1</v>
      </c>
      <c r="B4" s="5" t="inlineStr">
        <is>
          <t>IT HW_Server CTOS: V2.0</t>
        </is>
      </c>
      <c r="C4" s="6" t="inlineStr">
        <is>
          <t>ECU-479-V1-S1</t>
        </is>
      </c>
      <c r="D4" s="6" t="inlineStr">
        <is>
          <t>84715000</t>
        </is>
      </c>
      <c r="E4" s="6" t="n">
        <v>4</v>
      </c>
      <c r="F4" s="6" t="inlineStr">
        <is>
          <t>8471500000</t>
        </is>
      </c>
      <c r="G4" s="6" t="n">
        <v>2</v>
      </c>
      <c r="H4" s="5" t="inlineStr">
        <is>
          <t>CHINA</t>
        </is>
      </c>
      <c r="I4" s="9" t="n">
        <v>18299.18</v>
      </c>
      <c r="J4" s="5" t="inlineStr"/>
    </row>
    <row r="5">
      <c r="A5" s="6" t="n">
        <v>2</v>
      </c>
      <c r="B5" s="5" t="inlineStr">
        <is>
          <t>SFP_Hardened 1250-ED, MM1310/LC 2km</t>
        </is>
      </c>
      <c r="C5" s="6" t="inlineStr">
        <is>
          <t>SFP-GMM-2K</t>
        </is>
      </c>
      <c r="D5" s="6" t="inlineStr">
        <is>
          <t>85176000</t>
        </is>
      </c>
      <c r="E5" s="6" t="n">
        <v>9</v>
      </c>
      <c r="F5" s="6" t="inlineStr">
        <is>
          <t>8517620000</t>
        </is>
      </c>
      <c r="G5" s="6" t="n">
        <v>12</v>
      </c>
      <c r="H5" s="5" t="inlineStr">
        <is>
          <t>TAIWAN</t>
        </is>
      </c>
      <c r="I5" s="9" t="n">
        <v>420</v>
      </c>
      <c r="J5" s="10" t="inlineStr">
        <is>
          <t>⚠ Přeřazeno: faktura 8517 60 00 → export decl. 8517 62 00</t>
        </is>
      </c>
    </row>
    <row r="6">
      <c r="A6" s="6" t="n">
        <v>3</v>
      </c>
      <c r="B6" s="5" t="inlineStr">
        <is>
          <t>IT HW_Server CTOS: V2.0</t>
        </is>
      </c>
      <c r="C6" s="6" t="inlineStr">
        <is>
          <t>ECU-479-V1-S1</t>
        </is>
      </c>
      <c r="D6" s="6" t="inlineStr">
        <is>
          <t>84715000</t>
        </is>
      </c>
      <c r="E6" s="6" t="n">
        <v>4</v>
      </c>
      <c r="F6" s="6" t="inlineStr">
        <is>
          <t>8471500000</t>
        </is>
      </c>
      <c r="G6" s="6" t="n">
        <v>1</v>
      </c>
      <c r="H6" s="5" t="inlineStr">
        <is>
          <t>CHINA</t>
        </is>
      </c>
      <c r="I6" s="9" t="n">
        <v>11916.17</v>
      </c>
      <c r="J6" s="5" t="inlineStr"/>
    </row>
    <row r="7">
      <c r="A7" s="6" t="n">
        <v>4</v>
      </c>
      <c r="B7" s="5" t="inlineStr">
        <is>
          <t>Cable_1 USB 2.0 Cat5 Extender,60m</t>
        </is>
      </c>
      <c r="C7" s="6" t="inlineStr">
        <is>
          <t>UCE260</t>
        </is>
      </c>
      <c r="D7" s="6" t="inlineStr">
        <is>
          <t>85437090</t>
        </is>
      </c>
      <c r="E7" s="6" t="n">
        <v>16</v>
      </c>
      <c r="F7" s="6" t="inlineStr">
        <is>
          <t>8543709099</t>
        </is>
      </c>
      <c r="G7" s="6" t="n">
        <v>1</v>
      </c>
      <c r="H7" s="5" t="inlineStr">
        <is>
          <t>TAIWAN</t>
        </is>
      </c>
      <c r="I7" s="9" t="n">
        <v>98</v>
      </c>
      <c r="J7" s="5" t="inlineStr"/>
    </row>
    <row r="8">
      <c r="A8" s="6" t="n">
        <v>5</v>
      </c>
      <c r="B8" s="5" t="inlineStr">
        <is>
          <t>Switch 2port USB DVI Dual link</t>
        </is>
      </c>
      <c r="C8" s="6" t="inlineStr">
        <is>
          <t>CS1642A</t>
        </is>
      </c>
      <c r="D8" s="6" t="inlineStr">
        <is>
          <t>84718000</t>
        </is>
      </c>
      <c r="E8" s="6" t="n">
        <v>7</v>
      </c>
      <c r="F8" s="6" t="inlineStr">
        <is>
          <t>8471800000</t>
        </is>
      </c>
      <c r="G8" s="6" t="n">
        <v>1</v>
      </c>
      <c r="H8" s="5" t="inlineStr">
        <is>
          <t>TAIWAN</t>
        </is>
      </c>
      <c r="I8" s="9" t="n">
        <v>378</v>
      </c>
      <c r="J8" s="5" t="inlineStr"/>
    </row>
    <row r="9">
      <c r="A9" s="6" t="n">
        <v>6</v>
      </c>
      <c r="B9" s="5" t="inlineStr">
        <is>
          <t>IT HW_RS-232/422/485 4port rugged device</t>
        </is>
      </c>
      <c r="C9" s="6" t="inlineStr">
        <is>
          <t>NPort S9450I-2M-ST-HV-T</t>
        </is>
      </c>
      <c r="D9" s="6" t="inlineStr">
        <is>
          <t>85176200</t>
        </is>
      </c>
      <c r="E9" s="6" t="n">
        <v>9</v>
      </c>
      <c r="F9" s="6" t="inlineStr">
        <is>
          <t>8517620000</t>
        </is>
      </c>
      <c r="G9" s="6" t="n">
        <v>2</v>
      </c>
      <c r="H9" s="5" t="inlineStr">
        <is>
          <t>TAIWAN</t>
        </is>
      </c>
      <c r="I9" s="9" t="n">
        <v>3308</v>
      </c>
      <c r="J9" s="5" t="inlineStr"/>
    </row>
    <row r="10">
      <c r="A10" s="6" t="n">
        <v>7</v>
      </c>
      <c r="B10" s="5" t="inlineStr">
        <is>
          <t>IT Net RS-232 MM ST FO Converter</t>
        </is>
      </c>
      <c r="C10" s="6" t="inlineStr">
        <is>
          <t>TCF-90-M-ST</t>
        </is>
      </c>
      <c r="D10" s="6" t="inlineStr">
        <is>
          <t>85176200</t>
        </is>
      </c>
      <c r="E10" s="6" t="n">
        <v>9</v>
      </c>
      <c r="F10" s="6" t="inlineStr">
        <is>
          <t>8517620000</t>
        </is>
      </c>
      <c r="G10" s="6" t="n">
        <v>8</v>
      </c>
      <c r="H10" s="5" t="inlineStr">
        <is>
          <t>TAIWAN</t>
        </is>
      </c>
      <c r="I10" s="9" t="n">
        <v>1216</v>
      </c>
      <c r="J10" s="5" t="inlineStr"/>
    </row>
    <row r="11">
      <c r="A11" s="6" t="n">
        <v>8</v>
      </c>
      <c r="B11" s="5" t="inlineStr">
        <is>
          <t>Cable Comms 1.8M DVI-D Single-Link KVM</t>
        </is>
      </c>
      <c r="C11" s="6" t="inlineStr">
        <is>
          <t>2L-7D02V</t>
        </is>
      </c>
      <c r="D11" s="6" t="inlineStr">
        <is>
          <t>85444290</t>
        </is>
      </c>
      <c r="E11" s="6" t="n">
        <v>20</v>
      </c>
      <c r="F11" s="6" t="inlineStr">
        <is>
          <t>8544429090</t>
        </is>
      </c>
      <c r="G11" s="6" t="n">
        <v>2</v>
      </c>
      <c r="H11" s="5" t="inlineStr">
        <is>
          <t>TAIWAN</t>
        </is>
      </c>
      <c r="I11" s="9" t="n">
        <v>50</v>
      </c>
      <c r="J11" s="5" t="inlineStr"/>
    </row>
    <row r="12">
      <c r="A12" s="6" t="n">
        <v>9</v>
      </c>
      <c r="B12" s="5" t="inlineStr">
        <is>
          <t>Cable Acc_RJ45 Port Lock Basic</t>
        </is>
      </c>
      <c r="C12" s="6" t="inlineStr">
        <is>
          <t>NL03P1</t>
        </is>
      </c>
      <c r="D12" s="6" t="inlineStr">
        <is>
          <t>39269097</t>
        </is>
      </c>
      <c r="E12" s="6" t="n">
        <v>2</v>
      </c>
      <c r="F12" s="6" t="inlineStr">
        <is>
          <t>3926909790</t>
        </is>
      </c>
      <c r="G12" s="6" t="n">
        <v>8</v>
      </c>
      <c r="H12" s="5" t="inlineStr">
        <is>
          <t>SOUTH KOREA</t>
        </is>
      </c>
      <c r="I12" s="9" t="n">
        <v>280</v>
      </c>
      <c r="J12" s="10" t="inlineStr">
        <is>
          <t>⚠ Export decl. uvádí „SK“ (Slovensko) místo KR (Jižní Korea)</t>
        </is>
      </c>
    </row>
    <row r="13">
      <c r="A13" s="6" t="n">
        <v>10</v>
      </c>
      <c r="B13" s="5" t="inlineStr">
        <is>
          <t>Cable Acc_Port lock key</t>
        </is>
      </c>
      <c r="C13" s="6" t="inlineStr">
        <is>
          <t>U03DB</t>
        </is>
      </c>
      <c r="D13" s="6" t="inlineStr">
        <is>
          <t>39269097</t>
        </is>
      </c>
      <c r="E13" s="6" t="n">
        <v>2</v>
      </c>
      <c r="F13" s="6" t="inlineStr">
        <is>
          <t>3926909790</t>
        </is>
      </c>
      <c r="G13" s="6" t="n">
        <v>2</v>
      </c>
      <c r="H13" s="5" t="inlineStr">
        <is>
          <t>SOUTH KOREA</t>
        </is>
      </c>
      <c r="I13" s="9" t="n">
        <v>128</v>
      </c>
      <c r="J13" s="10" t="inlineStr">
        <is>
          <t>⚠ Export decl. uvádí „SK“ (Slovensko) místo KR (Jižní Korea)</t>
        </is>
      </c>
    </row>
    <row r="14">
      <c r="A14" s="6" t="n">
        <v>11</v>
      </c>
      <c r="B14" s="5" t="inlineStr">
        <is>
          <t>IT HW_K120 Wired USB Black Keyboard</t>
        </is>
      </c>
      <c r="C14" s="6" t="inlineStr">
        <is>
          <t>920-002524</t>
        </is>
      </c>
      <c r="D14" s="6" t="inlineStr">
        <is>
          <t>84716060</t>
        </is>
      </c>
      <c r="E14" s="6" t="n">
        <v>5</v>
      </c>
      <c r="F14" s="6" t="inlineStr">
        <is>
          <t>8471606000</t>
        </is>
      </c>
      <c r="G14" s="6" t="n">
        <v>1</v>
      </c>
      <c r="H14" s="5" t="inlineStr">
        <is>
          <t>CHINA</t>
        </is>
      </c>
      <c r="I14" s="9" t="n">
        <v>13.33</v>
      </c>
      <c r="J14" s="5" t="inlineStr"/>
    </row>
    <row r="15">
      <c r="A15" s="6" t="n">
        <v>12</v>
      </c>
      <c r="B15" s="5" t="inlineStr">
        <is>
          <t>IT HW_Wired,USB Optical, Black, Mouse</t>
        </is>
      </c>
      <c r="C15" s="6" t="inlineStr">
        <is>
          <t>910-001793</t>
        </is>
      </c>
      <c r="D15" s="6" t="inlineStr">
        <is>
          <t>84716070</t>
        </is>
      </c>
      <c r="E15" s="6" t="n">
        <v>6</v>
      </c>
      <c r="F15" s="6" t="inlineStr">
        <is>
          <t>8471607000</t>
        </is>
      </c>
      <c r="G15" s="6" t="n">
        <v>1</v>
      </c>
      <c r="H15" s="5" t="inlineStr">
        <is>
          <t>CHINA</t>
        </is>
      </c>
      <c r="I15" s="9" t="n">
        <v>8.33</v>
      </c>
      <c r="J15" s="5" t="inlineStr"/>
    </row>
    <row r="16">
      <c r="A16" s="6" t="n">
        <v>13</v>
      </c>
      <c r="B16" s="5" t="inlineStr">
        <is>
          <t>Cable Acc_USB Type-A Blue Port Blocker</t>
        </is>
      </c>
      <c r="C16" s="6" t="inlineStr">
        <is>
          <t>UL03P1DB</t>
        </is>
      </c>
      <c r="D16" s="6" t="inlineStr">
        <is>
          <t>39269097</t>
        </is>
      </c>
      <c r="E16" s="6" t="n">
        <v>2</v>
      </c>
      <c r="F16" s="6" t="inlineStr">
        <is>
          <t>3926909790</t>
        </is>
      </c>
      <c r="G16" s="6" t="n">
        <v>4</v>
      </c>
      <c r="H16" s="5" t="inlineStr">
        <is>
          <t>SOUTH KOREA</t>
        </is>
      </c>
      <c r="I16" s="9" t="n">
        <v>256</v>
      </c>
      <c r="J16" s="10" t="inlineStr">
        <is>
          <t>⚠ Export decl. uvádí „SK“ (Slovensko) místo KR (Jižní Korea)</t>
        </is>
      </c>
    </row>
    <row r="17">
      <c r="A17" s="6" t="n">
        <v>14</v>
      </c>
      <c r="B17" s="5" t="inlineStr">
        <is>
          <t>IT HW_Printer Color LaserJet</t>
        </is>
      </c>
      <c r="C17" s="6" t="inlineStr">
        <is>
          <t>M455dn</t>
        </is>
      </c>
      <c r="D17" s="6" t="inlineStr">
        <is>
          <t>84433210</t>
        </is>
      </c>
      <c r="E17" s="6" t="n">
        <v>3</v>
      </c>
      <c r="F17" s="6" t="inlineStr">
        <is>
          <t>8443321000</t>
        </is>
      </c>
      <c r="G17" s="6" t="n">
        <v>1</v>
      </c>
      <c r="H17" s="5" t="inlineStr">
        <is>
          <t>CHINA</t>
        </is>
      </c>
      <c r="I17" s="9" t="n">
        <v>406.45</v>
      </c>
      <c r="J17" s="5" t="inlineStr"/>
    </row>
    <row r="18">
      <c r="A18" s="6" t="n">
        <v>15</v>
      </c>
      <c r="B18" s="5" t="inlineStr">
        <is>
          <t>Router DVI-I 2 Displ KVM IP Receiver</t>
        </is>
      </c>
      <c r="C18" s="6" t="inlineStr">
        <is>
          <t>KE6940AR</t>
        </is>
      </c>
      <c r="D18" s="6" t="inlineStr">
        <is>
          <t>85176200</t>
        </is>
      </c>
      <c r="E18" s="6" t="n">
        <v>9</v>
      </c>
      <c r="F18" s="6" t="inlineStr">
        <is>
          <t>8517620000</t>
        </is>
      </c>
      <c r="G18" s="6" t="n">
        <v>1</v>
      </c>
      <c r="H18" s="5" t="inlineStr">
        <is>
          <t>TAIWAN</t>
        </is>
      </c>
      <c r="I18" s="9" t="n">
        <v>1567</v>
      </c>
      <c r="J18" s="5" t="inlineStr"/>
    </row>
    <row r="19">
      <c r="A19" s="6" t="n">
        <v>16</v>
      </c>
      <c r="B19" s="5" t="inlineStr">
        <is>
          <t>Router DVI-I 2 Displ KVM IP Transmitt</t>
        </is>
      </c>
      <c r="C19" s="6" t="inlineStr">
        <is>
          <t>KE6940AT</t>
        </is>
      </c>
      <c r="D19" s="6" t="inlineStr">
        <is>
          <t>85176200</t>
        </is>
      </c>
      <c r="E19" s="6" t="n">
        <v>9</v>
      </c>
      <c r="F19" s="6" t="inlineStr">
        <is>
          <t>8517620000</t>
        </is>
      </c>
      <c r="G19" s="6" t="n">
        <v>1</v>
      </c>
      <c r="H19" s="5" t="inlineStr">
        <is>
          <t>TAIWAN</t>
        </is>
      </c>
      <c r="I19" s="9" t="n">
        <v>1567</v>
      </c>
      <c r="J19" s="5" t="inlineStr"/>
    </row>
    <row r="20">
      <c r="A20" s="6" t="n">
        <v>17</v>
      </c>
      <c r="B20" s="5" t="inlineStr">
        <is>
          <t>TB External SSD Hard Drive</t>
        </is>
      </c>
      <c r="C20" s="6" t="inlineStr">
        <is>
          <t>1 x diskAshur2 - 2 TB (SSD)</t>
        </is>
      </c>
      <c r="D20" s="6" t="inlineStr">
        <is>
          <t>85235110</t>
        </is>
      </c>
      <c r="E20" s="6" t="n">
        <v>12</v>
      </c>
      <c r="F20" s="6" t="inlineStr">
        <is>
          <t>8523511000</t>
        </is>
      </c>
      <c r="G20" s="6" t="n">
        <v>1</v>
      </c>
      <c r="H20" s="5" t="inlineStr">
        <is>
          <t>CHINA</t>
        </is>
      </c>
      <c r="I20" s="9" t="n">
        <v>630</v>
      </c>
      <c r="J20" s="5" t="inlineStr"/>
    </row>
    <row r="21">
      <c r="A21" s="6" t="n">
        <v>18</v>
      </c>
      <c r="B21" s="5" t="inlineStr">
        <is>
          <t>Adapter_D SUB Female 9 pole</t>
        </is>
      </c>
      <c r="C21" s="6" t="inlineStr">
        <is>
          <t>NADB9FF</t>
        </is>
      </c>
      <c r="D21" s="6" t="inlineStr">
        <is>
          <t>85366990</t>
        </is>
      </c>
      <c r="E21" s="6" t="n">
        <v>15</v>
      </c>
      <c r="F21" s="6" t="inlineStr">
        <is>
          <t>8536699099</t>
        </is>
      </c>
      <c r="G21" s="6" t="n">
        <v>4</v>
      </c>
      <c r="H21" s="5" t="inlineStr">
        <is>
          <t>LIECHTENSTEIN</t>
        </is>
      </c>
      <c r="I21" s="9" t="n">
        <v>59.68</v>
      </c>
      <c r="J21" s="5" t="inlineStr"/>
    </row>
    <row r="22">
      <c r="A22" s="6" t="n">
        <v>19</v>
      </c>
      <c r="B22" s="5" t="inlineStr">
        <is>
          <t>E27 G5 - E-Series - LED monitor</t>
        </is>
      </c>
      <c r="C22" s="6" t="inlineStr">
        <is>
          <t>HP E27 G5 FHD Monitor</t>
        </is>
      </c>
      <c r="D22" s="6" t="inlineStr">
        <is>
          <t>85285210</t>
        </is>
      </c>
      <c r="E22" s="6" t="n">
        <v>13</v>
      </c>
      <c r="F22" s="6" t="inlineStr">
        <is>
          <t>8528521000</t>
        </is>
      </c>
      <c r="G22" s="6" t="n">
        <v>2</v>
      </c>
      <c r="H22" s="5" t="inlineStr">
        <is>
          <t>CHINA</t>
        </is>
      </c>
      <c r="I22" s="9" t="n">
        <v>255.3</v>
      </c>
      <c r="J22" s="5" t="inlineStr"/>
    </row>
    <row r="23">
      <c r="A23" s="6" t="n">
        <v>20</v>
      </c>
      <c r="B23" s="5" t="inlineStr">
        <is>
          <t>Inverter_Modular Bravo 25-110/230-277</t>
        </is>
      </c>
      <c r="C23" s="6" t="inlineStr">
        <is>
          <t>S62AD5E0104SN000F001</t>
        </is>
      </c>
      <c r="D23" s="6" t="inlineStr">
        <is>
          <t>85044086</t>
        </is>
      </c>
      <c r="E23" s="6" t="n">
        <v>8</v>
      </c>
      <c r="F23" s="6" t="inlineStr">
        <is>
          <t>8504408790</t>
        </is>
      </c>
      <c r="G23" s="6" t="n">
        <v>1</v>
      </c>
      <c r="H23" s="5" t="inlineStr">
        <is>
          <t>BELGIUM</t>
        </is>
      </c>
      <c r="I23" s="9" t="n">
        <v>1314</v>
      </c>
      <c r="J23" s="10" t="inlineStr">
        <is>
          <t>⚠ Rozpor: faktura 8504 40 86 → export decl. 8504 40 87 90</t>
        </is>
      </c>
    </row>
    <row r="24">
      <c r="A24" s="6" t="n">
        <v>21</v>
      </c>
      <c r="B24" s="5" t="inlineStr">
        <is>
          <t>Cab Acc_Back protection shell for BRAVO</t>
        </is>
      </c>
      <c r="C24" s="6" t="inlineStr">
        <is>
          <t>T329005049</t>
        </is>
      </c>
      <c r="D24" s="6" t="inlineStr">
        <is>
          <t>85044086</t>
        </is>
      </c>
      <c r="E24" s="6" t="n">
        <v>8</v>
      </c>
      <c r="F24" s="6" t="inlineStr">
        <is>
          <t>8504408790</t>
        </is>
      </c>
      <c r="G24" s="6" t="n">
        <v>1</v>
      </c>
      <c r="H24" s="5" t="inlineStr">
        <is>
          <t>BELGIUM</t>
        </is>
      </c>
      <c r="I24" s="9" t="n">
        <v>1600</v>
      </c>
      <c r="J24" s="10" t="inlineStr">
        <is>
          <t>⚠ Rozpor: faktura 8504 40 86 → export decl. 8504 40 87 90</t>
        </is>
      </c>
    </row>
    <row r="25">
      <c r="A25" s="6" t="n">
        <v>22</v>
      </c>
      <c r="B25" s="5" t="inlineStr">
        <is>
          <t>Converter_Module DIN rail MDR,04 x ST-PC</t>
        </is>
      </c>
      <c r="C25" s="6" t="inlineStr">
        <is>
          <t>85026629</t>
        </is>
      </c>
      <c r="D25" s="6" t="inlineStr">
        <is>
          <t>8536700</t>
        </is>
      </c>
      <c r="E25" s="6" t="n">
        <v>1</v>
      </c>
      <c r="F25" s="6" t="inlineStr">
        <is>
          <t>8536700099</t>
        </is>
      </c>
      <c r="G25" s="6" t="n">
        <v>4</v>
      </c>
      <c r="H25" s="5" t="inlineStr">
        <is>
          <t>TUNESIEN (TN)</t>
        </is>
      </c>
      <c r="I25" s="9" t="n">
        <v>189.73</v>
      </c>
      <c r="J25" s="5" t="inlineStr">
        <is>
          <t>Na faktuře 7místný kód „8536700“ → správně 8536 70 00</t>
        </is>
      </c>
    </row>
    <row r="26">
      <c r="A26" s="6" t="n">
        <v>23</v>
      </c>
      <c r="B26" s="5" t="inlineStr">
        <is>
          <t>Fiber Acc_MDRII_OM1_LC_SplicePatch</t>
        </is>
      </c>
      <c r="C26" s="6" t="inlineStr">
        <is>
          <t>85153715</t>
        </is>
      </c>
      <c r="D26" s="6" t="inlineStr">
        <is>
          <t>85447000</t>
        </is>
      </c>
      <c r="E26" s="6" t="n">
        <v>22</v>
      </c>
      <c r="F26" s="6" t="inlineStr">
        <is>
          <t>8544700099</t>
        </is>
      </c>
      <c r="G26" s="6" t="n">
        <v>6</v>
      </c>
      <c r="H26" s="5" t="inlineStr">
        <is>
          <t>UNITED KINGDOM</t>
        </is>
      </c>
      <c r="I26" s="9" t="n">
        <v>1199.94</v>
      </c>
      <c r="J26" s="5" t="inlineStr"/>
    </row>
    <row r="27">
      <c r="A27" s="6" t="n">
        <v>24</v>
      </c>
      <c r="B27" s="5" t="inlineStr">
        <is>
          <t>SFP_1000BASE-T, SFP-GB-GE-T,Copper</t>
        </is>
      </c>
      <c r="C27" s="6" t="inlineStr">
        <is>
          <t>262416</t>
        </is>
      </c>
      <c r="D27" s="6" t="inlineStr">
        <is>
          <t>85176200</t>
        </is>
      </c>
      <c r="E27" s="6" t="n">
        <v>10</v>
      </c>
      <c r="F27" s="6" t="inlineStr">
        <is>
          <t>8517620000</t>
        </is>
      </c>
      <c r="G27" s="6" t="n">
        <v>1</v>
      </c>
      <c r="H27" s="5" t="inlineStr">
        <is>
          <t>CHINA</t>
        </is>
      </c>
      <c r="I27" s="9" t="n">
        <v>86.40000000000001</v>
      </c>
      <c r="J27" s="5" t="inlineStr"/>
    </row>
    <row r="28">
      <c r="A28" s="6" t="n">
        <v>25</v>
      </c>
      <c r="B28" s="5" t="inlineStr">
        <is>
          <t>SFP_SM, 1000 BASE-LX, 1310NM</t>
        </is>
      </c>
      <c r="C28" s="6" t="inlineStr">
        <is>
          <t>261976</t>
        </is>
      </c>
      <c r="D28" s="6" t="inlineStr">
        <is>
          <t>85176200</t>
        </is>
      </c>
      <c r="E28" s="6" t="n">
        <v>9</v>
      </c>
      <c r="F28" s="6" t="inlineStr">
        <is>
          <t>8517620000</t>
        </is>
      </c>
      <c r="G28" s="6" t="n">
        <v>2</v>
      </c>
      <c r="H28" s="5" t="inlineStr">
        <is>
          <t>TAIWAN</t>
        </is>
      </c>
      <c r="I28" s="9" t="n">
        <v>137.6</v>
      </c>
      <c r="J28" s="5" t="inlineStr"/>
    </row>
    <row r="29">
      <c r="A29" s="6" t="n">
        <v>26</v>
      </c>
      <c r="B29" s="5" t="inlineStr">
        <is>
          <t>GPS LANTIME M3000-IMS</t>
        </is>
      </c>
      <c r="C29" s="6" t="inlineStr">
        <is>
          <t>30015364</t>
        </is>
      </c>
      <c r="D29" s="6" t="inlineStr">
        <is>
          <t>85437090</t>
        </is>
      </c>
      <c r="E29" s="6" t="n">
        <v>17</v>
      </c>
      <c r="F29" s="6" t="inlineStr">
        <is>
          <t>8543709099</t>
        </is>
      </c>
      <c r="G29" s="6" t="n">
        <v>1</v>
      </c>
      <c r="H29" s="5" t="inlineStr">
        <is>
          <t>GERMANY</t>
        </is>
      </c>
      <c r="I29" s="9" t="n">
        <v>6298.5</v>
      </c>
      <c r="J29" s="5" t="inlineStr"/>
    </row>
    <row r="30">
      <c r="A30" s="6" t="n">
        <v>27</v>
      </c>
      <c r="B30" s="5" t="inlineStr">
        <is>
          <t>Surge proctective LV MBG S-PRO</t>
        </is>
      </c>
      <c r="C30" s="6" t="inlineStr">
        <is>
          <t>00026790</t>
        </is>
      </c>
      <c r="D30" s="6" t="inlineStr">
        <is>
          <t>85363010</t>
        </is>
      </c>
      <c r="E30" s="6" t="n">
        <v>14</v>
      </c>
      <c r="F30" s="6" t="inlineStr">
        <is>
          <t>8536301000</t>
        </is>
      </c>
      <c r="G30" s="6" t="n">
        <v>1</v>
      </c>
      <c r="H30" s="5" t="inlineStr">
        <is>
          <t>GERMANY</t>
        </is>
      </c>
      <c r="I30" s="9" t="n">
        <v>164</v>
      </c>
      <c r="J30" s="5" t="inlineStr"/>
    </row>
    <row r="31">
      <c r="A31" s="6" t="n">
        <v>28</v>
      </c>
      <c r="B31" s="5" t="inlineStr">
        <is>
          <t>SFP Transceiver 1000BASE-LX</t>
        </is>
      </c>
      <c r="C31" s="6" t="inlineStr">
        <is>
          <t>00262416</t>
        </is>
      </c>
      <c r="D31" s="6" t="inlineStr">
        <is>
          <t>85176200</t>
        </is>
      </c>
      <c r="E31" s="6" t="n">
        <v>10</v>
      </c>
      <c r="F31" s="6" t="inlineStr">
        <is>
          <t>8517620000</t>
        </is>
      </c>
      <c r="G31" s="6" t="n">
        <v>1</v>
      </c>
      <c r="H31" s="5" t="inlineStr">
        <is>
          <t>CHINA</t>
        </is>
      </c>
      <c r="I31" s="9" t="n">
        <v>163.5</v>
      </c>
      <c r="J31" s="5" t="inlineStr"/>
    </row>
    <row r="32">
      <c r="A32" s="6" t="n">
        <v>29</v>
      </c>
      <c r="B32" s="5" t="inlineStr">
        <is>
          <t>SFP Transceiver 100BASE-FX Multi mode</t>
        </is>
      </c>
      <c r="C32" s="6" t="inlineStr">
        <is>
          <t>00261976</t>
        </is>
      </c>
      <c r="D32" s="6" t="inlineStr">
        <is>
          <t>85176200</t>
        </is>
      </c>
      <c r="E32" s="6" t="n">
        <v>10</v>
      </c>
      <c r="F32" s="6" t="inlineStr">
        <is>
          <t>8517620000</t>
        </is>
      </c>
      <c r="G32" s="6" t="n">
        <v>8</v>
      </c>
      <c r="H32" s="5" t="inlineStr">
        <is>
          <t>CHINA</t>
        </is>
      </c>
      <c r="I32" s="9" t="n">
        <v>600</v>
      </c>
      <c r="J32" s="5" t="inlineStr"/>
    </row>
    <row r="33">
      <c r="A33" s="6" t="n">
        <v>30</v>
      </c>
      <c r="B33" s="5" t="inlineStr">
        <is>
          <t>Switch Ether_SEL 2741 SDN</t>
        </is>
      </c>
      <c r="C33" s="6" t="inlineStr">
        <is>
          <t>2741#JJ2N</t>
        </is>
      </c>
      <c r="D33" s="6" t="inlineStr">
        <is>
          <t>85176200</t>
        </is>
      </c>
      <c r="E33" s="6" t="n">
        <v>11</v>
      </c>
      <c r="F33" s="6" t="inlineStr">
        <is>
          <t>8517620000</t>
        </is>
      </c>
      <c r="G33" s="6" t="n">
        <v>1</v>
      </c>
      <c r="H33" s="5" t="inlineStr">
        <is>
          <t>USA</t>
        </is>
      </c>
      <c r="I33" s="9" t="n">
        <v>3611.83</v>
      </c>
      <c r="J33" s="5" t="inlineStr"/>
    </row>
    <row r="34">
      <c r="A34" s="6" t="n">
        <v>31</v>
      </c>
      <c r="B34" s="5" t="inlineStr">
        <is>
          <t>Cable comms Female 9 Pin D-sub F/M,2M</t>
        </is>
      </c>
      <c r="C34" s="6" t="inlineStr">
        <is>
          <t>226-2762</t>
        </is>
      </c>
      <c r="D34" s="6" t="inlineStr">
        <is>
          <t>85444290</t>
        </is>
      </c>
      <c r="E34" s="6" t="n">
        <v>19</v>
      </c>
      <c r="F34" s="6" t="inlineStr">
        <is>
          <t>8544429090</t>
        </is>
      </c>
      <c r="G34" s="6" t="n">
        <v>4</v>
      </c>
      <c r="H34" s="5" t="inlineStr">
        <is>
          <t>CHINA</t>
        </is>
      </c>
      <c r="I34" s="9" t="n">
        <v>234.84</v>
      </c>
      <c r="J34" s="5" t="inlineStr"/>
    </row>
    <row r="35">
      <c r="A35" s="6" t="n">
        <v>32</v>
      </c>
      <c r="B35" s="5" t="inlineStr">
        <is>
          <t>Cable_Port to Male DVI-D Dual Link -2M</t>
        </is>
      </c>
      <c r="C35" s="6" t="inlineStr">
        <is>
          <t>251-3280</t>
        </is>
      </c>
      <c r="D35" s="6" t="inlineStr">
        <is>
          <t>85444290</t>
        </is>
      </c>
      <c r="E35" s="6" t="n">
        <v>19</v>
      </c>
      <c r="F35" s="6" t="inlineStr">
        <is>
          <t>8544429090</t>
        </is>
      </c>
      <c r="G35" s="6" t="n">
        <v>1</v>
      </c>
      <c r="H35" s="5" t="inlineStr">
        <is>
          <t>CHINA</t>
        </is>
      </c>
      <c r="I35" s="9" t="n">
        <v>39.12</v>
      </c>
      <c r="J35" s="5" t="inlineStr"/>
    </row>
    <row r="36">
      <c r="A36" s="6" t="n">
        <v>33</v>
      </c>
      <c r="B36" s="5" t="inlineStr">
        <is>
          <t>Cable_Cat6, RJ45-Male RJ45 Male S/FTP</t>
        </is>
      </c>
      <c r="C36" s="6" t="inlineStr">
        <is>
          <t>411-245</t>
        </is>
      </c>
      <c r="D36" s="6" t="inlineStr">
        <is>
          <t>85444210</t>
        </is>
      </c>
      <c r="E36" s="6" t="n">
        <v>18</v>
      </c>
      <c r="F36" s="6" t="inlineStr">
        <is>
          <t>8544421000</t>
        </is>
      </c>
      <c r="G36" s="6" t="n">
        <v>5</v>
      </c>
      <c r="H36" s="5" t="inlineStr">
        <is>
          <t>CHINA</t>
        </is>
      </c>
      <c r="I36" s="9" t="n">
        <v>25</v>
      </c>
      <c r="J36" s="5" t="inlineStr"/>
    </row>
    <row r="37">
      <c r="A37" s="6" t="n">
        <v>34</v>
      </c>
      <c r="B37" s="5" t="inlineStr">
        <is>
          <t>Cable Comm USB 2.0, Male A to B, 2m</t>
        </is>
      </c>
      <c r="C37" s="6" t="inlineStr">
        <is>
          <t>252-7138</t>
        </is>
      </c>
      <c r="D37" s="6" t="inlineStr">
        <is>
          <t>85444290</t>
        </is>
      </c>
      <c r="E37" s="6" t="n">
        <v>21</v>
      </c>
      <c r="F37" s="6" t="inlineStr">
        <is>
          <t>8544429090</t>
        </is>
      </c>
      <c r="G37" s="6" t="n">
        <v>1</v>
      </c>
      <c r="H37" s="5" t="inlineStr">
        <is>
          <t>VIETNAM</t>
        </is>
      </c>
      <c r="I37" s="9" t="n">
        <v>39.79</v>
      </c>
      <c r="J37" s="5" t="inlineStr"/>
    </row>
    <row r="38">
      <c r="A38" s="6" t="n">
        <v>35</v>
      </c>
      <c r="B38" s="5" t="inlineStr">
        <is>
          <t>Cable Comm Male HDMI-DVI_D Dual 3M</t>
        </is>
      </c>
      <c r="C38" s="6" t="inlineStr">
        <is>
          <t>182-8569</t>
        </is>
      </c>
      <c r="D38" s="6" t="inlineStr">
        <is>
          <t>85444290</t>
        </is>
      </c>
      <c r="E38" s="6" t="n">
        <v>19</v>
      </c>
      <c r="F38" s="6" t="inlineStr">
        <is>
          <t>8544429090</t>
        </is>
      </c>
      <c r="G38" s="6" t="n">
        <v>2</v>
      </c>
      <c r="H38" s="5" t="inlineStr">
        <is>
          <t>CHINA</t>
        </is>
      </c>
      <c r="I38" s="9" t="n">
        <v>20.06</v>
      </c>
      <c r="J38" s="5" t="inlineStr"/>
    </row>
    <row r="39">
      <c r="A39" s="6" t="n">
        <v>36</v>
      </c>
      <c r="B39" s="5" t="inlineStr">
        <is>
          <t>Cable_USB 2.0, Male USB A-Male USB B, 1m</t>
        </is>
      </c>
      <c r="C39" s="6" t="inlineStr">
        <is>
          <t>236-9074</t>
        </is>
      </c>
      <c r="D39" s="6" t="inlineStr">
        <is>
          <t>85444290</t>
        </is>
      </c>
      <c r="E39" s="6" t="n">
        <v>19</v>
      </c>
      <c r="F39" s="6" t="inlineStr">
        <is>
          <t>8544429090</t>
        </is>
      </c>
      <c r="G39" s="6" t="n">
        <v>2</v>
      </c>
      <c r="H39" s="5" t="inlineStr">
        <is>
          <t>CHINA</t>
        </is>
      </c>
      <c r="I39" s="9" t="n">
        <v>3.26</v>
      </c>
      <c r="J39" s="5" t="inlineStr"/>
    </row>
    <row r="40">
      <c r="A40" s="6" t="n">
        <v>37</v>
      </c>
      <c r="B40" s="5" t="inlineStr">
        <is>
          <t>Switch 2port USB DVI Dual link</t>
        </is>
      </c>
      <c r="C40" s="6" t="inlineStr">
        <is>
          <t>CS1642A</t>
        </is>
      </c>
      <c r="D40" s="6" t="inlineStr">
        <is>
          <t>84718000</t>
        </is>
      </c>
      <c r="E40" s="6" t="n">
        <v>7</v>
      </c>
      <c r="F40" s="6" t="inlineStr">
        <is>
          <t>8471800000</t>
        </is>
      </c>
      <c r="G40" s="6" t="n">
        <v>1</v>
      </c>
      <c r="H40" s="5" t="inlineStr">
        <is>
          <t>TAIWAN</t>
        </is>
      </c>
      <c r="I40" s="9" t="n">
        <v>378</v>
      </c>
      <c r="J40" s="5" t="inlineStr"/>
    </row>
    <row r="41">
      <c r="A41" s="12" t="inlineStr">
        <is>
          <t>CELKEM</t>
        </is>
      </c>
      <c r="G41" s="12">
        <f>SUM(G4:G40)</f>
        <v>98</v>
      </c>
      <c r="I41" s="15">
        <f>SUM(I4:I40)</f>
        <v>56962.01</v>
      </c>
      <c r="J41" s="2" t="inlineStr">
        <is>
          <t>Musí souhlasit s fakturou: 56 962,01 GBP / 98 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14" customWidth="1" min="4" max="4"/>
    <col width="15" customWidth="1" min="5" max="5"/>
    <col width="16" customWidth="1" min="6" max="6"/>
  </cols>
  <sheetData>
    <row r="1">
      <c r="A1" s="20" t="inlineStr">
        <is>
          <t>Rozpad HS kódů podle země původu (pro rozdělení položek v JSD)</t>
        </is>
      </c>
    </row>
    <row r="2">
      <c r="A2" s="22" t="inlineStr">
        <is>
          <t>Souhrn na listu „Souhrn HS“ slučuje řádky na unikátní HS kódy v rámci odesílatele podle standardního pravidla. Tři HS kódy ale zahrnují více zemí původu – pro celní prohlášení je nutné je rozdělit takto:</t>
        </is>
      </c>
    </row>
    <row r="3"/>
    <row r="4"/>
    <row r="6">
      <c r="A6" s="21" t="inlineStr">
        <is>
          <t>HS kód (CN 8)</t>
        </is>
      </c>
      <c r="B6" s="21" t="inlineStr">
        <is>
          <t>TARIC (10)</t>
        </is>
      </c>
      <c r="C6" s="21" t="inlineStr">
        <is>
          <t>Země původu</t>
        </is>
      </c>
      <c r="D6" s="21" t="inlineStr">
        <is>
          <t>Množství (ks)</t>
        </is>
      </c>
      <c r="E6" s="21" t="inlineStr">
        <is>
          <t>Hodnota (GBP)</t>
        </is>
      </c>
      <c r="F6" s="21" t="inlineStr">
        <is>
          <t>Pol. export decl.</t>
        </is>
      </c>
    </row>
    <row r="7">
      <c r="A7" s="6" t="inlineStr">
        <is>
          <t>85367000</t>
        </is>
      </c>
      <c r="B7" s="6" t="inlineStr">
        <is>
          <t>8536700099</t>
        </is>
      </c>
      <c r="C7" s="5" t="inlineStr">
        <is>
          <t>TN – Tunisko</t>
        </is>
      </c>
      <c r="D7" s="6" t="n">
        <v>4</v>
      </c>
      <c r="E7" s="9" t="n">
        <v>189.73</v>
      </c>
      <c r="F7" s="6" t="n">
        <v>1</v>
      </c>
    </row>
    <row r="8">
      <c r="A8" s="6" t="inlineStr">
        <is>
          <t>39269097</t>
        </is>
      </c>
      <c r="B8" s="6" t="inlineStr">
        <is>
          <t>3926909790</t>
        </is>
      </c>
      <c r="C8" s="5" t="inlineStr">
        <is>
          <t>KR – Jižní Korea (export decl. chybně „SK“)</t>
        </is>
      </c>
      <c r="D8" s="6" t="n">
        <v>14</v>
      </c>
      <c r="E8" s="9" t="n">
        <v>664</v>
      </c>
      <c r="F8" s="6" t="n">
        <v>2</v>
      </c>
    </row>
    <row r="9">
      <c r="A9" s="6" t="inlineStr">
        <is>
          <t>84433210</t>
        </is>
      </c>
      <c r="B9" s="6" t="inlineStr">
        <is>
          <t>8443321000</t>
        </is>
      </c>
      <c r="C9" s="5" t="inlineStr">
        <is>
          <t>CN – Čína</t>
        </is>
      </c>
      <c r="D9" s="6" t="n">
        <v>1</v>
      </c>
      <c r="E9" s="9" t="n">
        <v>406.45</v>
      </c>
      <c r="F9" s="6" t="n">
        <v>3</v>
      </c>
    </row>
    <row r="10">
      <c r="A10" s="6" t="inlineStr">
        <is>
          <t>84715000</t>
        </is>
      </c>
      <c r="B10" s="6" t="inlineStr">
        <is>
          <t>8471500000</t>
        </is>
      </c>
      <c r="C10" s="5" t="inlineStr">
        <is>
          <t>CN – Čína</t>
        </is>
      </c>
      <c r="D10" s="6" t="n">
        <v>3</v>
      </c>
      <c r="E10" s="9" t="n">
        <v>30215.35</v>
      </c>
      <c r="F10" s="6" t="n">
        <v>4</v>
      </c>
    </row>
    <row r="11">
      <c r="A11" s="6" t="inlineStr">
        <is>
          <t>84716060</t>
        </is>
      </c>
      <c r="B11" s="6" t="inlineStr">
        <is>
          <t>8471606000</t>
        </is>
      </c>
      <c r="C11" s="5" t="inlineStr">
        <is>
          <t>CN – Čína</t>
        </is>
      </c>
      <c r="D11" s="6" t="n">
        <v>1</v>
      </c>
      <c r="E11" s="9" t="n">
        <v>13.33</v>
      </c>
      <c r="F11" s="6" t="n">
        <v>5</v>
      </c>
    </row>
    <row r="12">
      <c r="A12" s="6" t="inlineStr">
        <is>
          <t>84716070</t>
        </is>
      </c>
      <c r="B12" s="6" t="inlineStr">
        <is>
          <t>8471607000</t>
        </is>
      </c>
      <c r="C12" s="5" t="inlineStr">
        <is>
          <t>CN – Čína</t>
        </is>
      </c>
      <c r="D12" s="6" t="n">
        <v>1</v>
      </c>
      <c r="E12" s="9" t="n">
        <v>8.33</v>
      </c>
      <c r="F12" s="6" t="n">
        <v>6</v>
      </c>
    </row>
    <row r="13">
      <c r="A13" s="6" t="inlineStr">
        <is>
          <t>84718000</t>
        </is>
      </c>
      <c r="B13" s="6" t="inlineStr">
        <is>
          <t>8471800000</t>
        </is>
      </c>
      <c r="C13" s="5" t="inlineStr">
        <is>
          <t>TW – Tchaj-wan</t>
        </is>
      </c>
      <c r="D13" s="6" t="n">
        <v>2</v>
      </c>
      <c r="E13" s="9" t="n">
        <v>756</v>
      </c>
      <c r="F13" s="6" t="n">
        <v>7</v>
      </c>
    </row>
    <row r="14">
      <c r="A14" s="6" t="inlineStr">
        <is>
          <t>85044087</t>
        </is>
      </c>
      <c r="B14" s="6" t="inlineStr">
        <is>
          <t>8504408790</t>
        </is>
      </c>
      <c r="C14" s="5" t="inlineStr">
        <is>
          <t>BE – Belgie</t>
        </is>
      </c>
      <c r="D14" s="6" t="n">
        <v>2</v>
      </c>
      <c r="E14" s="9" t="n">
        <v>2914</v>
      </c>
      <c r="F14" s="6" t="n">
        <v>8</v>
      </c>
    </row>
    <row r="15">
      <c r="A15" s="11" t="inlineStr">
        <is>
          <t>85176200</t>
        </is>
      </c>
      <c r="B15" s="11" t="inlineStr">
        <is>
          <t>8517620000</t>
        </is>
      </c>
      <c r="C15" s="10" t="inlineStr">
        <is>
          <t>TW – Tchaj-wan</t>
        </is>
      </c>
      <c r="D15" s="11" t="n">
        <v>26</v>
      </c>
      <c r="E15" s="23" t="n">
        <v>8215.6</v>
      </c>
      <c r="F15" s="11" t="n">
        <v>9</v>
      </c>
    </row>
    <row r="16">
      <c r="A16" s="11" t="inlineStr">
        <is>
          <t>85176200</t>
        </is>
      </c>
      <c r="B16" s="11" t="inlineStr">
        <is>
          <t>8517620000</t>
        </is>
      </c>
      <c r="C16" s="10" t="inlineStr">
        <is>
          <t>CN – Čína</t>
        </is>
      </c>
      <c r="D16" s="11" t="n">
        <v>10</v>
      </c>
      <c r="E16" s="23" t="n">
        <v>849.9</v>
      </c>
      <c r="F16" s="11" t="n">
        <v>10</v>
      </c>
    </row>
    <row r="17">
      <c r="A17" s="11" t="inlineStr">
        <is>
          <t>85176200</t>
        </is>
      </c>
      <c r="B17" s="11" t="inlineStr">
        <is>
          <t>8517620000</t>
        </is>
      </c>
      <c r="C17" s="10" t="inlineStr">
        <is>
          <t>US – USA</t>
        </is>
      </c>
      <c r="D17" s="11" t="n">
        <v>1</v>
      </c>
      <c r="E17" s="23" t="n">
        <v>3611.83</v>
      </c>
      <c r="F17" s="11" t="n">
        <v>11</v>
      </c>
    </row>
    <row r="18">
      <c r="A18" s="6" t="inlineStr">
        <is>
          <t>85235110</t>
        </is>
      </c>
      <c r="B18" s="6" t="inlineStr">
        <is>
          <t>8523511000</t>
        </is>
      </c>
      <c r="C18" s="5" t="inlineStr">
        <is>
          <t>CN – Čína</t>
        </is>
      </c>
      <c r="D18" s="6" t="n">
        <v>1</v>
      </c>
      <c r="E18" s="9" t="n">
        <v>630</v>
      </c>
      <c r="F18" s="6" t="n">
        <v>12</v>
      </c>
    </row>
    <row r="19">
      <c r="A19" s="6" t="inlineStr">
        <is>
          <t>85285210</t>
        </is>
      </c>
      <c r="B19" s="6" t="inlineStr">
        <is>
          <t>8528521000</t>
        </is>
      </c>
      <c r="C19" s="5" t="inlineStr">
        <is>
          <t>CN – Čína</t>
        </is>
      </c>
      <c r="D19" s="6" t="n">
        <v>2</v>
      </c>
      <c r="E19" s="9" t="n">
        <v>255.3</v>
      </c>
      <c r="F19" s="6" t="n">
        <v>13</v>
      </c>
    </row>
    <row r="20">
      <c r="A20" s="6" t="inlineStr">
        <is>
          <t>85363010</t>
        </is>
      </c>
      <c r="B20" s="6" t="inlineStr">
        <is>
          <t>8536301000</t>
        </is>
      </c>
      <c r="C20" s="5" t="inlineStr">
        <is>
          <t>DE – Německo</t>
        </is>
      </c>
      <c r="D20" s="6" t="n">
        <v>1</v>
      </c>
      <c r="E20" s="9" t="n">
        <v>164</v>
      </c>
      <c r="F20" s="6" t="n">
        <v>14</v>
      </c>
    </row>
    <row r="21">
      <c r="A21" s="6" t="inlineStr">
        <is>
          <t>85366990</t>
        </is>
      </c>
      <c r="B21" s="6" t="inlineStr">
        <is>
          <t>8536699099</t>
        </is>
      </c>
      <c r="C21" s="5" t="inlineStr">
        <is>
          <t>LI – Lichtenštejnsko</t>
        </is>
      </c>
      <c r="D21" s="6" t="n">
        <v>4</v>
      </c>
      <c r="E21" s="9" t="n">
        <v>59.68</v>
      </c>
      <c r="F21" s="6" t="n">
        <v>15</v>
      </c>
    </row>
    <row r="22">
      <c r="A22" s="11" t="inlineStr">
        <is>
          <t>85437090</t>
        </is>
      </c>
      <c r="B22" s="11" t="inlineStr">
        <is>
          <t>8543709099</t>
        </is>
      </c>
      <c r="C22" s="10" t="inlineStr">
        <is>
          <t>TW – Tchaj-wan</t>
        </is>
      </c>
      <c r="D22" s="11" t="n">
        <v>1</v>
      </c>
      <c r="E22" s="23" t="n">
        <v>98</v>
      </c>
      <c r="F22" s="11" t="n">
        <v>16</v>
      </c>
    </row>
    <row r="23">
      <c r="A23" s="11" t="inlineStr">
        <is>
          <t>85437090</t>
        </is>
      </c>
      <c r="B23" s="11" t="inlineStr">
        <is>
          <t>8543709099</t>
        </is>
      </c>
      <c r="C23" s="10" t="inlineStr">
        <is>
          <t>DE – Německo</t>
        </is>
      </c>
      <c r="D23" s="11" t="n">
        <v>1</v>
      </c>
      <c r="E23" s="23" t="n">
        <v>6298.5</v>
      </c>
      <c r="F23" s="11" t="n">
        <v>17</v>
      </c>
    </row>
    <row r="24">
      <c r="A24" s="6" t="inlineStr">
        <is>
          <t>85444210</t>
        </is>
      </c>
      <c r="B24" s="6" t="inlineStr">
        <is>
          <t>8544421000</t>
        </is>
      </c>
      <c r="C24" s="5" t="inlineStr">
        <is>
          <t>CN – Čína</t>
        </is>
      </c>
      <c r="D24" s="6" t="n">
        <v>5</v>
      </c>
      <c r="E24" s="9" t="n">
        <v>25</v>
      </c>
      <c r="F24" s="6" t="n">
        <v>18</v>
      </c>
    </row>
    <row r="25">
      <c r="A25" s="11" t="inlineStr">
        <is>
          <t>85444290</t>
        </is>
      </c>
      <c r="B25" s="11" t="inlineStr">
        <is>
          <t>8544429090</t>
        </is>
      </c>
      <c r="C25" s="10" t="inlineStr">
        <is>
          <t>CN – Čína</t>
        </is>
      </c>
      <c r="D25" s="11" t="n">
        <v>9</v>
      </c>
      <c r="E25" s="23" t="n">
        <v>297.28</v>
      </c>
      <c r="F25" s="11" t="n">
        <v>19</v>
      </c>
    </row>
    <row r="26">
      <c r="A26" s="11" t="inlineStr">
        <is>
          <t>85444290</t>
        </is>
      </c>
      <c r="B26" s="11" t="inlineStr">
        <is>
          <t>8544429090</t>
        </is>
      </c>
      <c r="C26" s="10" t="inlineStr">
        <is>
          <t>TW – Tchaj-wan</t>
        </is>
      </c>
      <c r="D26" s="11" t="n">
        <v>2</v>
      </c>
      <c r="E26" s="23" t="n">
        <v>50</v>
      </c>
      <c r="F26" s="11" t="n">
        <v>20</v>
      </c>
    </row>
    <row r="27">
      <c r="A27" s="11" t="inlineStr">
        <is>
          <t>85444290</t>
        </is>
      </c>
      <c r="B27" s="11" t="inlineStr">
        <is>
          <t>8544429090</t>
        </is>
      </c>
      <c r="C27" s="10" t="inlineStr">
        <is>
          <t>VN – Vietnam</t>
        </is>
      </c>
      <c r="D27" s="11" t="n">
        <v>1</v>
      </c>
      <c r="E27" s="23" t="n">
        <v>39.79</v>
      </c>
      <c r="F27" s="11" t="n">
        <v>21</v>
      </c>
    </row>
    <row r="28">
      <c r="A28" s="6" t="inlineStr">
        <is>
          <t>85447000</t>
        </is>
      </c>
      <c r="B28" s="6" t="inlineStr">
        <is>
          <t>8544700099</t>
        </is>
      </c>
      <c r="C28" s="5" t="inlineStr">
        <is>
          <t>GB – Spojené království</t>
        </is>
      </c>
      <c r="D28" s="6" t="n">
        <v>6</v>
      </c>
      <c r="E28" s="9" t="n">
        <v>1199.94</v>
      </c>
      <c r="F28" s="6" t="n">
        <v>22</v>
      </c>
    </row>
    <row r="29">
      <c r="A29" s="12" t="inlineStr">
        <is>
          <t>CELKEM</t>
        </is>
      </c>
      <c r="D29" s="12">
        <f>SUM(D7:D28)</f>
        <v>98</v>
      </c>
      <c r="E29" s="15">
        <f>SUM(E7:E28)</f>
        <v>56962.01</v>
      </c>
    </row>
    <row r="31">
      <c r="A31" s="2" t="inlineStr">
        <is>
          <t>Žlutě zvýrazněné řádky = HS kódy, které se na listu „Souhrn HS“ objevují na jednom řádku, ale mají různý původ.</t>
        </is>
      </c>
    </row>
  </sheetData>
  <mergeCells count="1">
    <mergeCell ref="A2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24" t="inlineStr">
        <is>
          <t>KONTROLY A UPOZORNĚNÍ – Hitachi Energy, faktura 129689 (dovoz GB → CZ)</t>
        </is>
      </c>
    </row>
    <row r="3">
      <c r="A3" s="25" t="inlineStr">
        <is>
          <t>1) PREFERENČNÍ VĚTA (COO) – NENÍ V DOKLADECH</t>
        </is>
      </c>
      <c r="B3" s="26" t="inlineStr">
        <is>
          <t>KRITICKÉ</t>
        </is>
      </c>
    </row>
    <row r="4" ht="45" customHeight="1">
      <c r="A4" s="22" t="inlineStr">
        <is>
          <t>❌ V žádném z doložených dokladů (Customs Invoice 129689, Packing Note, Export Declaration Instruction Sheet 1400045712, Supplier's Declaration concerning Export Control) NENÍ uvedena preferenční věta / prohlášení o původu.</t>
        </is>
      </c>
    </row>
    <row r="5" ht="30" customHeight="1">
      <c r="A5" s="22" t="inlineStr">
        <is>
          <t>Důsledek: NELZE uplatnit preferenční sazební zacházení podle Dohody o obchodu a spolupráci EU–UK (TCA). Zboží bude propuštěno se standardní celní sazbou erga omnes.</t>
        </is>
      </c>
    </row>
    <row r="6" ht="45" customHeight="1">
      <c r="A6" s="22" t="inlineStr">
        <is>
          <t>Pozn.: Jediná položka, která by na preferenci podle TCA vůbec mohla dosáhnout, je Fiber Acc_MDRII_OM1_LC_SplicePatch (TARIC 8544 70 00 99, původ UNITED KINGDOM, hodnota 1 199,94 GBP). Bez prohlášení o původu na faktuře ji uplatnit nelze.</t>
        </is>
      </c>
    </row>
    <row r="7" ht="30" customHeight="1">
      <c r="A7" s="22" t="inlineStr">
        <is>
          <t>Ostatní zboží má původ CN / TW / KR / US / VN / TN / LI / DE / BE – na preferenci podle TCA nárok nemá bez ohledu na prohlášení.</t>
        </is>
      </c>
    </row>
    <row r="8" ht="30" customHeight="1">
      <c r="A8" s="22" t="inlineStr">
        <is>
          <t>➤ DOPORUČENÍ: vyžádat od Hitachi Energy UK Ltd fakturu s prohlášením o původu, pokud na preferenci u položky 8544 70 00 99 chtějí nárokovat. Jinak clít standardní sazbou.</t>
        </is>
      </c>
    </row>
    <row r="10">
      <c r="A10" s="25" t="inlineStr">
        <is>
          <t>2) REX / REFERENČNÍ ČÍSLO VÝVOZCE – NENÍ NA FAKTUŘE</t>
        </is>
      </c>
      <c r="B10" s="26" t="inlineStr">
        <is>
          <t>KRITICKÉ</t>
        </is>
      </c>
    </row>
    <row r="11" ht="30" customHeight="1">
      <c r="A11" s="22" t="inlineStr">
        <is>
          <t>❌ Na faktuře 129689 NENÍ uvedeno žádné číslo REX ani jiné referenční číslo vývozce pro účely prohlášení o původu.</t>
        </is>
      </c>
    </row>
    <row r="12" ht="30" customHeight="1">
      <c r="A12" s="22" t="inlineStr">
        <is>
          <t>Na faktuře je uvedeno pouze EORI vývozce: GB641401089000 (a VAT GB 641 4010 89, Reg. in England No. 2985756). Samotné EORI ale prohlášením o původu není.</t>
        </is>
      </c>
    </row>
    <row r="13" ht="45" customHeight="1">
      <c r="A13" s="22" t="inlineStr">
        <is>
          <t>Pozn. k systematice: pro směr UK → EU se v režimu TCA neuvádí REX, ale referenční číslo vývozce, kterým je jeho britské EORI, a to VŽDY spolu s textem prohlášení o původu. REX se používá u GSP a některých jiných dohod. Zde chybí samotný text prohlášení, takže původ nelze prokázat ani jednou z cest.</t>
        </is>
      </c>
    </row>
    <row r="14" ht="15" customHeight="1">
      <c r="A14" s="22" t="inlineStr">
        <is>
          <t>➤ ZÁVĚR: REX není přítomen; prohlášení o původu není přítomno. Preferenci neuplatňovat.</t>
        </is>
      </c>
    </row>
    <row r="16">
      <c r="A16" s="27" t="inlineStr">
        <is>
          <t>3) CBAM – ZÁSILKA NEPODLÉHÁ</t>
        </is>
      </c>
      <c r="B16" s="28" t="inlineStr">
        <is>
          <t>OK</t>
        </is>
      </c>
    </row>
    <row r="17" ht="30" customHeight="1">
      <c r="A17" s="22" t="inlineStr">
        <is>
          <t>Žádný z 17 HS kódů této zásilky (kap. 39, 84, 85) není uveden v příloze I nařízení o CBAM (cement, elektřina, hnojiva, železo a ocel, hliník, vodík). Zásilka tedy CBAM nepodléhá a deklaraci Y-kódu nevyžaduje.</t>
        </is>
      </c>
    </row>
    <row r="18" ht="30" customHeight="1">
      <c r="A18" s="22" t="inlineStr">
        <is>
          <t>Pro úplnost byl příjemce přesto dohledán v registru reference/CBAM_receivers_CZ.xlsx (list List1, řádek 16):</t>
        </is>
      </c>
    </row>
    <row r="19" ht="15" customHeight="1">
      <c r="A19" s="22" t="inlineStr">
        <is>
          <t xml:space="preserve">     Firma: Hitachi Energy Czech Republic s.r.o.</t>
        </is>
      </c>
    </row>
    <row r="20" ht="15" customHeight="1">
      <c r="A20" s="22" t="inlineStr">
        <is>
          <t xml:space="preserve">     EORI: CZ08136289</t>
        </is>
      </c>
    </row>
    <row r="21" ht="15" customHeight="1">
      <c r="A21" s="22" t="inlineStr">
        <is>
          <t xml:space="preserve">     Y KÓD: Y128  (povolení uděleno – plně autorizovaný deklarant CBAM)</t>
        </is>
      </c>
    </row>
    <row r="22" ht="15" customHeight="1">
      <c r="A22" s="22" t="inlineStr">
        <is>
          <t xml:space="preserve">     Povolení: CBAM-CZ-2025-AQH22019015074</t>
        </is>
      </c>
    </row>
    <row r="23" ht="15" customHeight="1">
      <c r="A23" s="22" t="inlineStr">
        <is>
          <t xml:space="preserve">     Podaná žádost: – (neuvedeno)     |     Datum vydání: neuvedeno</t>
        </is>
      </c>
    </row>
    <row r="24" ht="15" customHeight="1">
      <c r="A24" s="22" t="inlineStr">
        <is>
          <t>➤ Příjemce je v registru veden a má platné povolení Y128. Pro tuto zásilku se však nepoužije.</t>
        </is>
      </c>
    </row>
    <row r="26">
      <c r="A26" s="29" t="inlineStr">
        <is>
          <t>4) ANTIDUMPING</t>
        </is>
      </c>
      <c r="B26" s="30" t="inlineStr">
        <is>
          <t>OVĚŘIT</t>
        </is>
      </c>
    </row>
    <row r="27" ht="45" customHeight="1">
      <c r="A27" s="22" t="inlineStr">
        <is>
          <t>⚠ TARIC 8544 70 00 99 – Kabely z optických vláken (Fiber Acc_MDRII_OM1_LC_SplicePatch, 6 ks, 1 199,94 GBP): EU vede na kabely z optických vláken antidumpingová a vyrovnávací (antisubvenční) opatření vůči původu ČLR a Indie.</t>
        </is>
      </c>
    </row>
    <row r="28" ht="30" customHeight="1">
      <c r="A28" s="22" t="inlineStr">
        <is>
          <t>V této zásilce je deklarován původ UNITED KINGDOM (GB), opatření by se tedy uplatnit neměla – původ je však nutné doložit. Ověřte v TARIC ke dni propuštění do volného oběhu.</t>
        </is>
      </c>
    </row>
    <row r="29" ht="30" customHeight="1">
      <c r="A29" s="22" t="inlineStr">
        <is>
          <t>U ostatních 16 HS kódů zásilky nejsou známa žádná antidumpingová opatření relevantní pro deklarované země původu.</t>
        </is>
      </c>
    </row>
    <row r="31">
      <c r="A31" s="29" t="inlineStr">
        <is>
          <t>5) ROZPORY MEZI DOKLADY – NUTNO VYJASNIT S ODESÍLATELEM</t>
        </is>
      </c>
      <c r="B31" s="30" t="inlineStr">
        <is>
          <t>K VYJASNĚNÍ</t>
        </is>
      </c>
    </row>
    <row r="32" ht="60" customHeight="1">
      <c r="A32" s="22" t="inlineStr">
        <is>
          <t>⚠ ZEMĚ PŮVODU (3926 90 97 90): Faktura i Supplier's Declaration uvádějí u položek NL03P1, U03DB a UL03P1DB (14 ks, 664,00 GBP) původ SOUTH KOREA. Export Declaration u téže položky uvádí kód „SK“, což je Slovensko. Správný kód pro Jižní Koreu je KR. Před podáním JSD opravit – rozdíl EU vs. třetí země zásadně mění clo.</t>
        </is>
      </c>
    </row>
    <row r="33" ht="30" customHeight="1">
      <c r="A33" s="22" t="inlineStr">
        <is>
          <t>⚠ HS KÓD (SFP-GMM-2K, 12 ks, 420,00 GBP): faktura uvádí 8517 60 00, Export Declaration 8517 62 00. Do souhrnu použit kód z Export Declaration (8517 62 00). Potvrdit s odesílatelem.</t>
        </is>
      </c>
    </row>
    <row r="34" ht="30" customHeight="1">
      <c r="A34" s="22" t="inlineStr">
        <is>
          <t>⚠ HS KÓD (Inverter Bravo + kryt, 2 ks, 2 914,00 GBP): faktura a Supplier's Declaration uvádějí 8504 40 86, Export Declaration 8504 40 87 90. Podpoložku ověřit v TARIC a sjednotit.</t>
        </is>
      </c>
    </row>
    <row r="35" ht="30" customHeight="1">
      <c r="A35" s="22" t="inlineStr">
        <is>
          <t>⚠ HS KÓD (Converter_Module DIN rail MDR): na faktuře uveden jako sedmimístný „8536700“ – správně 8536 70 00.</t>
        </is>
      </c>
    </row>
    <row r="36" ht="60" customHeight="1">
      <c r="A36" s="22" t="inlineStr">
        <is>
          <t>⚠ HMOTNOSTI: Export Declaration rozpočítala 70,000 kg rovnoměrně na 22 položek (3,180 kg / položku) a jako čistou hmotnost uvádí celkem 46,000 kg. To přesně odpovídá hrubým hmotnostem obou palet z Packing Note (70 kg a 46 kg). Skutečná hrubá hmotnost zásilky je 116 kg (46 + 70). Hmotnosti na položku tedy v dokladech FAKTICKY CHYBÍ.</t>
        </is>
      </c>
    </row>
    <row r="37" ht="30" customHeight="1">
      <c r="A37" s="22" t="inlineStr">
        <is>
          <t>⚠ REFERENCE: e-mail pana Jahnholze uvádí „Projekt 129869“ a referenci „129869 -0-0-00-FRP“, doklady však znějí na 129689 (faktura, packing note, export declaration). Zřejmě překlep v e-mailu – potvrdit.</t>
        </is>
      </c>
    </row>
    <row r="39">
      <c r="A39" s="29" t="inlineStr">
        <is>
          <t>6) CELNÍ HODNOTA – ZÁKLAD PRO URČENÍ NUTNO POTVRDIT</t>
        </is>
      </c>
      <c r="B39" s="30" t="inlineStr">
        <is>
          <t>K VYJASNĚNÍ</t>
        </is>
      </c>
    </row>
    <row r="40" ht="60" customHeight="1">
      <c r="A40" s="22" t="inlineStr">
        <is>
          <t>⚠ Faktura 129689 nese text: „THE VALUE OF THESE GOODS ARE LISTED FOR CUSTOMS PURPOSES ONLY“ a jde o převod mezi dvěma společnostmi skupiny Hitachi Energy (UK → CZ). Nejde tedy zřejmě o prodej. Pokud prodej neproběhl, nelze celní hodnotu určit převodní hodnotou (čl. 70 UCC) a je nutné použít některou z náhradních metod (čl. 74 UCC). Potvrďte s dovozcem, zda je zboží fakturováno a placeno, nebo jde o bezplatný převod.</t>
        </is>
      </c>
    </row>
    <row r="41" ht="30" customHeight="1">
      <c r="A41" s="22" t="inlineStr">
        <is>
          <t>⚠ PŘEPRAVNÉ: Purchase Order 4502372958 ze dne 19.08.2026 je objednávka PŘEPRAVY u DSV Road Ltd – „2x pallets with small goods“ za 487,10 GBP (Terms of Delivery DAP Stone, měna GBP). Nejde o fakturu za zboží.</t>
        </is>
      </c>
    </row>
    <row r="42" ht="60" customHeight="1">
      <c r="A42" s="22" t="inlineStr">
        <is>
          <t>➤ Nutno vyjasnit, zda je těchto 487,10 GBP již obsaženo v částce 56 962,01 GBP. Při dodací podmínce CPT Trutnov má přepravu hradit prodávající, a je-li fakturována zvlášť, je nutné náklady až po místo vstupu do EU k celní hodnotě PŘIČÍST (čl. 71 UCC); náklady po vstupu do EU se naopak odečítají, jsou-li vykázány odděleně.</t>
        </is>
      </c>
    </row>
    <row r="43" ht="45" customHeight="1">
      <c r="A43" s="22" t="inlineStr">
        <is>
          <t>⚠ NESROVNALOST: pokyn k odbavení uvádí „TUZ úsek: 22 000,- CZK“ (tuzemský úsek), což je zhruba 780 GBP – tedy VÍCE než celkové přepravné 487,10 GBP podle PO 4502372958 za celou trasu. Tyto dva údaje si odporují; před výpočtem celní hodnoty je nutné je sjednotit.</t>
        </is>
      </c>
    </row>
    <row r="44" ht="15" customHeight="1">
      <c r="A44" s="22" t="inlineStr"/>
    </row>
    <row r="45" ht="30" customHeight="1">
      <c r="A45" s="22" t="inlineStr">
        <is>
          <t>Fakturovaná hodnota: 56 962,01 GBP. Dodací podmínka CPT Trutnov, Česká republika – přeprava až do místa určení je součástí ceny.</t>
        </is>
      </c>
    </row>
    <row r="46" ht="45" customHeight="1">
      <c r="A46" s="22" t="inlineStr">
        <is>
          <t>V pokynu k odbavení je uvedeno: „TUZ úsek: 22 000,- CZK“ (tuzemský úsek přepravy). Náklady na přepravu po vstupu zboží na celní území EU lze z celní hodnoty odečíst, jsou-li vykázány odděleně – rozdělení a uplatnění je na vás, do souhrnu jsem je nezapočítal.</t>
        </is>
      </c>
    </row>
    <row r="47" ht="30" customHeight="1">
      <c r="A47" s="22" t="inlineStr">
        <is>
          <t>Obchodní sleva: v dokladech není uvedena žádná sleva, proporcionální rozpuštění slevy se tedy neprovádělo.</t>
        </is>
      </c>
    </row>
    <row r="48" ht="15" customHeight="1">
      <c r="A48" s="22" t="inlineStr">
        <is>
          <t>Kurz pro přepočet GBP → CZK stanovte podle celního kurzu platného ke dni přijetí celního prohlášení.</t>
        </is>
      </c>
    </row>
    <row r="50">
      <c r="A50" s="31" t="inlineStr">
        <is>
          <t>6a) DOPRAVNÉ – CO O NĚM VÍME Z DOKLADŮ</t>
        </is>
      </c>
      <c r="B50" s="32" t="inlineStr">
        <is>
          <t>PŘEHLED</t>
        </is>
      </c>
    </row>
    <row r="51" ht="15" customHeight="1">
      <c r="A51" s="22" t="inlineStr">
        <is>
          <t>Přehled všech údajů o dopravném, které se v doložených dokladech vyskytují:</t>
        </is>
      </c>
    </row>
    <row r="53">
      <c r="A53" s="33" t="inlineStr">
        <is>
          <t>Dopravce</t>
        </is>
      </c>
      <c r="B53" s="5" t="inlineStr">
        <is>
          <t>DSV Road Ltd, Scandinavia House, Refinery Road, Parkeston, Harwich CO12 4QG, GB</t>
        </is>
      </c>
    </row>
    <row r="54">
      <c r="A54" s="33" t="inlineStr">
        <is>
          <t xml:space="preserve">   – identifikace</t>
        </is>
      </c>
      <c r="B54" s="5" t="inlineStr">
        <is>
          <t>EORI GB759894254003, VAT GB7598942540 (v export declaration veden jako Forwarding Agent)</t>
        </is>
      </c>
    </row>
    <row r="55">
      <c r="A55" s="33" t="inlineStr">
        <is>
          <t xml:space="preserve">   – kontakt v CZ</t>
        </is>
      </c>
      <c r="B55" s="5" t="inlineStr">
        <is>
          <t>DSV Road s.r.o., Alena Miková, Prologis Park Rudná, K Vypichu 731, Nučice 252 16</t>
        </is>
      </c>
    </row>
    <row r="56">
      <c r="A56" s="33" t="inlineStr">
        <is>
          <t>Objednávka přepravy</t>
        </is>
      </c>
      <c r="B56" s="5" t="inlineStr">
        <is>
          <t>Purchase Order 4502372958 ze dne 19.08.2026 (Hitachi Energy UK Ltd → DSV Road Ltd)</t>
        </is>
      </c>
    </row>
    <row r="57">
      <c r="A57" s="33" t="inlineStr">
        <is>
          <t xml:space="preserve">   – reference</t>
        </is>
      </c>
      <c r="B57" s="5" t="inlineStr">
        <is>
          <t>Q-8384061; dodavatel č. 1000174058; rámcová smlouva 129689 HWUP</t>
        </is>
      </c>
    </row>
    <row r="58">
      <c r="A58" s="33" t="inlineStr">
        <is>
          <t xml:space="preserve">   – předmět</t>
        </is>
      </c>
      <c r="B58" s="5" t="inlineStr">
        <is>
          <t>„2x pallets with small goods“, 1 položka, dodání 28.08.2026</t>
        </is>
      </c>
    </row>
    <row r="59">
      <c r="A59" s="33" t="inlineStr">
        <is>
          <t>DOPRAVNÉ dle PO</t>
        </is>
      </c>
      <c r="B59" s="5" t="inlineStr">
        <is>
          <t>487,10 GBP  (Net Price 487,10 / Net Value 487,10 / Total net value excl. tax 487,10 GBP)</t>
        </is>
      </c>
    </row>
    <row r="60">
      <c r="A60" s="33" t="inlineStr">
        <is>
          <t xml:space="preserve">   – dodací podmínka PO</t>
        </is>
      </c>
      <c r="B60" s="5" t="inlineStr">
        <is>
          <t>DAP Stone (tj. podmínka objednávky přepravy, nikoli zásilky)</t>
        </is>
      </c>
    </row>
    <row r="61">
      <c r="A61" s="33" t="inlineStr">
        <is>
          <t>„TUZ úsek“ dle pokynu</t>
        </is>
      </c>
      <c r="B61" s="5" t="inlineStr">
        <is>
          <t>22 000,- CZK – uvedeno v e-mailu pana Jahnholze jako tuzemský (český) úsek přepravy</t>
        </is>
      </c>
    </row>
    <row r="62">
      <c r="A62" s="33" t="inlineStr">
        <is>
          <t>Incoterm zásilky</t>
        </is>
      </c>
      <c r="B62" s="5" t="inlineStr">
        <is>
          <t>CPT Trutnov, Česká republika (shodně na faktuře i v export declaration)</t>
        </is>
      </c>
    </row>
    <row r="63">
      <c r="A63" s="33" t="inlineStr">
        <is>
          <t>Přeprava – způsob</t>
        </is>
      </c>
      <c r="B63" s="5" t="inlineStr">
        <is>
          <t>silniční (Road). Packing Note uvádí „Despatch Method: DB SCHENKER“ – DB Schenker je součástí DSV.</t>
        </is>
      </c>
    </row>
    <row r="64">
      <c r="A64" s="33" t="inlineStr">
        <is>
          <t>Transportation Ref. No.</t>
        </is>
      </c>
      <c r="B64" s="5" t="inlineStr">
        <is>
          <t>40257145950465208908 (export declaration, pole 16)</t>
        </is>
      </c>
    </row>
    <row r="65">
      <c r="A65" s="33" t="inlineStr">
        <is>
          <t>Zásilka / STT</t>
        </is>
      </c>
      <c r="B65" s="5" t="inlineStr">
        <is>
          <t>GBPFT608004151, MSA850/012; vývozní MRN 26GB000246SZVJOHJ0</t>
        </is>
      </c>
    </row>
    <row r="66">
      <c r="A66" s="33" t="inlineStr">
        <is>
          <t>Místo výstupu z GB</t>
        </is>
      </c>
      <c r="B66" s="5" t="inlineStr">
        <is>
          <t>NEUVEDENO („Výstup: unknown“)</t>
        </is>
      </c>
    </row>
    <row r="67">
      <c r="A67" s="33" t="inlineStr">
        <is>
          <t>Místo vstupu do EU</t>
        </is>
      </c>
      <c r="B67" s="5" t="inlineStr">
        <is>
          <t>NEUVEDENO („Vstup do EU: unknown“) – bez něj nelze rozdělit dopravné na část před a po vstupu do EU</t>
        </is>
      </c>
    </row>
    <row r="68">
      <c r="A68" s="33" t="inlineStr">
        <is>
          <t>SPZ vozidla</t>
        </is>
      </c>
      <c r="B68" s="5" t="inlineStr">
        <is>
          <t>NEUVEDENO („SPZ: unknown“)</t>
        </is>
      </c>
    </row>
    <row r="70">
      <c r="A70" s="25" t="inlineStr">
        <is>
          <t>6b) DOPRAVNÉ A CELNÍ HODNOTA – CO JE TŘEBA VYŘEŠIT</t>
        </is>
      </c>
      <c r="B70" s="26" t="inlineStr">
        <is>
          <t>NEVYŘEŠENO</t>
        </is>
      </c>
    </row>
    <row r="71" ht="45" customHeight="1">
      <c r="A71" s="22" t="inlineStr">
        <is>
          <t>❗ ZJIŠTĚNÍ: částka 56 962,01 GBP na faktuře 129689 je PŘESNĚ součtem 37 řádků zboží. Faktura neobsahuje žádný řádek za dopravné, balné ani pojištění. Dopravné tedy ve fakturované částce prokazatelně NENÍ zahrnuto.</t>
        </is>
      </c>
    </row>
    <row r="72" ht="30" customHeight="1">
      <c r="A72" s="22" t="inlineStr">
        <is>
          <t>❗ To je v rozporu s dodací podmínkou CPT Trutnov, podle níž přepravu do místa určení hradí prodávající a měla by být v ceně. Buď je podmínka uvedena nesprávně, nebo se dopravné fakturuje mimo tuto fakturu.</t>
        </is>
      </c>
    </row>
    <row r="73" ht="60" customHeight="1">
      <c r="A73" s="22" t="inlineStr">
        <is>
          <t>➤ DŮSLEDEK PRO CELNÍ HODNOTU: náklady na dopravu až do místa vstupu zboží na celní území EU se do celní hodnoty PŘIČÍTAJÍ (čl. 71 odst. 1 písm. e) UCC). Náklady na dopravu po vstupu do EU se naopak nezahrnují, jsou-li vykázány odděleně (čl. 72 písm. a) UCC). Dopravné je proto nutné rozdělit na úsek před vstupem do EU a po něm.</t>
        </is>
      </c>
    </row>
    <row r="74" ht="30" customHeight="1">
      <c r="A74" s="22" t="inlineStr">
        <is>
          <t>➤ PROBLÉM: místo vstupu do EU není v pokynu uvedeno („unknown“), takže rozdělení zatím nelze provést. Vyžádejte si trasu (přes který přístav / hraniční přechod zásilka vstoupila do EU).</t>
        </is>
      </c>
    </row>
    <row r="75" ht="60" customHeight="1">
      <c r="A75" s="22" t="inlineStr">
        <is>
          <t>⚠ NESROVNALOST ČÁSTEK: 22 000 CZK za samotný tuzemský úsek je při jakémkoli reálném kurzu (cca 26–30 CZK/GBP) zhruba 730–850 GBP, tedy VÍCE než celé dopravné 487,10 GBP podle PO 4502372958 za celou trasu Stone → Trutnov. Část nemůže být větší než celek – jeden z těchto údajů je chybný nebo se každý týká něčeho jiného (např. 22 000 CZK může zahrnovat i celní služby, skladné či dodání koncovému příjemci).</t>
        </is>
      </c>
    </row>
    <row r="76" ht="45" customHeight="1">
      <c r="A76" s="22" t="inlineStr">
        <is>
          <t>➤ K DOTAZU NA DOVOZCE / DSV: (1) je 487,10 GBP dopravné za celou trasu Stone → Trutnov? (2) co přesně zahrnuje 22 000 CZK a jakého úseku se týká? (3) jaké je místo vstupu do EU? (4) má být dopravné přičteno k celní hodnotě, nebo je již v ceně zboží?</t>
        </is>
      </c>
    </row>
    <row r="77" ht="30" customHeight="1">
      <c r="A77" s="22" t="inlineStr">
        <is>
          <t>Pozn.: PO 4502372958 je objednávka Hitachi Energy UK u DSV – není to faktura dopravce. Pro doložení celní hodnoty celnímu úřadu bude nejspíš potřeba faktura DSV za přepravu.</t>
        </is>
      </c>
    </row>
    <row r="79">
      <c r="A79" s="25" t="inlineStr">
        <is>
          <t>7) TRANZIT / T1 – NEMÁME, STAV NEPOTVRZEN</t>
        </is>
      </c>
      <c r="B79" s="26" t="inlineStr">
        <is>
          <t>NEVYŘEŠENO</t>
        </is>
      </c>
    </row>
    <row r="80" ht="45" customHeight="1">
      <c r="A80" s="22" t="inlineStr">
        <is>
          <t>❌ Mezi doloženými doklady NENÍ žádné tranzitní celní prohlášení (T1) ani jiný tranzitní doklad. K dispozici máme pouze: Customs Invoice 129689, Packing Note, Export Declaration Instruction Sheet 1400045712, Supplier's Declaration (export control), PO 4502372958 a nevyplněný formulář Dispozice IMPORT.</t>
        </is>
      </c>
    </row>
    <row r="81" ht="30" customHeight="1">
      <c r="A81" s="22" t="inlineStr">
        <is>
          <t xml:space="preserve">V celé e-mailové korespondenci se T1 zmiňuje jedinkrát – pan Jahnholz (Hitachi Energy) 11.09.2026: „Pokud vím, jedná se o přepravu bez T1; prosím o potvrzení.“ </t>
        </is>
      </c>
    </row>
    <row r="82" ht="45" customHeight="1">
      <c r="A82" s="22" t="inlineStr">
        <is>
          <t>⚠ TOTO POTVRZENÍ NIKDY NEPŘIŠLO. DSV (paní Miková) na dotaz k T1 neodpověděla; její poslední zpráva zní „já více dokladů k dispozici nemám“. Stav tranzitu je tedy otevřený – nelze vycházet z toho, že T1 neexistuje.</t>
        </is>
      </c>
    </row>
    <row r="83" ht="30" customHeight="1">
      <c r="A83" s="22" t="inlineStr">
        <is>
          <t>Jediné MRN v korespondenci je 26GB000246SZVJOHJ0, které DSV označuje jako „SCP MRN“. Z označení nelze určit, zda jde o britské vývozní celní prohlášení, nebo o tranzitní prohlášení.</t>
        </is>
      </c>
    </row>
    <row r="84" ht="45" customHeight="1">
      <c r="A84" s="22" t="inlineStr">
        <is>
          <t>⚠ POZOR: Spojené království je smluvní stranou Úmluvy o společném tranzitním režimu, takže i T1 otevřené v GB nese MRN s předponou GB. Prefix „26GB…“ tedy sám o sobě NEDOKAZUJE, že jde o vývozní a nikoli tranzitní doklad.</t>
        </is>
      </c>
    </row>
    <row r="85" ht="60" customHeight="1">
      <c r="A85" s="22" t="inlineStr">
        <is>
          <t>➤ PROČ NA TOM ZÁLEŽÍ: pokud T1 existuje, musí je Maurice Ward u celního úřadu určení řádně a včas ukončit a JSD musí na tento předchozí doklad odkazovat. Pokud T1 neexistuje, muselo být zboží propuštěno do celního režimu již v místě vstupu do EU – a to místo je dosud „unknown“. Ani jedna varianta zatím není doložena.</t>
        </is>
      </c>
    </row>
    <row r="86" ht="30" customHeight="1">
      <c r="A86" s="22" t="inlineStr">
        <is>
          <t>➤ Formulář Dispozice IMPORT má kolonku „Tranzitní celní prohlášení (T1): ANO / NE“ i „Celní úřad určení“ NEVYPLNĚNÉ, včetně závazku „V případě tohoto režimu se zavazujeme T1 včas a řádně ukončit“.</t>
        </is>
      </c>
    </row>
    <row r="87" ht="45" customHeight="1">
      <c r="A87" s="22" t="inlineStr">
        <is>
          <t>➤ DOTAZ NA DSV (paní Miková) – vyžádat písemně: (1) bylo k zásilce otevřeno tranzitní prohlášení T1, ano či ne? (2) pokud ano, jaké je MRN tranzitu a který je celní úřad určení? (3) co přesně je MRN 26GB000246SZVJOHJ0 – vývozní, nebo tranzitní prohlášení? (4) kde zásilka vstoupila na celní území EU?</t>
        </is>
      </c>
    </row>
    <row r="89">
      <c r="A89" s="31" t="inlineStr">
        <is>
          <t>8) PROVOZNÍ POZNÁMKY K ZÁSILCE</t>
        </is>
      </c>
      <c r="B89" s="32" t="inlineStr">
        <is>
          <t>INFO</t>
        </is>
      </c>
    </row>
    <row r="90" ht="30" customHeight="1">
      <c r="A90" s="22" t="inlineStr">
        <is>
          <t>Přeprava: DSV Road s.r.o. (Alena Miková), zásilka GBPFT608004151 / MSA850/012. Vývozní MRN (SCP): 26GB000246SZVJOHJ0.</t>
        </is>
      </c>
    </row>
    <row r="91" ht="15" customHeight="1">
      <c r="A91" s="22" t="inlineStr">
        <is>
          <t>Tranzit / T1: viz samostatná sekce 7 – stav není potvrzen.</t>
        </is>
      </c>
    </row>
    <row r="92" ht="30" customHeight="1">
      <c r="A92" s="22" t="inlineStr">
        <is>
          <t>DSV k zásilce neměla dovozní fakturu (měla pouze objednávku a export declaration sheet); fakturu 129689 dodala přímo Hitachi Energy (Mathias Jahnholz) – ta je podkladem tohoto souhrnu.</t>
        </is>
      </c>
    </row>
    <row r="93" ht="15" customHeight="1">
      <c r="A93" s="22" t="inlineStr">
        <is>
          <t>Vykládka: 14./15.09.2026, Trutnov, Průmyslová 137. Kontakt příjemce: Monika Lutterová, +420 704 844 676.</t>
        </is>
      </c>
    </row>
    <row r="94" ht="30" customHeight="1">
      <c r="A94" s="22" t="inlineStr">
        <is>
          <t>Vývozní kontrola: Supplier's Declaration concerning Export Control potvrzuje u VŠECH položek Dual-Use = No, vojenské zboží N/A, ITAR N/A – zboží nepodléhá vývozním omezením.</t>
        </is>
      </c>
    </row>
    <row r="95" ht="45" customHeight="1">
      <c r="A95" s="22" t="inlineStr">
        <is>
          <t>PO 4502372958 (19.08.2026) = objednávka přepravy u DSV Road Ltd, 487,10 GBP, dodání 28.08.2026. Obsahuje rovněž prohlášení dodavatele, že zboží NENÍ ruského původu a neobsahuje železné ani ocelové výrobky ruského původu – využitelné k doložení souladu se sankčním režimem (čl. 3g nařízení 833/2014).</t>
        </is>
      </c>
    </row>
    <row r="96" ht="60" customHeight="1">
      <c r="A96" s="22" t="inlineStr">
        <is>
          <t>„Dispozice IMPORT“ je nevyplněný formulář objednávky celních služeb Maurice Ward. Požaduje přesně tyto údaje: český popis zboží, TARIC, hodnotu, nákladové kusy, hrubou a čistou hmotnost – všechny jsou na listu „Souhrn HS“. Formulář je dosud nevyplněný a nepodepsaný; před odbavením jej nechte dovozce doplnit a podepsat.</t>
        </is>
      </c>
    </row>
    <row r="98">
      <c r="A98" s="29" t="inlineStr">
        <is>
          <t>9) POZNÁMKA K POPISŮM V ČEŠTINĚ</t>
        </is>
      </c>
      <c r="B98" s="30" t="inlineStr">
        <is>
          <t>POZOR</t>
        </is>
      </c>
    </row>
    <row r="99" ht="30" customHeight="1">
      <c r="A99" s="22" t="inlineStr">
        <is>
          <t>Zdrojové doklady (faktura, packing note, export declaration, supplier's declaration) jsou POUZE v angličtině – český popis zboží v nich není k dispozici.</t>
        </is>
      </c>
    </row>
    <row r="100" ht="45" customHeight="1">
      <c r="A100" s="22" t="inlineStr">
        <is>
          <t>Sloupec „Popis zboží (CZ)“ na listu „Souhrn HS“ je proto překlad podle znění kombinované nomenklatury k danému HS kódu, nikoli převzatý údaj ze zdrojového dokladu. Původní anglický popis je zachován ve vedlejším sloupci.</t>
        </is>
      </c>
    </row>
  </sheetData>
  <mergeCells count="60">
    <mergeCell ref="A48:B48"/>
    <mergeCell ref="A92:B92"/>
    <mergeCell ref="A24:B24"/>
    <mergeCell ref="A82:B82"/>
    <mergeCell ref="A73:B73"/>
    <mergeCell ref="A11:B11"/>
    <mergeCell ref="A51:B51"/>
    <mergeCell ref="A45:B45"/>
    <mergeCell ref="A36:B36"/>
    <mergeCell ref="A94:B94"/>
    <mergeCell ref="A6:B6"/>
    <mergeCell ref="A87:B87"/>
    <mergeCell ref="A7:B7"/>
    <mergeCell ref="A41:B41"/>
    <mergeCell ref="A90:B90"/>
    <mergeCell ref="A99:B99"/>
    <mergeCell ref="A37:B37"/>
    <mergeCell ref="A46:B46"/>
    <mergeCell ref="A75:B75"/>
    <mergeCell ref="A84:B84"/>
    <mergeCell ref="A74:B74"/>
    <mergeCell ref="A80:B80"/>
    <mergeCell ref="A18:B18"/>
    <mergeCell ref="A27:B27"/>
    <mergeCell ref="A12:B12"/>
    <mergeCell ref="A21:B21"/>
    <mergeCell ref="A86:B86"/>
    <mergeCell ref="A95:B95"/>
    <mergeCell ref="A76:B76"/>
    <mergeCell ref="A33:B33"/>
    <mergeCell ref="A71:B71"/>
    <mergeCell ref="A47:B47"/>
    <mergeCell ref="A5:B5"/>
    <mergeCell ref="A42:B42"/>
    <mergeCell ref="A32:B32"/>
    <mergeCell ref="A85:B85"/>
    <mergeCell ref="A14:B14"/>
    <mergeCell ref="A23:B23"/>
    <mergeCell ref="A17:B17"/>
    <mergeCell ref="A8:B8"/>
    <mergeCell ref="A22:B22"/>
    <mergeCell ref="A91:B91"/>
    <mergeCell ref="A35:B35"/>
    <mergeCell ref="A4:B4"/>
    <mergeCell ref="A100:B100"/>
    <mergeCell ref="A20:B20"/>
    <mergeCell ref="A96:B96"/>
    <mergeCell ref="A72:B72"/>
    <mergeCell ref="A29:B29"/>
    <mergeCell ref="A43:B43"/>
    <mergeCell ref="A81:B81"/>
    <mergeCell ref="A19:B19"/>
    <mergeCell ref="A28:B28"/>
    <mergeCell ref="A93:B93"/>
    <mergeCell ref="A13:B13"/>
    <mergeCell ref="A83:B83"/>
    <mergeCell ref="A44:B44"/>
    <mergeCell ref="A40:B40"/>
    <mergeCell ref="A77:B7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2026-09-11T14:31:52Z</dcterms:created>
  <dcterms:modified xsi:type="dcterms:W3CDTF">2026-09-11T14:31:52Z</dcterms:modified>
</cp:coreProperties>
</file>