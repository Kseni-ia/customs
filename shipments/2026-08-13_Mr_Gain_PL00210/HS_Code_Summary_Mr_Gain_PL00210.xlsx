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0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  <col width="17" customWidth="1" min="10" max="10"/>
    <col width="62" customWidth="1" min="11" max="11"/>
  </cols>
  <sheetData>
    <row r="1" ht="42" customHeight="1">
      <c r="A1" s="1" t="inlineStr">
        <is>
          <t>Odesílatel (sender)</t>
        </is>
      </c>
      <c r="B1" s="1" t="inlineStr">
        <is>
          <t>HS kód (EU/TARIC)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(kg)</t>
        </is>
      </c>
      <c r="H1" s="1" t="inlineStr">
        <is>
          <t>Celní hodnota (CNY)</t>
        </is>
      </c>
      <c r="I1" s="1" t="inlineStr">
        <is>
          <t>Incoterm</t>
        </is>
      </c>
      <c r="J1" s="1" t="inlineStr">
        <is>
          <t>Příznak</t>
        </is>
      </c>
      <c r="K1" s="1" t="inlineStr">
        <is>
          <t>TARIC / poznámka / CBAM / Antidumping</t>
        </is>
      </c>
    </row>
    <row r="2" ht="96" customHeight="1">
      <c r="A2" s="2" t="inlineStr">
        <is>
          <t>WUXI SINODI FOREIGN TRADE CO., LTD
(无锡迪中贸易有限公司), Wuxi, Jiangsu, CN</t>
        </is>
      </c>
      <c r="B2" s="2" t="inlineStr">
        <is>
          <t>4202 32 10 00</t>
        </is>
      </c>
      <c r="C2" s="2" t="inlineStr">
        <is>
          <t>Pouzdro na brýle s plastovým povrchem</t>
        </is>
      </c>
      <c r="D2" s="2" t="inlineStr">
        <is>
          <t>CN</t>
        </is>
      </c>
      <c r="E2" s="3" t="n">
        <v>50000</v>
      </c>
      <c r="F2" s="4" t="n">
        <v>5535</v>
      </c>
      <c r="G2" s="4" t="n">
        <v>6314</v>
      </c>
      <c r="H2" s="4" t="n">
        <v>140000</v>
      </c>
      <c r="I2" s="2" t="inlineStr">
        <is>
          <t>FOB Shanghai</t>
        </is>
      </c>
      <c r="J2" s="5" t="inlineStr">
        <is>
          <t>BEZ PREF. PŮVODU</t>
        </is>
      </c>
      <c r="K2" s="2" t="inlineStr">
        <is>
          <t>Vnější povrch z plastové fólie (PVC 63,8 %, viskóza 20,7 %, pletenina 15,5 % – dle čínského vývozního prohlášení). Sazba erga omnes cca 3,7 % – OVĚŘIT v TARIC k datu propuštění. Bez preferenční věty → plné clo třetí země (EU–CN nemá preferenční dohodu). CBAM: NEPODLÉHÁ (kap. 42). Antidumping: pro 4202 32 10 / CN nezjištěno žádné opatření – ověřit v TARIC.</t>
        </is>
      </c>
    </row>
    <row r="3">
      <c r="A3" s="6" t="inlineStr">
        <is>
          <t>CELKEM</t>
        </is>
      </c>
      <c r="B3" s="6" t="n"/>
      <c r="C3" s="6" t="n"/>
      <c r="D3" s="6" t="n"/>
      <c r="E3" s="7" t="n">
        <v>50000</v>
      </c>
      <c r="F3" s="8" t="n">
        <v>5535</v>
      </c>
      <c r="G3" s="8" t="n">
        <v>6314</v>
      </c>
      <c r="H3" s="8" t="n">
        <v>140000</v>
      </c>
      <c r="I3" s="6" t="n"/>
      <c r="J3" s="6" t="n"/>
      <c r="K3" s="6" t="n"/>
    </row>
    <row r="5">
      <c r="A5" s="9" t="inlineStr">
        <is>
          <t>Legenda:</t>
        </is>
      </c>
    </row>
    <row r="6">
      <c r="A6" s="9" t="inlineStr">
        <is>
          <t>🔴 BEZ PREF. PŮVODU</t>
        </is>
      </c>
      <c r="C6" s="10" t="inlineStr">
        <is>
          <t>V dokumentech NENÍ preferenční věta → uplatní se plné clo třetí země, nikoli preferenční sazba.</t>
        </is>
      </c>
    </row>
    <row r="7">
      <c r="A7" s="9" t="inlineStr">
        <is>
          <t>Sleva</t>
        </is>
      </c>
      <c r="C7" s="10" t="inlineStr">
        <is>
          <t>Žádná obchodní sleva se na tuto zásilku nevztahuje – faktura M042026 je bez slevy (50 000 ks × 2,80 CNY = 140 000 CNY).</t>
        </is>
      </c>
    </row>
    <row r="8">
      <c r="A8" s="9" t="inlineStr">
        <is>
          <t>Sloučení</t>
        </is>
      </c>
      <c r="C8" s="10" t="inlineStr">
        <is>
          <t>Celá zásilka = 1 odesílatel a 1 HS kód. 21 řádků faktury/packing listu (GA119 / GA251 / GA45, barevné varianty) sloučeno do jednoho řádku.</t>
        </is>
      </c>
    </row>
    <row r="9">
      <c r="A9" s="9" t="inlineStr">
        <is>
          <t>Hmotnosti</t>
        </is>
      </c>
      <c r="C9" s="10" t="inlineStr">
        <is>
          <t>Čistá i hrubá hmotnost převzaty přímo z dokladů (packing list, B/L, čínské vývozní prohlášení) – shodné ve všech třech.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1">
        <f>== ZÁSILKA ===</f>
        <v/>
      </c>
    </row>
    <row r="2">
      <c r="A2" t="inlineStr">
        <is>
          <t>Klient / příjemce (CZ): Mr. Gain s.r.o., K Nádraží 256, 753 61 Hranice IV – Drahotuše, Česko</t>
        </is>
      </c>
    </row>
    <row r="3">
      <c r="A3" t="inlineStr">
        <is>
          <t>Doručovací adresa: ul. Nová 1454 (areál NIKEY), 753 01 Hranice, Česko (příjem 07:30–15:00)</t>
        </is>
      </c>
    </row>
    <row r="4">
      <c r="A4" t="inlineStr">
        <is>
          <t>Odesílatel / vývozce: WUXI SINODI FOREIGN TRADE CO., LTD (无锡迪中贸易有限公司), RM 1202, No. 401 Xihu East Road, Wuxi, Jiangsu, CN</t>
        </is>
      </c>
    </row>
    <row r="5">
      <c r="A5" t="inlineStr">
        <is>
          <t>Výrobce / prodávající dle vývozního prohlášení: 无锡迪中贸易有限公司, kód 913202005618330888</t>
        </is>
      </c>
    </row>
    <row r="6">
      <c r="A6" t="inlineStr">
        <is>
          <t>Packing list č.: PL00210   |   Faktura: M042026 (6.5.2026)   |   Objednávka: OV00881</t>
        </is>
      </c>
    </row>
    <row r="7">
      <c r="A7" t="inlineStr">
        <is>
          <t>Přepravní doklad (B/L): 272809326   |   ref. DK26070488CNSHACZPSVFD   |   house: MWC978</t>
        </is>
      </c>
    </row>
    <row r="8">
      <c r="A8" t="inlineStr">
        <is>
          <t>Kontejner: TLLU3595676, plomba CN2684521, 1× 20'GP, CY-CY, 500 kartonů, 27,72 CBM</t>
        </is>
      </c>
    </row>
    <row r="9">
      <c r="A9" t="inlineStr">
        <is>
          <t>Loď / plavba: MUMBAI MAERSK / 627W   |   Shipped on board: 9.7.2026</t>
        </is>
      </c>
    </row>
    <row r="10">
      <c r="A10" t="inlineStr">
        <is>
          <t>Trasa: Shanghai (Yangshan), CN → Bremerhaven, DE → Paskov, CZ   |   ETD 10.7.2026, ETA Bremerhaven 22.8.2026</t>
        </is>
      </c>
    </row>
    <row r="11">
      <c r="A11" t="inlineStr">
        <is>
          <t>Zasílatel: Maurice Ward Group SEA (Maurice Ward &amp; Co., s.r.o., Nad Kovárnou 185, 252 68 Kněževes)</t>
        </is>
      </c>
    </row>
    <row r="12">
      <c r="A12" t="inlineStr">
        <is>
          <t>Tracking: ASV20260623006   |   Typ celního řízení: JSD   |   Očekáváno na sklad: 18.9.2026</t>
        </is>
      </c>
    </row>
    <row r="13"/>
    <row r="14">
      <c r="A14" s="11">
        <f>== ⚠️ PREFERENČNÍ PŮVOD (preferenční věta) – KRITICKÉ ===</f>
        <v/>
      </c>
    </row>
    <row r="15">
      <c r="A15" t="inlineStr">
        <is>
          <t>V předložených dokladech NENÍ preferenční věta (prohlášení o preferenčním původu).</t>
        </is>
      </c>
    </row>
    <row r="16">
      <c r="A16" t="inlineStr">
        <is>
          <t>Prověřeno: obchodní faktura M042026 (obsahuje pouze bankovní spojení), packing list, B/L i čínské vývozní prohlášení – žádné prohlášení o původu.</t>
        </is>
      </c>
    </row>
    <row r="17">
      <c r="A17" t="inlineStr">
        <is>
          <t>Země původu: ČÍNA (dle vývozního prohlášení 原产国 中国 / CHN).</t>
        </is>
      </c>
    </row>
    <row r="18">
      <c r="A18" t="inlineStr">
        <is>
          <t>→ EU nemá s Čínou preferenční dohodu, preferenční sazba tedy NENÍ dostupná ani při doložení věty.</t>
        </is>
      </c>
    </row>
    <row r="19">
      <c r="A19" t="inlineStr">
        <is>
          <t>→ Uplatní se PLNÉ CLO TŘETÍ ZEMĚ (erga omnes) pro 4202 32 10 00, cca 3,7 %. Sazbu ověřit v TARIC k datu propuštění.</t>
        </is>
      </c>
    </row>
    <row r="20">
      <c r="A20" t="inlineStr">
        <is>
          <t>→ Nepožadovat od dodavatele preferenční prohlášení – u čínského původu nemá účinek.</t>
        </is>
      </c>
    </row>
    <row r="21"/>
    <row r="22">
      <c r="A22" s="11">
        <f>== CBAM ===</f>
        <v/>
      </c>
    </row>
    <row r="23">
      <c r="A23" t="inlineStr">
        <is>
          <t>HS kód 4202 32 10 00 (pouzdra na brýle, kap. 42) NENÍ zbožím podléhajícím CBAM.</t>
        </is>
      </c>
    </row>
    <row r="24">
      <c r="A24" t="inlineStr">
        <is>
          <t>CBAM se vztahuje na cement, železo/ocel, hliník, hnojiva, elektřinu a vodík – nic z toho zásilka neobsahuje.</t>
        </is>
      </c>
    </row>
    <row r="25">
      <c r="A25" t="inlineStr">
        <is>
          <t>→ Pro tuto zásilku se NEUVÁDÍ žádný Y kód (Y128 / Y238 / Y137).</t>
        </is>
      </c>
    </row>
    <row r="26"/>
    <row r="27">
      <c r="A27" t="inlineStr">
        <is>
          <t>⚠️ POZNÁMKA K REGISTRU: příjemce Mr. Gain s.r.o. NENÍ uveden v reference/CBAM_receivers_CZ.xlsx (list List1).</t>
        </is>
      </c>
    </row>
    <row r="28">
      <c r="A28" t="inlineStr">
        <is>
          <t>Pro tuto zásilku to nevadí (žádné CBAM zboží), ale pokud Mr. Gain s.r.o. bude v budoucnu dovážet CBAM zboží,</t>
        </is>
      </c>
    </row>
    <row r="29">
      <c r="A29" t="inlineStr">
        <is>
          <t>je nutné firmu prověřit a doplnit do registru včetně EORI a Y kódu. Doporučuji ověřit už teď.</t>
        </is>
      </c>
    </row>
    <row r="30"/>
    <row r="31">
      <c r="A31" s="11">
        <f>== ANTIDUMPING ===</f>
        <v/>
      </c>
    </row>
    <row r="32">
      <c r="A32" t="inlineStr">
        <is>
          <t>Pro 4202 32 10 00 s původem v ČLR nebylo zjištěno žádné antidumpingové ani vyrovnávací opatření.</t>
        </is>
      </c>
    </row>
    <row r="33">
      <c r="A33" t="inlineStr">
        <is>
          <t>Doporučuji ověřit v TARIC k datu propuštění (opatření se mění).</t>
        </is>
      </c>
    </row>
    <row r="34"/>
    <row r="35">
      <c r="A35" s="11">
        <f>== INCOTERM ===</f>
        <v/>
      </c>
    </row>
    <row r="36">
      <c r="A36" t="inlineStr">
        <is>
          <t>FOB Shanghai (FOB Šanghaj).</t>
        </is>
      </c>
    </row>
    <row r="37">
      <c r="A37" t="inlineStr">
        <is>
          <t>Zdroj: faktura M042026 – 'FOB SHANGHAI UNIT PRICE (CNY)'; čínské vývozní prohlášení – 成交方式 FOB;</t>
        </is>
      </c>
    </row>
    <row r="38">
      <c r="A38" t="inlineStr">
        <is>
          <t>výstupní přístav 洋山港 (Yangshan / Šanghaj); B/L port of loading SHANGHAI, CHINA.</t>
        </is>
      </c>
    </row>
    <row r="39"/>
    <row r="40">
      <c r="A40" t="inlineStr">
        <is>
          <t>⚠️ Pozor: PL00210 uvádí u 'Date of loading' město 'SHENZHEN - for SHANGHAI !!!' a B/L je vystaven v Shenzhenu.</t>
        </is>
      </c>
    </row>
    <row r="41">
      <c r="A41" t="inlineStr">
        <is>
          <t>Jde pouze o místo vystavení dokladu / sídlo agenta (DK Sailing China Ltd). Skutečný přístav nalodění je Šanghaj.</t>
        </is>
      </c>
    </row>
    <row r="42">
      <c r="A42" t="inlineStr">
        <is>
          <t>Incoterm pro celní účely tedy FOB Shanghai – NIKOLI FOB Shenzhen.</t>
        </is>
      </c>
    </row>
    <row r="43"/>
    <row r="44">
      <c r="A44" s="11">
        <f>== ⚠️ CELNÍ HODNOTA – NUTNÝ DOPOČET ===</f>
        <v/>
      </c>
    </row>
    <row r="45">
      <c r="A45" t="inlineStr">
        <is>
          <t>Fakturovaná hodnota: 140 000,00 CNY FOB Shanghai (50 000 ks × 2,80 CNY/ks).</t>
        </is>
      </c>
    </row>
    <row r="46">
      <c r="A46" t="inlineStr">
        <is>
          <t>FOB nezahrnuje přepravné ani pojistné → pro celní hodnotu v EU je nutné připočíst náklady do vstupu na území EU.</t>
        </is>
      </c>
    </row>
    <row r="47">
      <c r="A47" t="inlineStr">
        <is>
          <t>Přepravné dle PL00210: 4 770 USD (freight collect – hradí příjemce, tj. NENÍ ve fakturované ceně).</t>
        </is>
      </c>
    </row>
    <row r="48">
      <c r="A48" t="inlineStr">
        <is>
          <t>→ Celní hodnota = 140 000 CNY (přepočteno) + poměrná část přepravného do hranice EU (Bremerhaven) + případné pojistné.</t>
        </is>
      </c>
    </row>
    <row r="49">
      <c r="A49" t="inlineStr">
        <is>
          <t>→ Nutno doložit fakturu za přepravu a rozdělit náklady na úsek do/za hranicí EU.</t>
        </is>
      </c>
    </row>
    <row r="50"/>
    <row r="51">
      <c r="A51" t="inlineStr">
        <is>
          <t>⚠️ Kurz: PL00210 uvádí 'Exchange rate: 1.0000' – to je zjevně nevyplněný placeholder.</t>
        </is>
      </c>
    </row>
    <row r="52">
      <c r="A52" t="inlineStr">
        <is>
          <t>Pro JSD použít platný celní kurz CNY → CZK pro měsíc propuštění zboží.</t>
        </is>
      </c>
    </row>
    <row r="53"/>
    <row r="54">
      <c r="A54" s="11">
        <f>== SLOUČENÍ POLOŽEK ===</f>
        <v/>
      </c>
    </row>
    <row r="55">
      <c r="A55" t="inlineStr">
        <is>
          <t>Faktura i packing list obsahují 21 řádků (modely GA119, GA251, GA45 v barevných variantách).</t>
        </is>
      </c>
    </row>
    <row r="56">
      <c r="A56" t="inlineStr">
        <is>
          <t>Všechny mají shodný HS kód 42023200 a jednoho odesílatele → sloučeno do 1 řádku dle pravidla 'odesílatel, pak HS kód'.</t>
        </is>
      </c>
    </row>
    <row r="57">
      <c r="A57" t="inlineStr">
        <is>
          <t>Rozpad: GA119 = 28 000 ks / GA251 = 17 000 ks / GA45 = 5 000 ks. Celkem 50 000 ks, sedí na doklady.</t>
        </is>
      </c>
    </row>
    <row r="58"/>
    <row r="59">
      <c r="A59" s="11">
        <f>== KONTROLA HMOTNOSTÍ A KUSŮ (shoda napříč doklady) ===</f>
        <v/>
      </c>
    </row>
    <row r="60">
      <c r="A60" t="inlineStr">
        <is>
          <t>Množství 50 000 ks – shoda: faktura ✓ packing list ✓ PL00210 ✓ vývozní prohlášení ✓</t>
        </is>
      </c>
    </row>
    <row r="61">
      <c r="A61" t="inlineStr">
        <is>
          <t>Čistá hmotnost 5 535,00 kg – shoda: packing list ✓ PL00210 ✓ vývozní prohlášení ✓</t>
        </is>
      </c>
    </row>
    <row r="62">
      <c r="A62" t="inlineStr">
        <is>
          <t>Hrubá hmotnost 6 314,00 kg – shoda: packing list ✓ PL00210 ✓ B/L ✓ vývozní prohlášení ✓</t>
        </is>
      </c>
    </row>
    <row r="63">
      <c r="A63" t="inlineStr">
        <is>
          <t>Kartony 500 ks a objem 27,72 CBM – shoda: packing list ✓ PL00210 ✓ B/L ✓</t>
        </is>
      </c>
    </row>
    <row r="64"/>
    <row r="65">
      <c r="A65" s="11">
        <f>== HS KÓD – ODŮVODNĚNÍ ===</f>
        <v/>
      </c>
    </row>
    <row r="66">
      <c r="A66" t="inlineStr">
        <is>
          <t>Čínský vývozní kód: 42023200001. Faktura uvádí 42023200. B/L uvádí HS: 420232.</t>
        </is>
      </c>
    </row>
    <row r="67">
      <c r="A67" t="inlineStr">
        <is>
          <t>EU/TARIC: 4202 32 10 00 – 'Výrobky obvykle nošené v kapse nebo kabelce, s vnějším povrchem z plastové fólie'.</t>
        </is>
      </c>
    </row>
    <row r="68">
      <c r="A68" t="inlineStr">
        <is>
          <t>Materiálové složení dle vývozního prohlášení: PVC směs 63,8 %, viskózové vlákno 20,7 %, pletenina 15,5 %, umělá kůže, bez značky.</t>
        </is>
      </c>
    </row>
    <row r="69">
      <c r="A69" t="inlineStr">
        <is>
          <t>→ Převažuje plastová fólie na vnějším povrchu → podpoložka ...10 (plasty), NIKOLI ...90 (textilie). Kód potvrzen i v PL00210 (4202.32.1000).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2026-08-13T15:22:15Z</dcterms:created>
  <dcterms:modified xsi:type="dcterms:W3CDTF">2026-08-13T15:22:35Z</dcterms:modified>
</cp:coreProperties>
</file>