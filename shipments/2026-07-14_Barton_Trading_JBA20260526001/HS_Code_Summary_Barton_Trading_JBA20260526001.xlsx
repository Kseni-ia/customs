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dle odesílatele" sheetId="1" state="visible" r:id="rId1"/>
    <sheet name="HS Summary" sheetId="2" state="visible" r:id="rId2"/>
    <sheet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C00000"/>
    </font>
    <font>
      <color rgb="00C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3" fillId="0" borderId="0" pivotButton="0" quotePrefix="0" xfId="0"/>
    <xf numFmtId="0" fontId="2" fillId="4" borderId="0" pivotButton="0" quotePrefix="0" xfId="0"/>
    <xf numFmtId="0" fontId="0" fillId="0" borderId="1" applyAlignment="1" pivotButton="0" quotePrefix="0" xfId="0">
      <alignment vertical="top"/>
    </xf>
    <xf numFmtId="0" fontId="2" fillId="5" borderId="1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10" customWidth="1" min="3" max="3"/>
    <col width="12" customWidth="1" min="4" max="4"/>
    <col width="12" customWidth="1" min="5" max="5"/>
    <col width="12" customWidth="1" min="6" max="6"/>
    <col width="15" customWidth="1" min="7" max="7"/>
    <col width="42" customWidth="1" min="8" max="8"/>
  </cols>
  <sheetData>
    <row r="1">
      <c r="A1" s="1" t="inlineStr">
        <is>
          <t>HS kód</t>
        </is>
      </c>
      <c r="B1" s="1" t="inlineStr">
        <is>
          <t>Popis zboží (CZ)</t>
        </is>
      </c>
      <c r="C1" s="1" t="inlineStr">
        <is>
          <t>Země původu (COO)</t>
        </is>
      </c>
      <c r="D1" s="1" t="inlineStr">
        <is>
          <t>Množství</t>
        </is>
      </c>
      <c r="E1" s="1" t="inlineStr">
        <is>
          <t>Čistá hmotnost (kg)</t>
        </is>
      </c>
      <c r="F1" s="1" t="inlineStr">
        <is>
          <t>Hrubá hmotnost (kg)</t>
        </is>
      </c>
      <c r="G1" s="1" t="inlineStr">
        <is>
          <t>Hodnota (USD, FOB Ningbo)</t>
        </is>
      </c>
      <c r="H1" s="1" t="inlineStr">
        <is>
          <t>Poznámka</t>
        </is>
      </c>
    </row>
    <row r="2">
      <c r="A2" s="6" t="inlineStr">
        <is>
          <t>LINHAI BILLY COMMODITY CO.,LTD — faktura 26111 (01.06.2026) — 948 ctns — house B/L …FDA</t>
        </is>
      </c>
    </row>
    <row r="3">
      <c r="A3" s="7" t="inlineStr">
        <is>
          <t>96039091</t>
        </is>
      </c>
      <c r="B3" s="3" t="inlineStr">
        <is>
          <t>Úklidové výrobky z plastu PP+PE – smetáček s lopatkou, smeták s násadou 120 cm, smetáček; WC sady (miska + štětka), WC štětka (tyčka + hlava); čisticí kartáč na nádobí</t>
        </is>
      </c>
      <c r="C3" s="7" t="inlineStr">
        <is>
          <t>CN</t>
        </is>
      </c>
      <c r="D3" s="7" t="n">
        <v>35832</v>
      </c>
      <c r="E3" s="7" t="n">
        <v>3760</v>
      </c>
      <c r="F3" s="7" t="n">
        <v>4456.9</v>
      </c>
      <c r="G3" s="7" t="n">
        <v>11817.36</v>
      </c>
      <c r="H3" s="3" t="inlineStr">
        <is>
          <t>9 položek packing listu sloučeno pod jeden HS kód</t>
        </is>
      </c>
    </row>
    <row r="4">
      <c r="A4" s="6" t="inlineStr">
        <is>
          <t>ZHEJIANG KELIN HOME CO.,LTD — faktura KL260602 (02.06.2026) — 252 ctns — house B/L …FDC</t>
        </is>
      </c>
    </row>
    <row r="5">
      <c r="A5" s="7" t="inlineStr">
        <is>
          <t>39249000</t>
        </is>
      </c>
      <c r="B5" s="3" t="inlineStr">
        <is>
          <t>Protiskluzové podložky do vany či sprchy z PVC, různé barvy a rozměry (100% PVC)</t>
        </is>
      </c>
      <c r="C5" s="7" t="inlineStr">
        <is>
          <t>CN</t>
        </is>
      </c>
      <c r="D5" s="7" t="n">
        <v>6048</v>
      </c>
      <c r="E5" s="7" t="n">
        <v>2923.2</v>
      </c>
      <c r="F5" s="7" t="n">
        <v>3175.2</v>
      </c>
      <c r="G5" s="7" t="n">
        <v>6804</v>
      </c>
      <c r="H5" s="3" t="inlineStr">
        <is>
          <t>6 položek (2 velikosti × 3 barvy)</t>
        </is>
      </c>
    </row>
    <row r="6">
      <c r="A6" s="6" t="inlineStr">
        <is>
          <t>NINGBO AIJE HOME PRODUCTS CO.,LTD — faktura AJT2409035 (30.05.2026) — 227 ctns — house B/L …FDB</t>
        </is>
      </c>
    </row>
    <row r="7">
      <c r="A7" s="7" t="inlineStr">
        <is>
          <t>39211900</t>
        </is>
      </c>
      <c r="B7" s="3" t="inlineStr">
        <is>
          <t>Houbička melaminová NANO 4 ks/balení – čisticí houbička pro domácnost, materiál melamin</t>
        </is>
      </c>
      <c r="C7" s="7" t="inlineStr">
        <is>
          <t>CN</t>
        </is>
      </c>
      <c r="D7" s="7" t="n">
        <v>12024</v>
      </c>
      <c r="E7" s="7" t="n">
        <v>100.2</v>
      </c>
      <c r="F7" s="7" t="n">
        <v>200.4</v>
      </c>
      <c r="G7" s="7" t="n">
        <v>2164.32</v>
      </c>
      <c r="H7" s="3" t="inlineStr">
        <is>
          <t>množství = balení po 4 ks</t>
        </is>
      </c>
    </row>
    <row r="8">
      <c r="A8" s="7" t="inlineStr">
        <is>
          <t>39249000</t>
        </is>
      </c>
      <c r="B8" s="3" t="inlineStr">
        <is>
          <t>Houbová drátěnka 2 ks/sada (vnější polyester/polyethylen, vnitřní houbička polyuretan)</t>
        </is>
      </c>
      <c r="C8" s="7" t="inlineStr">
        <is>
          <t>CN</t>
        </is>
      </c>
      <c r="D8" s="7" t="n">
        <v>7200</v>
      </c>
      <c r="E8" s="7" t="n">
        <v>198</v>
      </c>
      <c r="F8" s="7" t="n">
        <v>240</v>
      </c>
      <c r="G8" s="7" t="n">
        <v>1296</v>
      </c>
      <c r="H8" s="3" t="inlineStr">
        <is>
          <t>množství = sady po 2 ks</t>
        </is>
      </c>
    </row>
    <row r="9">
      <c r="A9" s="4" t="inlineStr"/>
      <c r="B9" s="4" t="inlineStr">
        <is>
          <t>Mezisoučet dodavatel</t>
        </is>
      </c>
      <c r="C9" s="4" t="inlineStr"/>
      <c r="D9" s="4" t="n">
        <v>19224</v>
      </c>
      <c r="E9" s="4" t="n">
        <v>298.2</v>
      </c>
      <c r="F9" s="4" t="n">
        <v>440.4</v>
      </c>
      <c r="G9" s="4" t="n">
        <v>3460.32</v>
      </c>
      <c r="H9" s="4" t="inlineStr"/>
    </row>
    <row r="10">
      <c r="A10" s="6" t="inlineStr">
        <is>
          <t>LAIZHOU LUTONG PLASTICS CO.,LTD — faktura LTP260325L (06.05.2026) — 260 ctns — house B/L …FDD</t>
        </is>
      </c>
    </row>
    <row r="11">
      <c r="A11" s="7" t="inlineStr">
        <is>
          <t>56090000</t>
        </is>
      </c>
      <c r="B11" s="3" t="inlineStr">
        <is>
          <t>Bavlněná šňůra na prádlo 15 m / 20 m (splétaná z prováků průměr 5 mm)</t>
        </is>
      </c>
      <c r="C11" s="7" t="inlineStr">
        <is>
          <t>CN</t>
        </is>
      </c>
      <c r="D11" s="7" t="n">
        <v>16000</v>
      </c>
      <c r="E11" s="7" t="n">
        <v>2160</v>
      </c>
      <c r="F11" s="7" t="n">
        <v>2290</v>
      </c>
      <c r="G11" s="7" t="n">
        <v>9322</v>
      </c>
      <c r="H11" s="3" t="inlineStr">
        <is>
          <t>6 000 ks (15 m) + 10 000 ks (20 m)</t>
        </is>
      </c>
    </row>
    <row r="12">
      <c r="A12" s="8" t="inlineStr">
        <is>
          <t>CELKEM zásilka</t>
        </is>
      </c>
      <c r="B12" s="8" t="inlineStr"/>
      <c r="C12" s="8" t="inlineStr"/>
      <c r="D12" s="8" t="n">
        <v>77104</v>
      </c>
      <c r="E12" s="8" t="n">
        <v>9141.4</v>
      </c>
      <c r="F12" s="8" t="n">
        <v>10362.5</v>
      </c>
      <c r="G12" s="8" t="n">
        <v>31403.68</v>
      </c>
      <c r="H12" s="8" t="inlineStr"/>
    </row>
    <row r="14">
      <c r="A14" s="9" t="inlineStr">
        <is>
          <t>Měna a Incoterms:</t>
        </is>
      </c>
      <c r="B14" t="inlineStr">
        <is>
          <t>Všechny 4 faktury shodně: měna USD, dodací podmínka FOB NINGBO. Všechny 4 house B/L: FREIGHT COLLECT (v souladu s FOB – námořné hradí kupující). Bez rozporu.</t>
        </is>
      </c>
    </row>
    <row r="15">
      <c r="A15" s="5" t="inlineStr">
        <is>
          <t>POZOR – preferenční věta:</t>
        </is>
      </c>
      <c r="B15" s="10" t="inlineStr">
        <is>
          <t>Není v žádném dokladu. Původ CN u všech položek – standardní třetizemní clo.</t>
        </is>
      </c>
    </row>
  </sheetData>
  <mergeCells count="4">
    <mergeCell ref="A4:H4"/>
    <mergeCell ref="A2:H2"/>
    <mergeCell ref="A6:H6"/>
    <mergeCell ref="A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62" customWidth="1" min="2" max="2"/>
    <col width="10" customWidth="1" min="3" max="3"/>
    <col width="13" customWidth="1" min="4" max="4"/>
    <col width="12" customWidth="1" min="5" max="5"/>
    <col width="12" customWidth="1" min="6" max="6"/>
    <col width="14" customWidth="1" min="7" max="7"/>
    <col width="12" customWidth="1" min="8" max="8"/>
    <col width="60" customWidth="1" min="9" max="9"/>
  </cols>
  <sheetData>
    <row r="1">
      <c r="A1" s="1" t="inlineStr">
        <is>
          <t>HS kód</t>
        </is>
      </c>
      <c r="B1" s="1" t="inlineStr">
        <is>
          <t>Popis zboží (CZ)</t>
        </is>
      </c>
      <c r="C1" s="1" t="inlineStr">
        <is>
          <t>Země původu (COO)</t>
        </is>
      </c>
      <c r="D1" s="1" t="inlineStr">
        <is>
          <t>Celkové množství (ks)</t>
        </is>
      </c>
      <c r="E1" s="1" t="inlineStr">
        <is>
          <t>Čistá hmotnost (kg)</t>
        </is>
      </c>
      <c r="F1" s="1" t="inlineStr">
        <is>
          <t>Hrubá hmotnost (kg)</t>
        </is>
      </c>
      <c r="G1" s="1" t="inlineStr">
        <is>
          <t>Hodnota USD (FOB)</t>
        </is>
      </c>
      <c r="H1" s="1" t="inlineStr">
        <is>
          <t>Příznak</t>
        </is>
      </c>
      <c r="I1" s="1" t="inlineStr">
        <is>
          <t>Poznámka</t>
        </is>
      </c>
    </row>
    <row r="2">
      <c r="A2" s="2" t="inlineStr">
        <is>
          <t>96039091</t>
        </is>
      </c>
      <c r="B2" s="3" t="inlineStr">
        <is>
          <t>Úklidové výrobky z plastu PP+PE – smetáček s lopatkou, smeták s násadou 120 cm, smetáček; WC sady (plastová miska + WC štětka), WC štětka (tyčka + hlava/kartáč); čisticí kartáč na nádobí</t>
        </is>
      </c>
      <c r="C2" s="2" t="inlineStr">
        <is>
          <t>CN</t>
        </is>
      </c>
      <c r="D2" s="2" t="n">
        <v>35832</v>
      </c>
      <c r="E2" s="2" t="n">
        <v>3760</v>
      </c>
      <c r="F2" s="2" t="n">
        <v>4456.9</v>
      </c>
      <c r="G2" s="2" t="n">
        <v>11817.36</v>
      </c>
      <c r="H2" s="2" t="n"/>
      <c r="I2" s="3" t="inlineStr">
        <is>
          <t>Dodavatel: Linhai Billy Commodity (faktura 26111). 948 ctns.</t>
        </is>
      </c>
    </row>
    <row r="3">
      <c r="A3" s="2" t="inlineStr">
        <is>
          <t>56090000</t>
        </is>
      </c>
      <c r="B3" s="3" t="inlineStr">
        <is>
          <t>Bavlněná šňůra na prádlo 15 m / 20 m (splétaná z prováků průměr 5 mm)</t>
        </is>
      </c>
      <c r="C3" s="2" t="inlineStr">
        <is>
          <t>CN</t>
        </is>
      </c>
      <c r="D3" s="2" t="n">
        <v>16000</v>
      </c>
      <c r="E3" s="2" t="n">
        <v>2160</v>
      </c>
      <c r="F3" s="2" t="n">
        <v>2290</v>
      </c>
      <c r="G3" s="2" t="n">
        <v>9322</v>
      </c>
      <c r="H3" s="2" t="n"/>
      <c r="I3" s="3" t="inlineStr">
        <is>
          <t>Dodavatel: Laizhou Lutong Plastics (faktura LTP260325L). 260 ctns.</t>
        </is>
      </c>
    </row>
    <row r="4">
      <c r="A4" s="2" t="inlineStr">
        <is>
          <t>39249000</t>
        </is>
      </c>
      <c r="B4" s="3" t="inlineStr">
        <is>
          <t>Protiskluzové podložky do vany či sprchy z PVC (různé barvy a rozměry, 100% PVC); houbová drátěnka 2 ks/sada (vnější polyester/polyethylen, vnitřní houbička polyuretan)</t>
        </is>
      </c>
      <c r="C4" s="2" t="inlineStr">
        <is>
          <t>CN</t>
        </is>
      </c>
      <c r="D4" s="2" t="n">
        <v>13248</v>
      </c>
      <c r="E4" s="2" t="n">
        <v>3121.2</v>
      </c>
      <c r="F4" s="2" t="n">
        <v>3415.2</v>
      </c>
      <c r="G4" s="2" t="n">
        <v>8100</v>
      </c>
      <c r="H4" s="2" t="n"/>
      <c r="I4" s="3" t="inlineStr">
        <is>
          <t>Sloučeno: Zhejiang Kelin Home – PVC bathmat (faktura KL260602, 6 048 ks, $6 804,00, 252 ctns) + Ningbo AIJE – soft sponge scour pads (faktura AJT2409035, 7 200 sad, $1 296,00, 60 ctns).</t>
        </is>
      </c>
    </row>
    <row r="5">
      <c r="A5" s="2" t="inlineStr">
        <is>
          <t>39211900</t>
        </is>
      </c>
      <c r="B5" s="3" t="inlineStr">
        <is>
          <t>Houbička melaminová NANO 4 ks/balení – čisticí houbička pro domácnost, materiál melamin</t>
        </is>
      </c>
      <c r="C5" s="2" t="inlineStr">
        <is>
          <t>CN</t>
        </is>
      </c>
      <c r="D5" s="2" t="n">
        <v>12024</v>
      </c>
      <c r="E5" s="2" t="n">
        <v>100.2</v>
      </c>
      <c r="F5" s="2" t="n">
        <v>200.4</v>
      </c>
      <c r="G5" s="2" t="n">
        <v>2164.32</v>
      </c>
      <c r="H5" s="2" t="n"/>
      <c r="I5" s="3" t="inlineStr">
        <is>
          <t>Dodavatel: Ningbo AIJE Home Products (faktura AJT2409035). Množství = balení po 4 ks (167 ctns).</t>
        </is>
      </c>
    </row>
    <row r="6">
      <c r="A6" s="4" t="inlineStr">
        <is>
          <t>CELKEM</t>
        </is>
      </c>
      <c r="B6" s="4" t="n"/>
      <c r="C6" s="4" t="n"/>
      <c r="D6" s="4" t="n">
        <v>77104</v>
      </c>
      <c r="E6" s="4" t="n">
        <v>9141.4</v>
      </c>
      <c r="F6" s="4" t="n">
        <v>10362.5</v>
      </c>
      <c r="G6" s="4" t="n">
        <v>31403.68</v>
      </c>
      <c r="H6" s="4" t="n"/>
      <c r="I6" s="4" t="n"/>
    </row>
    <row r="8">
      <c r="A8" s="5" t="inlineStr">
        <is>
          <t>POZOR – PREFERENČNÍ VĚTA:</t>
        </is>
      </c>
      <c r="B8" s="5" t="inlineStr">
        <is>
          <t>V žádném z dokladů NENÍ preferenční věta (prohlášení o preferenčním původu). Zboží Made in China – platí standardní sazba cla pro třetí země. Preferenční zacházení NELZE uplatnit.</t>
        </is>
      </c>
    </row>
    <row r="9">
      <c r="A9" t="inlineStr">
        <is>
          <t>CBAM:</t>
        </is>
      </c>
      <c r="B9" t="inlineStr">
        <is>
          <t>Žádná položka nespadá pod CBAM (plastové, kartáčnické a textilní zboží).</t>
        </is>
      </c>
    </row>
    <row r="10">
      <c r="A10" t="inlineStr">
        <is>
          <t>Antidumping:</t>
        </is>
      </c>
      <c r="B10" t="inlineStr">
        <is>
          <t>Na uvedené HS kódy (9603, 3924, 3921, 5609) z ČLR se antidumpingové clo nevztahuje.</t>
        </is>
      </c>
    </row>
    <row r="11">
      <c r="A11" t="inlineStr">
        <is>
          <t>Sleva:</t>
        </is>
      </c>
      <c r="B11" t="inlineStr">
        <is>
          <t>Žádná obchodní sleva na zásilce – hodnoty = fakturované částky FOB Ningbo.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>
        <f>== ZÁSILKA ===</f>
        <v/>
      </c>
    </row>
    <row r="2">
      <c r="A2" t="inlineStr">
        <is>
          <t>Klient: BARTON TRADING s.r.o., Hybešova 1225/26, 779 00 Olomouc, EORI:CZ43962432</t>
        </is>
      </c>
    </row>
    <row r="3">
      <c r="A3" t="inlineStr">
        <is>
          <t>Reference: JBA20260526001 | Kontejner: CAAU7856425 (1×40'HQ), pečeť CN3866360</t>
        </is>
      </c>
    </row>
    <row r="4">
      <c r="A4" t="inlineStr">
        <is>
          <t>Trasa: Ningbo, Čína → Bremerhaven → Melnik, CZ | Loď NEW YORK EXPRESS/623W, na palubě 05.06.2026</t>
        </is>
      </c>
    </row>
    <row r="5">
      <c r="A5" t="inlineStr">
        <is>
          <t>Master B/L Maersk 802113412 (waybill); 4 house B/L DK Sailing DK26060272CNNGBHAMFDA–FDD (surrendered, freight collect)</t>
        </is>
      </c>
    </row>
    <row r="6">
      <c r="A6" t="inlineStr">
        <is>
          <t>Celkem: 1 687 kartonů, GW 10 362,5 kg (souhlas s master B/L), 63,05 CBM</t>
        </is>
      </c>
    </row>
    <row r="7">
      <c r="A7" t="inlineStr">
        <is>
          <t>Doručení: Maurice Ward &amp; Co. / clení JSD (volný oběh); doručit ráno 08:00, kontakt Kučerová Věra 778 521 158</t>
        </is>
      </c>
    </row>
    <row r="8"/>
    <row r="9">
      <c r="A9">
        <f>== FAKTURY (4 dodavatelé, FOB NINGBO) ===</f>
        <v/>
      </c>
    </row>
    <row r="10">
      <c r="A10" t="inlineStr">
        <is>
          <t>1) Linhai Billy Commodity – č. 26111, 01.06.2026 – USD 11 817,36 – 948 ctns – HS 96039091</t>
        </is>
      </c>
    </row>
    <row r="11">
      <c r="A11" t="inlineStr">
        <is>
          <t>2) Zhejiang Kelin Home – č. KL260602, 02.06.2026 – USD 6 804,00 – 252 ctns – HS 39249000</t>
        </is>
      </c>
    </row>
    <row r="12">
      <c r="A12" t="inlineStr">
        <is>
          <t>3) Ningbo AIJE Home Products – č. AJT2409035, 30.05.2026 – USD 3 460,32 – 227 ctns – HS 39211900 + 39249000</t>
        </is>
      </c>
    </row>
    <row r="13">
      <c r="A13" t="inlineStr">
        <is>
          <t>4) Laizhou Lutong Plastics – č. LTP260325L, 06.05.2026 – USD 9 322,00 – 260 ctns – HS 56090000</t>
        </is>
      </c>
    </row>
    <row r="14">
      <c r="A14" t="inlineStr">
        <is>
          <t>Součet faktur: USD 31 403,68</t>
        </is>
      </c>
    </row>
    <row r="15"/>
    <row r="16">
      <c r="A16">
        <f>== PREFERENČNÍ VĚTA (COO) ===</f>
        <v/>
      </c>
    </row>
    <row r="17">
      <c r="A17" t="inlineStr">
        <is>
          <t>❌ ŽÁDNÁ preferenční věta v dokladech. Původ: CN (Made in China) u všech položek.</t>
        </is>
      </c>
    </row>
    <row r="18">
      <c r="A18" t="inlineStr">
        <is>
          <t>→ Platí standardní třetizemní clo dle TARIC; s ČLR neexistuje preferenční dohoda EU.</t>
        </is>
      </c>
    </row>
    <row r="19"/>
    <row r="20">
      <c r="A20">
        <f>== CBAM / ANTIDUMPING ===</f>
        <v/>
      </c>
    </row>
    <row r="21">
      <c r="A21" t="inlineStr">
        <is>
          <t>CBAM: nevztahuje se (žádné železo/ocel, hliník, cement, hnojiva, vodík, elektřina).</t>
        </is>
      </c>
    </row>
    <row r="22">
      <c r="A22" t="inlineStr">
        <is>
          <t>Antidumping: na dané HS kódy z ČLR se AD clo nevztahuje.</t>
        </is>
      </c>
    </row>
    <row r="23"/>
    <row r="24">
      <c r="A24">
        <f>== POZNÁMKY K MNOŽSTVÍ ===</f>
        <v/>
      </c>
    </row>
    <row r="25">
      <c r="A25" t="inlineStr">
        <is>
          <t>HS 39211900: množství = 12 024 balení (po 4 ks houbiček).</t>
        </is>
      </c>
    </row>
    <row r="26">
      <c r="A26" t="inlineStr">
        <is>
          <t>HS 39249000: 6 048 ks podložek + 7 200 sad drátěnek (2 ks/sada).</t>
        </is>
      </c>
    </row>
    <row r="27">
      <c r="A27" t="inlineStr">
        <is>
          <t>HS 56090000: 6 000 ks šňůry 15 m + 10 000 ks šňůry 20 m.</t>
        </is>
      </c>
    </row>
    <row r="28">
      <c r="A28" t="inlineStr">
        <is>
          <t>Kelin p. 1 instrukce: P.O.D. na faktuře 'Olomouc', na packing listu 'Melnik' – doručení dle instrukce na Olomouc.</t>
        </is>
      </c>
    </row>
    <row r="29">
      <c r="A29" t="inlineStr"/>
    </row>
    <row r="30">
      <c r="A30">
        <f>== MĚNA A INCOTERMS – KONTROLA SHODY ===</f>
        <v/>
      </c>
    </row>
    <row r="31">
      <c r="A31" t="inlineStr">
        <is>
          <t>Linhai 26111: USD, 'Incoterms: FOB NINGBO' ✓</t>
        </is>
      </c>
    </row>
    <row r="32">
      <c r="A32" t="inlineStr">
        <is>
          <t>Kelin KL260602: USD, cenový sloupec 'FOB NINGBO' ✓</t>
        </is>
      </c>
    </row>
    <row r="33">
      <c r="A33" t="inlineStr">
        <is>
          <t>AIJE AJT2409035: USD, 'FOB NINGBO' ✓</t>
        </is>
      </c>
    </row>
    <row r="34">
      <c r="A34" t="inlineStr">
        <is>
          <t>Laizhou LTP260325L: USD, 'UNIT PRICE FOB NINGBO' ✓</t>
        </is>
      </c>
    </row>
    <row r="35">
      <c r="A35" t="inlineStr">
        <is>
          <t>House B/L A–D: všechny FREIGHT COLLECT – konzistentní s FOB.</t>
        </is>
      </c>
    </row>
    <row r="36">
      <c r="A36" t="inlineStr">
        <is>
          <t>→ Vše shodné: USD / FOB NINGBO. Žádná diskrepance. (Incoterm se dle pravidel do HS souhrnu jako sloupec neuvádí.)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2026-07-14T20:39:14Z</dcterms:created>
  <dcterms:modified xsi:type="dcterms:W3CDTF">2026-07-14T20:54:49Z</dcterms:modified>
</cp:coreProperties>
</file>