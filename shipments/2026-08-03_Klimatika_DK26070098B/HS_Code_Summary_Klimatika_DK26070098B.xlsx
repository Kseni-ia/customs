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Code Summary" sheetId="1" state="visible" r:id="rId3"/>
    <sheet name="JSD položky" sheetId="2" state="visible" r:id="rId4"/>
    <sheet name="FOC" sheetId="3" state="visible" r:id="rId5"/>
    <sheet name="Line items" sheetId="4" state="visible" r:id="rId6"/>
    <sheet name="F-gas" sheetId="5" state="visible" r:id="rId7"/>
    <sheet name="Kontroly &amp; poznámk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<sst xmlns="http://schemas.openxmlformats.org/spreadsheetml/2006/main" count="467" uniqueCount="263">
  <si>
    <t xml:space="preserve">SOUHRN HS KÓDŮ / HS CODE SUMMARY</t>
  </si>
  <si>
    <t xml:space="preserve">Klient / Client</t>
  </si>
  <si>
    <t xml:space="preserve">KLIMATIKA jknp s.r.o., Dolany 690, 783 16 Dolany, CZ — DIČ CZ06212697</t>
  </si>
  <si>
    <t xml:space="preserve">Odesílatel / Sender (exporter)</t>
  </si>
  <si>
    <t xml:space="preserve">GROUPE AIRWELL SA, 10 rue du Fort de Saint Cyr, 78180 Montigny le Bretonneux, France — EORI FR92044332200010</t>
  </si>
  <si>
    <t xml:space="preserve">Zásilka / Shipment (HBL)</t>
  </si>
  <si>
    <t xml:space="preserve">DK26070098CNWAYCZMNKFD  (HBL DK26070098-B)  •  1 × 40'HQ  •  kontejner MRSU2515573</t>
  </si>
  <si>
    <t xml:space="preserve">Faktury / Invoices</t>
  </si>
  <si>
    <t xml:space="preserve">FAD-1271-2026 (placené zboží)  •  FAD-1272-2026 (jednotky zdarma / FOC)  •  FAD-1273-2026 + FAD-1274-2026 (F-gas příspěvek)</t>
  </si>
  <si>
    <t xml:space="preserve">Objednávka / PO</t>
  </si>
  <si>
    <t xml:space="preserve">ORDER NO. 262000279  •  PO Airwell 28583  •  FOC: FOC UNITS 1% PO 28583 (28606)</t>
  </si>
  <si>
    <t xml:space="preserve">INCOTERM</t>
  </si>
  <si>
    <t xml:space="preserve">FOB  WAIYUN, ZHONGSHAN, CHINA   (Incoterms® ICC 2020)</t>
  </si>
  <si>
    <t xml:space="preserve">Trasa / Routing</t>
  </si>
  <si>
    <t xml:space="preserve">Waiyun, Zhongshan (CN) → Bremerhaven (DE) → Mělník (CZ)  •  plavidlo DA FENG 3025/6275  •  shipped on board 03/07/2026  •  freight COLLECT</t>
  </si>
  <si>
    <t xml:space="preserve">Země původu / Country of origin</t>
  </si>
  <si>
    <t xml:space="preserve">ČÍNA / CHINA (CN) — „MADE IN CHINA“, na všech řádcích faktur „Country of origin: CHINE“</t>
  </si>
  <si>
    <t xml:space="preserve">Měna / Currency</t>
  </si>
  <si>
    <t xml:space="preserve">EUR</t>
  </si>
  <si>
    <t xml:space="preserve">Kartony / Cartons</t>
  </si>
  <si>
    <t xml:space="preserve">Objem / Volume (CBM)</t>
  </si>
  <si>
    <t xml:space="preserve">Datum zpracování / Prepared</t>
  </si>
  <si>
    <t xml:space="preserve">31/07/2026</t>
  </si>
  <si>
    <t xml:space="preserve">FOB poplatek / FOB charge (EUR)</t>
  </si>
  <si>
    <t xml:space="preserve">Vstupní hodnota / input — manipulační a stuffing poplatek 470 EUR/kontejner účtovaný prodávajícím (FAD-1271-2026, VOP čl. 6.1). Rozpouští se poměrem k hodnotě do celní hodnoty.</t>
  </si>
  <si>
    <t xml:space="preserve">Odesílatel / Sender</t>
  </si>
  <si>
    <t xml:space="preserve">HS kód</t>
  </si>
  <si>
    <t xml:space="preserve">Typ / Type</t>
  </si>
  <si>
    <t xml:space="preserve">CHLADIVO (F-plyny)</t>
  </si>
  <si>
    <t xml:space="preserve">Popis zboží (CZ)</t>
  </si>
  <si>
    <t xml:space="preserve">Description (EN)</t>
  </si>
  <si>
    <t xml:space="preserve">Množství / Quantity (ks)</t>
  </si>
  <si>
    <t xml:space="preserve">Čistá hmotnost / Net weight (kg)</t>
  </si>
  <si>
    <t xml:space="preserve">Hrubá hmotnost / Gross weight (kg)</t>
  </si>
  <si>
    <t xml:space="preserve">Fakturovaná hodnota (EUR)</t>
  </si>
  <si>
    <t xml:space="preserve">Hodnota jednotek zdarma FOC (EUR)</t>
  </si>
  <si>
    <t xml:space="preserve">Podíl FOB poplatku (EUR)</t>
  </si>
  <si>
    <t xml:space="preserve">CELNÍ HODNOTA (EUR)</t>
  </si>
  <si>
    <t xml:space="preserve">F-plyny (t CO2e, dle rozpisu jednotek)</t>
  </si>
  <si>
    <t xml:space="preserve">Incoterm</t>
  </si>
  <si>
    <t xml:space="preserve">Země původu</t>
  </si>
  <si>
    <t xml:space="preserve">Preferenční původ (preferenční věta)</t>
  </si>
  <si>
    <t xml:space="preserve">CBAM</t>
  </si>
  <si>
    <t xml:space="preserve">Antidumping</t>
  </si>
  <si>
    <t xml:space="preserve">GROUPE AIRWELL SA (FR)</t>
  </si>
  <si>
    <t xml:space="preserve">84151090</t>
  </si>
  <si>
    <t xml:space="preserve">Vnitřní / Indoor</t>
  </si>
  <si>
    <t xml:space="preserve">NE – bez chladiva</t>
  </si>
  <si>
    <t xml:space="preserve">Klimatizační jednotky typu split – VNITŘNÍ jednotky, BEZ obsahu chladícího média</t>
  </si>
  <si>
    <t xml:space="preserve">Split-system air conditioners – INDOOR units, no refrigerant charge</t>
  </si>
  <si>
    <t xml:space="preserve">—</t>
  </si>
  <si>
    <t xml:space="preserve">FOB WAIYUN, ZHONGSHAN, CHINA</t>
  </si>
  <si>
    <t xml:space="preserve">CN – Čína / China</t>
  </si>
  <si>
    <t xml:space="preserve">NE – preferenční věta v dokladech NENÍ</t>
  </si>
  <si>
    <t xml:space="preserve">NE / No</t>
  </si>
  <si>
    <t xml:space="preserve">Nezjištěno – ověřit v TARIC</t>
  </si>
  <si>
    <t xml:space="preserve">Venkovní / Outdoor</t>
  </si>
  <si>
    <t xml:space="preserve">ANO – předplněné</t>
  </si>
  <si>
    <t xml:space="preserve">Klimatizační jednotky typu split – VENKOVNÍ jednotky, PŘEDPLNĚNÉ chladícím médiem</t>
  </si>
  <si>
    <t xml:space="preserve">Split-system air conditioners – OUTDOOR units, pre-charged with F-gas</t>
  </si>
  <si>
    <t xml:space="preserve">84159000</t>
  </si>
  <si>
    <t xml:space="preserve">Díl / Part</t>
  </si>
  <si>
    <t xml:space="preserve">Wifi modul – části a součásti klimatizačních jednotek</t>
  </si>
  <si>
    <t xml:space="preserve">Wifi module – parts of air conditioning machines</t>
  </si>
  <si>
    <t xml:space="preserve">CELKEM / TOTAL</t>
  </si>
  <si>
    <t xml:space="preserve">STAVBA CELNÍ HODNOTY / CUSTOMS VALUE BUILD-UP</t>
  </si>
  <si>
    <t xml:space="preserve">Fakturovaná hodnota zboží FAD-1271-2026 (Total Item Net Value)</t>
  </si>
  <si>
    <t xml:space="preserve">Placené zboží, EXW/FOB cena dle faktury.</t>
  </si>
  <si>
    <t xml:space="preserve">+ Jednotky zdarma FOC (FAD-1272-2026) v hodnotě dle faktury</t>
  </si>
  <si>
    <t xml:space="preserve">Sleva -100 % NEUPLATNĚNA pro celní účely – bezúplatné zboží nemá převodní hodnotu, oceňuje se dle čl. 74 UCC hodnotou stejného zboží (ceny z FAD-1271-2026 / FAD-1272-2026).</t>
  </si>
  <si>
    <t xml:space="preserve">+ FOB poplatek (manipulace/stuffing 470 EUR/kontejner)</t>
  </si>
  <si>
    <t xml:space="preserve">Součást ceny skutečně placené nebo která má být zaplacena.</t>
  </si>
  <si>
    <t xml:space="preserve">MEZISOUČET / SUBTOTAL (bez dopravného do EU)</t>
  </si>
  <si>
    <t xml:space="preserve">Odpovídá sloupci „CELNÍ HODNOTA“ v hlavní tabulce.</t>
  </si>
  <si>
    <t xml:space="preserve">+ Námořní přepravné, THC a pojištění do hranice EU</t>
  </si>
  <si>
    <t xml:space="preserve">DOPLNIT</t>
  </si>
  <si>
    <t xml:space="preserve">CHYBÍ V PODKLADECH – dodání je FOB Waiyun a přepravné je „FREIGHT COLLECT“. Nutno doplnit z faktury dopravce (náklady až po vstup do celního území EU) – bez toho nelze celní hodnotu uzavřít.</t>
  </si>
  <si>
    <t xml:space="preserve">+ F-gas příspěvek (FAD-1273-2026 2 117,00 EUR + FAD-1274-2026 18,20 EUR)</t>
  </si>
  <si>
    <t xml:space="preserve">K ROZHODNUTÍ: příspěvek za kvótu HFC účtovaný prodávajícím jako podmínka prodeje zboží obsahujícího F-plyny (vztahuje se jen k HS 84151090). Doporučuji zahrnout do celní hodnoty; potvrdit s klientem. Zahrnut i příspěvek k FOC jednotkám (18,20 EUR) – stejná logika jako u zboží zdarma. Bez FOC složky by částka činila 2 117,00 EUR.</t>
  </si>
  <si>
    <t xml:space="preserve">CELNÍ HODNOTA VČETNĚ F-GAS PŘÍSPĚVKU (bez dopravného do EU)</t>
  </si>
  <si>
    <t xml:space="preserve">Nezahrnuje námořní přepravné/pojištění do hranice EU – viz řádek výše.</t>
  </si>
  <si>
    <t xml:space="preserve">NÁVRH POLOŽEK CELNÍHO PROHLÁŠENÍ / PROPOSED DECLARATION ITEMS</t>
  </si>
  <si>
    <t xml:space="preserve">Jedno JSD, pět položek. Členěno (1) podle HS kódu, (2) podle obsahu chladiva a (3) podle toho, zda jde o zboží placené nebo zdarma (FOC) – to má jinou metodu hodnocení a jiný druh obchodu. Vše jsou údaje na úrovni položky, samostatná JSD proto nejsou nutná. Při podání dvou JSD: položky 1, 2, 5 na jedno, položky 3 a 4 na druhé.</t>
  </si>
  <si>
    <t xml:space="preserve">Přepravné do hranice EU (EUR)</t>
  </si>
  <si>
    <t xml:space="preserve">← DOPLNIT z faktury dopravce (námořní přepravné + THC + pojištění do místa vstupu do EU). Rozvrhuje se poměrem hrubé hmotnosti. Do doplnění zůstává podíl u položek nulový.</t>
  </si>
  <si>
    <t xml:space="preserve">Pol. č.</t>
  </si>
  <si>
    <t xml:space="preserve">CHLADIVO</t>
  </si>
  <si>
    <t xml:space="preserve">Faktura</t>
  </si>
  <si>
    <t xml:space="preserve">Množství (ks)</t>
  </si>
  <si>
    <t xml:space="preserve">Čistá hm. (kg)</t>
  </si>
  <si>
    <t xml:space="preserve">Hrubá hm. (kg)</t>
  </si>
  <si>
    <t xml:space="preserve">Hodnota zboží (EUR)</t>
  </si>
  <si>
    <t xml:space="preserve">Podíl přepravného (EUR)</t>
  </si>
  <si>
    <t xml:space="preserve">Metoda hodnocení</t>
  </si>
  <si>
    <t xml:space="preserve">Druh obchodu</t>
  </si>
  <si>
    <t xml:space="preserve">F-plyny (t CO2e)</t>
  </si>
  <si>
    <t xml:space="preserve">Poznámka</t>
  </si>
  <si>
    <t xml:space="preserve">NE</t>
  </si>
  <si>
    <t xml:space="preserve">Klimatizační jednotky split – VNITŘNÍ, bez obsahu chladícího média (placené zboží)</t>
  </si>
  <si>
    <t xml:space="preserve">FAD-1271-2026</t>
  </si>
  <si>
    <t xml:space="preserve">1 – převodní hodnota dováženého zboží (čl. 70 UCC)</t>
  </si>
  <si>
    <t xml:space="preserve">11 – koupě/prodej</t>
  </si>
  <si>
    <t xml:space="preserve">Bez F-plynů.</t>
  </si>
  <si>
    <t xml:space="preserve">ANO</t>
  </si>
  <si>
    <t xml:space="preserve">Klimatizační jednotky split – VENKOVNÍ, předplněné chladícím médiem (placené zboží)</t>
  </si>
  <si>
    <t xml:space="preserve">Podléhá kvótě F-plynů dle nař. (EU) 2024/573.</t>
  </si>
  <si>
    <t xml:space="preserve">Klimatizační jednotky split – VNITŘNÍ, bez chladiva – jednotky ZDARMA (FOC UNITS 1 %)</t>
  </si>
  <si>
    <t xml:space="preserve">FAD-1272-2026</t>
  </si>
  <si>
    <t xml:space="preserve">2 – převodní hodnota stejného zboží (čl. 74 odst. 2 písm. a) UCC)</t>
  </si>
  <si>
    <t xml:space="preserve">3 – bez finanční protihodnoty</t>
  </si>
  <si>
    <t xml:space="preserve">Sleva -100 % se pro celní hodnotu NEUPLATŇUJE – oceněno cenami stejného zboží.</t>
  </si>
  <si>
    <t xml:space="preserve">Klimatizační jednotky split – VENKOVNÍ, předplněné – jednotky ZDARMA (FOC UNITS 1 %)</t>
  </si>
  <si>
    <t xml:space="preserve">Sleva -100 % se NEUPLATŇUJE. Podléhá kvótě F-plynů.</t>
  </si>
  <si>
    <t xml:space="preserve">CELKEM</t>
  </si>
  <si>
    <t xml:space="preserve">Kontrola: součet položek musí odpovídat listu „HS Code Summary“ – 744 ks, 8 690,81 kg netto, 9 748,44 kg brutto, celní hodnota 55 378,93 EUR (bez přepravného do EU).</t>
  </si>
  <si>
    <t xml:space="preserve">Hmotnosti položek 1 a 2 jsou rozpočteny z Packing Listu podle počtu kusů (jednotková hmotnost × počet kusů). Kartony jsou u těchto výrobků 1:1 s kusy, rozpočet proto vychází přesně.</t>
  </si>
  <si>
    <t xml:space="preserve">Metoda hodnocení a druh obchodu jsou údaje NA ÚROVNI POLOŽKY, ne celého prohlášení – proto stačí jedno JSD. Kódy druhu obchodu ověřit dle aktuálního číselníku před podáním.</t>
  </si>
  <si>
    <t xml:space="preserve">F-plyny se deklarují za celou zásilku dohromady (106,76 t CO2e) – oprávnění/kvóta a odkaz na prohlášení o shodě musí pokrýt položku 1 i položku 2. Při rozdělení na dvě JSD je nutné uvést na obou.</t>
  </si>
  <si>
    <t xml:space="preserve">ZBOŽÍ ZDARMA / FREE OF CHARGE – FAD-1272-2026 + FAD-1274-2026</t>
  </si>
  <si>
    <t xml:space="preserve">Kompletní rozpis bezúplatné části zásilky. Obě faktury mají slevu -100 % a fakturovanou částku 0,00 EUR; pro celní účely se hodnota NEUPLATŇUJE jako nulová – viz čl. 74 odst. 2 písm. a) UCC (hodnota stejného zboží).</t>
  </si>
  <si>
    <t xml:space="preserve">A) FAD-1272-2026 – ZBOŽÍ (6 ks, jediná část zásilky s hmotností)</t>
  </si>
  <si>
    <t xml:space="preserve">Řádek faktury</t>
  </si>
  <si>
    <t xml:space="preserve">Kód / Product code</t>
  </si>
  <si>
    <t xml:space="preserve">Model</t>
  </si>
  <si>
    <t xml:space="preserve">Ks</t>
  </si>
  <si>
    <t xml:space="preserve">Hodnota (EUR)</t>
  </si>
  <si>
    <t xml:space="preserve">7SP024141</t>
  </si>
  <si>
    <t xml:space="preserve">HDLS-035N-09M25-BK</t>
  </si>
  <si>
    <t xml:space="preserve">7SP063296</t>
  </si>
  <si>
    <t xml:space="preserve">YDAS-035R-09M25</t>
  </si>
  <si>
    <t xml:space="preserve">7SP063297</t>
  </si>
  <si>
    <t xml:space="preserve">YDAS-050R-09M25</t>
  </si>
  <si>
    <t xml:space="preserve">7SP024100</t>
  </si>
  <si>
    <t xml:space="preserve">HDLS-025N-09M25</t>
  </si>
  <si>
    <t xml:space="preserve">7SP024101</t>
  </si>
  <si>
    <t xml:space="preserve">HDLS-035N-09M25</t>
  </si>
  <si>
    <t xml:space="preserve">7SP024102</t>
  </si>
  <si>
    <t xml:space="preserve">HDLS-050N-09M25</t>
  </si>
  <si>
    <t xml:space="preserve">CELKEM FAD-1272-2026</t>
  </si>
  <si>
    <t xml:space="preserve">B) FAD-1274-2026 – PŘÍSPĚVEK ZA F-PLYNY (služba, BEZ hmotnosti)</t>
  </si>
  <si>
    <t xml:space="preserve">Popis</t>
  </si>
  <si>
    <t xml:space="preserve">Vztahuje se k</t>
  </si>
  <si>
    <t xml:space="preserve">t CO2e</t>
  </si>
  <si>
    <t xml:space="preserve">Sazba EUR/t</t>
  </si>
  <si>
    <t xml:space="preserve">FGAZ – FGAS CONTRIBUTION</t>
  </si>
  <si>
    <t xml:space="preserve">7SP063296 × 1 ks (0,385 t) + 7SP063297 × 1 ks (0,527 t) – obě venkovní jednotky</t>
  </si>
  <si>
    <t xml:space="preserve">C) CELKEM ZBOŽÍ ZDARMA / TOTAL FOC</t>
  </si>
  <si>
    <t xml:space="preserve">Počet kusů / Quantity</t>
  </si>
  <si>
    <t xml:space="preserve">ks</t>
  </si>
  <si>
    <t xml:space="preserve">6 fyzických jednotek klimatizace (4 vnitřní + 2 venkovní).</t>
  </si>
  <si>
    <t xml:space="preserve">CELKOVÁ ČISTÁ HMOTNOST / TOTAL NET WEIGHT</t>
  </si>
  <si>
    <t xml:space="preserve">kg</t>
  </si>
  <si>
    <t xml:space="preserve">Pouze zboží z FAD-1272-2026. FAD-1274-2026 je služba a hmotnost nemá.</t>
  </si>
  <si>
    <t xml:space="preserve">CELKOVÁ HRUBÁ HMOTNOST / TOTAL GROSS WEIGHT</t>
  </si>
  <si>
    <t xml:space="preserve">Rozpočteno z Packing Listu podle počtu kusů (1 karton = 1 jednotka, dělí se přesně).</t>
  </si>
  <si>
    <t xml:space="preserve">Hodnota zboží FAD-1272-2026</t>
  </si>
  <si>
    <t xml:space="preserve">Před slevou -100 %.</t>
  </si>
  <si>
    <t xml:space="preserve">+ Příspěvek za F-plyny FAD-1274-2026</t>
  </si>
  <si>
    <t xml:space="preserve">CELKOVÁ HODNOTA FOC / TOTAL FOC VALUE</t>
  </si>
  <si>
    <t xml:space="preserve">Částka k deklaraci za bezúplatnou část zásilky (za předpokladu, že se příspěvek za F-plyny zahrnuje do celní hodnoty).</t>
  </si>
  <si>
    <t xml:space="preserve">Kontrola hmotností: 89,67 kg netto a 102,21 kg brutto z 8 690,81 / 9 748,44 kg celé zásilky – zbytek (8 601,14 / 9 646,23 kg) připadá na placené zboží z FAD-1271-2026.</t>
  </si>
  <si>
    <t xml:space="preserve">FAD-1274-2026 NEMÁ hmotnost – jde o příspěvek za kvótu F-plynů (služba, reverse charge), nikoli o zboží. Do hrubé ani čisté hmotnosti se nezapočítává.</t>
  </si>
  <si>
    <t xml:space="preserve">Rozpis na FAD-1274-2026 po jednotkách dává 0,912 t CO2e / 18,23 EUR, faktura účtuje 0,91 t / 18,20 EUR. Použita fakturovaná částka 18,20 EUR, takže celkem 581,74 + 18,20 = 599,94 EUR.</t>
  </si>
  <si>
    <t xml:space="preserve">Jednotky zdarma jsou v Packing Listu i na HBL započteny v celkových 499 kartonech a 9 748,44 kg – fyzicky jsou součástí téhož kontejneru MRSU2515573.</t>
  </si>
  <si>
    <t xml:space="preserve">ROZPIS POLOŽEK / LINE ITEM DETAIL</t>
  </si>
  <si>
    <t xml:space="preserve">Zdroj: Packing List PO 28583 (hmotnosti, kartony) + faktury FAD-1271-2026 (placené zboží) a FAD-1272-2026 (jednotky zdarma / FOC, sleva -100 %).</t>
  </si>
  <si>
    <t xml:space="preserve">Faktura / Invoice</t>
  </si>
  <si>
    <t xml:space="preserve">Model (EN)</t>
  </si>
  <si>
    <t xml:space="preserve">Množství placené (ks)</t>
  </si>
  <si>
    <t xml:space="preserve">Množství zdarma FOC (ks)</t>
  </si>
  <si>
    <t xml:space="preserve">Množství celkem (ks)</t>
  </si>
  <si>
    <t xml:space="preserve">Čistá hmotnost (kg)</t>
  </si>
  <si>
    <t xml:space="preserve">Hrubá hmotnost (kg)</t>
  </si>
  <si>
    <t xml:space="preserve">Jedn. cena (EUR)</t>
  </si>
  <si>
    <t xml:space="preserve">Hodnota placená (EUR)</t>
  </si>
  <si>
    <t xml:space="preserve">Hodnota FOC (EUR)</t>
  </si>
  <si>
    <t xml:space="preserve">Hodnota zboží celkem (EUR)</t>
  </si>
  <si>
    <t xml:space="preserve">7SP024140</t>
  </si>
  <si>
    <t xml:space="preserve">HDLS-025N-09M25-BK</t>
  </si>
  <si>
    <t xml:space="preserve">Vnitřní klimatizační jednotka bez obsahu chladícího média (split)</t>
  </si>
  <si>
    <t xml:space="preserve">FAD-1271-2026 + FAD-1272-2026</t>
  </si>
  <si>
    <t xml:space="preserve">7SP024142</t>
  </si>
  <si>
    <t xml:space="preserve">HDLS-050N-09M25-BK</t>
  </si>
  <si>
    <t xml:space="preserve">7SP024143</t>
  </si>
  <si>
    <t xml:space="preserve">HDLS-070N-09M25-BK</t>
  </si>
  <si>
    <t xml:space="preserve">7SP024103</t>
  </si>
  <si>
    <t xml:space="preserve">HDLS-070N-09M25</t>
  </si>
  <si>
    <t xml:space="preserve">7SP063295</t>
  </si>
  <si>
    <t xml:space="preserve">YDAS-025R-09M25</t>
  </si>
  <si>
    <t xml:space="preserve">Venkovní klimatizační jednotka s chladícím médiem, předplněná (split)</t>
  </si>
  <si>
    <t xml:space="preserve">7SP063298</t>
  </si>
  <si>
    <t xml:space="preserve">YDAS-070R-09M25</t>
  </si>
  <si>
    <t xml:space="preserve">7ACEL1954</t>
  </si>
  <si>
    <t xml:space="preserve">Wifi HDLS ZDAS (wifi module)</t>
  </si>
  <si>
    <t xml:space="preserve">Kontrola / Cross-check: kartony 499 ks, čistá hm. 8 690,81 kg, hrubá hm. 9 748,44 kg, 65,16 CBM = Packing List a HBL DK26070098-B.</t>
  </si>
  <si>
    <t xml:space="preserve">Pozn.: 1 karton = 1 jednotka klimatizace; wifi moduly (7ACEL1954) – 246 ks v 1 kartonu. Hmotnosti z Packing Listu zahrnují i jednotky zdarma (FOC).</t>
  </si>
  <si>
    <t xml:space="preserve">Pozn.: hodnoty položek převzaty přesně z faktur (u některých řádků se součin ks × jedn. cena liší o pár centů kvůli zaokrouhlení na faktuře – rozhodující je fakturovaná hodnota).</t>
  </si>
  <si>
    <t xml:space="preserve">F-PLYNY / F-GAS – zařízení předplněná fluorovaným skleníkovým plynem</t>
  </si>
  <si>
    <t xml:space="preserve">Zdroj: FAD-1273-2026 (F-gas k placeným jednotkám) a FAD-1274-2026 (F-gas k jednotkám zdarma, sleva -100 %). POZOR: druh chladiva NENÍ v žádném dokladu uveden. R32 je ODVOZEN z t CO2e/jednotku – nutno potvrdit.</t>
  </si>
  <si>
    <t xml:space="preserve">GWP – předpoklad R32 (AR4)</t>
  </si>
  <si>
    <t xml:space="preserve">Vstupní hodnota / input – NEPOTVRZENÁ. Druh chladiva není v dokladech uveden. R32 (GWP 675 dle AR4) je pouze ODVOZEN: 0,675 ÷ 675 × 1000 = 1,000 kg a 0,351 ÷ 675 × 1000 = 0,520 kg. Sloupce I a J jsou proto ORIENTAČNÍ.</t>
  </si>
  <si>
    <t xml:space="preserve">Množství FOC (ks)</t>
  </si>
  <si>
    <t xml:space="preserve">t CO2e / jednotka</t>
  </si>
  <si>
    <t xml:space="preserve">t CO2e celkem</t>
  </si>
  <si>
    <t xml:space="preserve">Náplň chladiva / unit (kg) – odvozeno</t>
  </si>
  <si>
    <t xml:space="preserve">Náplň chladiva celkem (kg) – odvozeno</t>
  </si>
  <si>
    <t xml:space="preserve">EUR / jednotka</t>
  </si>
  <si>
    <t xml:space="preserve">F-gas příspěvek (EUR)</t>
  </si>
  <si>
    <t xml:space="preserve">F-plyny fakturované celkem: 105,85 t CO2e (FAD-1273) + 0,91 t CO2e (FAD-1274) = 106,76 t CO2e; příspěvek 2 117,00 EUR + 18,20 EUR = 2 135,20 EUR (u FOC sleva -100 % → 0,00 EUR).</t>
  </si>
  <si>
    <t xml:space="preserve">POZOR – drobný nesoulad na faktuře: rozpis po jednotkách dává 105,91 t CO2e / 2 117,70 EUR, faktura FAD-1273-2026 účtuje 105,85 t / 2 117,00 EUR (rozdíl 0,70 EUR). Pro celní účely nepodstatné, ale stojí za dotaz u odesílatele.</t>
  </si>
  <si>
    <t xml:space="preserve">Dovoz zařízení předplněného HFC podléhá nařízení (EU) 2024/573: dovozce musí být registrován v F-Gas Portálu, musí být kryt kvótou/oprávněním a k celnímu prohlášení se uvádí odkaz na prohlášení o shodě. Bez toho zásilku nelze propustit. NUTNO OVĚŘIT PŘED PODÁNÍM JSD.</t>
  </si>
  <si>
    <t xml:space="preserve">F-plyny se týkají výhradně venkovních jednotek YDAS-*R (HS 84151090). Vnitřní jednotky HDLS-*N jsou bez chladícího média.</t>
  </si>
  <si>
    <t xml:space="preserve">KONTROLY, RIZIKA A OTEVŘENÉ BODY / CHECKS, FLAGS &amp; OPEN ITEMS</t>
  </si>
  <si>
    <t xml:space="preserve">#</t>
  </si>
  <si>
    <t xml:space="preserve">Priorita</t>
  </si>
  <si>
    <t xml:space="preserve">Téma</t>
  </si>
  <si>
    <t xml:space="preserve">Zjištění / co je potřeba udělat</t>
  </si>
  <si>
    <t xml:space="preserve">KRITICKÉ</t>
  </si>
  <si>
    <t xml:space="preserve">COO / preferenční věta</t>
  </si>
  <si>
    <t xml:space="preserve">PREFERENČNÍ VĚTA NENÍ v žádném z dokladů. Původ zboží ALE deklarován je: „MADE IN CHINA“ v záhlaví faktur FAD-1271-2026 a FAD-1272-2026 a „Country of origin: CHINE“ u KAŽDÉ položky (13× na FAD-1271-2026, 6× na FAD-1272-2026) – původ je tedy doložen pro všech 498 jednotek i wifi moduly. S Čínou nemá EU preferenční dohodu, takže preferenční sazbu nelze uplatnit ani doložit – uplatní se STANDARDNÍ TŘETIZEMNÍ (erga omnes) CLO. Prodávající je francouzská firma, na původ zboží to však nemá vliv.</t>
  </si>
  <si>
    <t xml:space="preserve">STŘEDNÍ</t>
  </si>
  <si>
    <t xml:space="preserve">COO – samostatné osvědčení o původu chybí</t>
  </si>
  <si>
    <t xml:space="preserve">Mezi podklady NENÍ samostatné osvědčení o původu (Certificate of Origin). Pro dovoz z Číny do volného oběhu se nevyžaduje – nepreferenční původ postačí deklarovat na základě údajů na faktuře, a preferenci stejně uplatnit nelze. Osvědčení by bylo potřeba pouze tehdy, pokud by je vyžadoval TARIC u konkrétního opatření (např. ochranné či antidumpingové) nebo pokud si je vyžádá klient/banka. Ověřit v TARIC při podání. Původ NENÍ uveden na Packing Listu, HBL ani na F-gas fakturách – tam se opírá o obchodní faktury.</t>
  </si>
  <si>
    <t xml:space="preserve">F-plyny (HFC)</t>
  </si>
  <si>
    <t xml:space="preserve">Venkovní jednotky YDAS-*R jsou předplněny F-plynem: celkem 106,76 t CO2e (105,85 t placené + 0,91 t FOC). Dovoz zařízení předplněného HFC podléhá nař. (EU) 2024/573 – dovozce (KLIMATIKA) musí být registrován ve F-Gas Portálu, musí mít pokrytí kvótou/oprávněním a v celním prohlášení se uvádí odkaz na prohlášení o shodě. BEZ TOHO CELNÍ ÚŘAD ZBOŽÍ NEPROPUSTÍ. Ověřit u klienta před podáním JSD.</t>
  </si>
  <si>
    <t xml:space="preserve">Druh chladiva NENÍ v dokladech uveden</t>
  </si>
  <si>
    <t xml:space="preserve">V ŽÁDNÉM z podkladů (faktury FAD-1271/1272/1273/1274-2026, Packing List, HBL, INSTRUKCE) není uveden druh chladiva. Doklady uvádějí pouze „s chladícím médiem“ a přepočet na t CO2e. R32 je v tomto souboru pouze ODVOZEN z rozpisu na FAD-1273-2026 (0,675 t CO2e ÷ GWP 675 = přesně 1,000 kg; 0,351 ÷ 675 = 0,520 kg – sedí u všech čtyř modelů). Je to silná indicie, NE doklad. Prohlášení o shodě pro F-plyny musí plyn výslovně pojmenovat, proto je nutné si druh chladiva a náplň v kg vyžádat od odesílatele (nebo doložit technickým listem / štítkem jednotky) PŘED podáním JSD.</t>
  </si>
  <si>
    <t xml:space="preserve">Chybí přepravné do celní hodnoty</t>
  </si>
  <si>
    <t xml:space="preserve">Dodací doložka je FOB WAIYUN, ZHONGSHAN, CHINA a na HBL je „FREIGHT COLLECT“. Do celní hodnoty je proto nutné připočíst námořní přepravné, THC a případné pojištění až po místo vstupu do celního území EU. Tyto náklady v podkladech NEJSOU – nutno vyžádat fakturu dopravce. Bez ní nelze celní hodnotu uzavřít.</t>
  </si>
  <si>
    <t xml:space="preserve">VYSOKÁ</t>
  </si>
  <si>
    <t xml:space="preserve">Jednotky zdarma (FOC) – ocenění</t>
  </si>
  <si>
    <t xml:space="preserve">Faktura FAD-1272-2026 uvádí 6 ks jednotek zdarma se slevou -100 % (celkem 0,00 EUR, „NO COMMERCIAL VALUE – FOR CUSTOMS PURPOSE ONLY“). Pro celní účely tuto 100% slevu NEUPLATŇUJI: bezúplatné zboží není prodej, převodní hodnotu nemá a oceňuje se dle čl. 74 UCC hodnotou stejného/podobného zboží – použity ceny z faktur, tj. 581,74 EUR. Deklarovat nulu by bylo nesprávné. (Toto je jediná sleva v zásilce – jiný obchodní rabat, který by se rozpouštěl poměrem, v podkladech není.)</t>
  </si>
  <si>
    <t xml:space="preserve">F-gas příspěvek v celní hodnotě – k rozhodnutí</t>
  </si>
  <si>
    <t xml:space="preserve">FAD-1273-2026 účtuje 2 117,00 EUR jako „FGAS CONTRIBUTION“ (u FOC jednotek FAD-1274-2026 18,20 EUR se slevou -100 % → 0,00 EUR). Je fakturován jako služba (reverse charge), ale fakticky jde o platbu za kvótu HFC, která je podmínkou prodeje zboží. Doporučuji ZAHRNOUT do celní hodnoty HS 84151090. Prosím o potvrzení – list „HS Code Summary“ ukazuje součet s ním i bez něj.</t>
  </si>
  <si>
    <t xml:space="preserve">Placené zboží vs. FOC – členění prohlášení</t>
  </si>
  <si>
    <t xml:space="preserve">Zboží placené a zboží zdarma NELZE deklarovat na jedné položce: mají jinou metodu hodnocení (čl. 70 UCC vs. čl. 74 odst. 2 písm. a) UCC) a jiný druh obchodu. Obojí jsou ale údaje na úrovni POLOŽKY, ne prohlášení, takže postačí JEDNO JSD se třemi položkami – viz list „JSD položky“. Dvě samostatná JSD nejsou nutná; pokud by se přesto podávala, je nutné rozvrhnout přepravné na obě a na obou uvést pokrytí kvótou F-plynů.</t>
  </si>
  <si>
    <t xml:space="preserve">Instrukce – chybí JSD vs. T1</t>
  </si>
  <si>
    <t xml:space="preserve">V souboru INSTRUKCE je pole „Přejete si vystavit JCD (vyclení do volného oběhu) nebo T1 (tranzitní doklad)?“ PRÁZDNÉ, stejně jako „ADRESA VYCLENÍ (V PŘÍPADĚ T1)“ a kontakt na ní. Nutno doptat u klienta před zahájením.</t>
  </si>
  <si>
    <t xml:space="preserve">Sazba cla</t>
  </si>
  <si>
    <t xml:space="preserve">Původ CN, bez preference → erga omnes sazba. Pro 8415 10 90 i 8415 90 00 se očekává 2,7 %, ale sazbu, případná ochranná/antidumpingová opatření a další podmínky OVĚŘIT V TARIC k datu podání JSD. Na 8415 z Číny nejsou známa antidumpingová opatření – potvrdit v TARIC.</t>
  </si>
  <si>
    <t xml:space="preserve">Klimatizační jednotky ani jejich díly (kap. 8415) nejsou v příloze I nařízení o CBAM (cement, železo a ocel, hliník, hnojiva, elektřina, vodík). CBAM se na tuto zásilku NEVZTAHUJE.</t>
  </si>
  <si>
    <t xml:space="preserve">Členění řádků – odchylka od výchozího pravidla</t>
  </si>
  <si>
    <t xml:space="preserve">Na žádost je HS 84151090 rozdělen na DVA řádky podle obsahu chladiva – vnitřní jednotky bez chladícího média a venkovní jednotky předplněné F-plynem – místo standardního sloučení na jeden unikátní HS kód v rámci odesílatele. Důvod je věcný: kvótě, prohlášení o shodě a kontrole F-plynů podléhají jen venkovní jednotky, takže je nutné je vykázat odděleně. Na sazební zařazení, celní hodnotu ani clo to nemá vliv – součty zůstávají shodné (744 ks, 8 690,81 kg netto, 55 378,93 EUR).</t>
  </si>
  <si>
    <t xml:space="preserve">Odesílatel – jediný</t>
  </si>
  <si>
    <t xml:space="preserve">Všechny čtyři faktury i HBL mají stejného odesílatele: GROUPE AIRWELL SA (FR). Zásilka má tedy jednoho odesílatele a HS kódy se slučují v rámci něj – dělení po odesílatelích není potřeba.</t>
  </si>
  <si>
    <t xml:space="preserve">NÍZKÁ</t>
  </si>
  <si>
    <t xml:space="preserve">Nesoulad ve výpočtu F-gas</t>
  </si>
  <si>
    <t xml:space="preserve">Rozpis po jednotkách na FAD-1273-2026 dává 105,91 t CO2e / 2 117,70 EUR, faktura účtuje 105,85 t / 2 117,00 EUR (rozdíl 0,70 EUR). Bez dopadu na clo, ale vhodné upozornit odesílatele.</t>
  </si>
  <si>
    <t xml:space="preserve">Zaokrouhlení na faktuře</t>
  </si>
  <si>
    <t xml:space="preserve">U řádků 50, 110, 120 a 130 na FAD-1271-2026 se součin množství × jednotková cena liší o několik centů od uvedené hodnoty řádku. V souhrnu jsou použity hodnoty tak, jak je uvádí faktura.</t>
  </si>
  <si>
    <t xml:space="preserve">Adresa dodání ≠ adresa na faktuře</t>
  </si>
  <si>
    <t xml:space="preserve">Faktury jsou na KLIMATIKA jknp s.r.o., Dolany 690, 783 16 Dolany. Instrukce ale žádá doručení na Bělkovice-Lašťany 800, 783 15 (bývalý areál zemědělského družstva), okno 08:00–12:00, kontakt Martin Jarka, +420 736 100 037. Vykládka: fixní rampa + VZV, kamionem NELZE – nutné avizovat dopravci.</t>
  </si>
  <si>
    <t xml:space="preserve">DPH na faktuře</t>
  </si>
  <si>
    <t xml:space="preserve">Faktury uvádějí „Exo TVA art 262 ter I / Exempt EU Sales – Goods“, tedy režim dodání uvnitř EU, ačkoli fakticky jde o dovoz zboží z Číny. Na celní hodnotu to nemá vliv, DPH se vyměří při propuštění do volného oběhu. Pouze pro informaci.</t>
  </si>
  <si>
    <t xml:space="preserve">POUŽITÉ PODKLADY / SOURCE DOCUMENTS</t>
  </si>
  <si>
    <t xml:space="preserve">•</t>
  </si>
  <si>
    <t xml:space="preserve">HBL DK26070098-B (DK26070098CNWAYCZMNKFD) – TR KLIMATIKA</t>
  </si>
  <si>
    <t xml:space="preserve">Faktura FAD-1271-2026 ze dne 03/07/2026 – placené zboží, 54 797,19 EUR (obsahuje deklaraci původu u každé položky)</t>
  </si>
  <si>
    <t xml:space="preserve">Faktura FAD-1272-2026 – jednotky zdarma (FOC UNITS 1%), 581,74 EUR před slevou -100 %</t>
  </si>
  <si>
    <t xml:space="preserve">Faktura FAD-1273-2026 – F-gas příspěvek 2 117,00 EUR</t>
  </si>
  <si>
    <t xml:space="preserve">Faktura FAD-1274-2026 – F-gas příspěvek k FOC jednotkám 18,20 EUR před slevou -100 %</t>
  </si>
  <si>
    <t xml:space="preserve">Packing List PO 28583 / BL DK26070098CNWAYCZMNKFD</t>
  </si>
  <si>
    <t xml:space="preserve">INSTRUKCE k celnímu odbavení a doručení zboží (Maurice Ward &amp; Co., s.r.o.)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</si>
</sst>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C6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FE699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false" outlineLevel="0" max="18" min="18" style="0" width="11"/>
    <col collapsed="false" customWidth="true" hidden="false" outlineLevel="0" max="19" min="19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15" hidden="false" customHeight="false" outlineLevel="0" collapsed="false">
      <c r="A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A4" s="2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2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2" t="s">
        <v>7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2" t="s">
        <v>9</v>
      </c>
      <c r="C7" s="3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2" t="s">
        <v>11</v>
      </c>
      <c r="C8" s="4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5" hidden="false" customHeight="false" outlineLevel="0" collapsed="false">
      <c r="A9" s="2" t="s">
        <v>13</v>
      </c>
      <c r="C9" s="3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2" t="s">
        <v>15</v>
      </c>
      <c r="C10" s="3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2" t="s">
        <v>17</v>
      </c>
      <c r="C11" s="3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2" t="s">
        <v>19</v>
      </c>
      <c r="C12" s="3" t="n">
        <v>499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2" t="s">
        <v>20</v>
      </c>
      <c r="C13" s="3" t="n">
        <v>65.16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2" t="s">
        <v>21</v>
      </c>
      <c r="C14" s="3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2" t="s">
        <v>23</v>
      </c>
      <c r="C15" s="5" t="n">
        <v>470</v>
      </c>
      <c r="D15" s="6" t="s">
        <v>24</v>
      </c>
    </row>
    <row r="17" customFormat="false" ht="61.5" hidden="false" customHeight="true" outlineLevel="0" collapsed="false">
      <c r="A17" s="7" t="s">
        <v>25</v>
      </c>
      <c r="B17" s="7" t="s">
        <v>26</v>
      </c>
      <c r="C17" s="7" t="s">
        <v>27</v>
      </c>
      <c r="D17" s="7" t="s">
        <v>28</v>
      </c>
      <c r="E17" s="7" t="s">
        <v>29</v>
      </c>
      <c r="F17" s="7" t="s">
        <v>30</v>
      </c>
      <c r="G17" s="7" t="s">
        <v>31</v>
      </c>
      <c r="H17" s="7" t="s">
        <v>32</v>
      </c>
      <c r="I17" s="7" t="s">
        <v>33</v>
      </c>
      <c r="J17" s="7" t="s">
        <v>34</v>
      </c>
      <c r="K17" s="7" t="s">
        <v>35</v>
      </c>
      <c r="L17" s="7" t="s">
        <v>36</v>
      </c>
      <c r="M17" s="7" t="s">
        <v>37</v>
      </c>
      <c r="N17" s="7" t="s">
        <v>38</v>
      </c>
      <c r="O17" s="7" t="s">
        <v>39</v>
      </c>
      <c r="P17" s="7" t="s">
        <v>40</v>
      </c>
      <c r="Q17" s="7" t="s">
        <v>41</v>
      </c>
      <c r="R17" s="7" t="s">
        <v>42</v>
      </c>
      <c r="S17" s="7" t="s">
        <v>43</v>
      </c>
    </row>
    <row r="18" customFormat="false" ht="66" hidden="false" customHeight="true" outlineLevel="0" collapsed="false">
      <c r="A18" s="8" t="s">
        <v>44</v>
      </c>
      <c r="B18" s="9" t="s">
        <v>45</v>
      </c>
      <c r="C18" s="8" t="s">
        <v>46</v>
      </c>
      <c r="D18" s="10" t="s">
        <v>47</v>
      </c>
      <c r="E18" s="8" t="s">
        <v>48</v>
      </c>
      <c r="F18" s="8" t="s">
        <v>49</v>
      </c>
      <c r="G18" s="11" t="n">
        <f aca="false">SUMIFS('Line items'!$L$5:$L$17,'Line items'!$G$5:$G$17,$B18,'Line items'!$F$5:$F$17,$C18)</f>
        <v>250</v>
      </c>
      <c r="H18" s="12" t="n">
        <f aca="false">SUMIFS('Line items'!$M$5:$M$17,'Line items'!$G$5:$G$17,$B18,'Line items'!$F$5:$F$17,$C18)</f>
        <v>2383.55</v>
      </c>
      <c r="I18" s="12" t="n">
        <f aca="false">SUMIFS('Line items'!$N$5:$N$17,'Line items'!$G$5:$G$17,$B18,'Line items'!$F$5:$F$17,$C18)</f>
        <v>2836.44</v>
      </c>
      <c r="J18" s="12" t="n">
        <f aca="false">SUMIFS('Line items'!$P$5:$P$17,'Line items'!$G$5:$G$17,$B18,'Line items'!$F$5:$F$17,$C18)</f>
        <v>18647.19</v>
      </c>
      <c r="K18" s="12" t="n">
        <f aca="false">SUMIFS('Line items'!$Q$5:$Q$17,'Line items'!$G$5:$G$17,$B18,'Line items'!$F$5:$F$17,$C18)</f>
        <v>286.02</v>
      </c>
      <c r="L18" s="12" t="n">
        <f aca="false">ROUND($C$15*J18/'Line items'!$P$18,2)</f>
        <v>161.32</v>
      </c>
      <c r="M18" s="13" t="n">
        <f aca="false">J18+K18+L18</f>
        <v>19094.53</v>
      </c>
      <c r="N18" s="14" t="s">
        <v>50</v>
      </c>
      <c r="O18" s="8" t="s">
        <v>51</v>
      </c>
      <c r="P18" s="8" t="s">
        <v>52</v>
      </c>
      <c r="Q18" s="15" t="s">
        <v>53</v>
      </c>
      <c r="R18" s="16" t="s">
        <v>54</v>
      </c>
      <c r="S18" s="8" t="s">
        <v>55</v>
      </c>
    </row>
    <row r="19" customFormat="false" ht="66" hidden="false" customHeight="true" outlineLevel="0" collapsed="false">
      <c r="A19" s="8" t="s">
        <v>44</v>
      </c>
      <c r="B19" s="9" t="s">
        <v>45</v>
      </c>
      <c r="C19" s="8" t="s">
        <v>56</v>
      </c>
      <c r="D19" s="17" t="s">
        <v>57</v>
      </c>
      <c r="E19" s="8" t="s">
        <v>58</v>
      </c>
      <c r="F19" s="8" t="s">
        <v>59</v>
      </c>
      <c r="G19" s="11" t="n">
        <f aca="false">SUMIFS('Line items'!$L$5:$L$17,'Line items'!$G$5:$G$17,$B19,'Line items'!$F$5:$F$17,$C19)</f>
        <v>248</v>
      </c>
      <c r="H19" s="12" t="n">
        <f aca="false">SUMIFS('Line items'!$M$5:$M$17,'Line items'!$G$5:$G$17,$B19,'Line items'!$F$5:$F$17,$C19)</f>
        <v>6303.26</v>
      </c>
      <c r="I19" s="12" t="n">
        <f aca="false">SUMIFS('Line items'!$N$5:$N$17,'Line items'!$G$5:$G$17,$B19,'Line items'!$F$5:$F$17,$C19)</f>
        <v>6907.4</v>
      </c>
      <c r="J19" s="12" t="n">
        <f aca="false">SUMIFS('Line items'!$P$5:$P$17,'Line items'!$G$5:$G$17,$B19,'Line items'!$F$5:$F$17,$C19)</f>
        <v>33613.6</v>
      </c>
      <c r="K19" s="12" t="n">
        <f aca="false">SUMIFS('Line items'!$Q$5:$Q$17,'Line items'!$G$5:$G$17,$B19,'Line items'!$F$5:$F$17,$C19)</f>
        <v>295.72</v>
      </c>
      <c r="L19" s="12" t="n">
        <f aca="false">ROUND($C$15*J19/'Line items'!$P$18,2)</f>
        <v>290.8</v>
      </c>
      <c r="M19" s="13" t="n">
        <f aca="false">J19+K19+L19</f>
        <v>34200.12</v>
      </c>
      <c r="N19" s="14" t="n">
        <f aca="false">'F-gas'!$H$9</f>
        <v>106.822</v>
      </c>
      <c r="O19" s="8" t="s">
        <v>51</v>
      </c>
      <c r="P19" s="8" t="s">
        <v>52</v>
      </c>
      <c r="Q19" s="15" t="s">
        <v>53</v>
      </c>
      <c r="R19" s="16" t="s">
        <v>54</v>
      </c>
      <c r="S19" s="8" t="s">
        <v>55</v>
      </c>
    </row>
    <row r="20" customFormat="false" ht="66" hidden="false" customHeight="true" outlineLevel="0" collapsed="false">
      <c r="A20" s="8" t="s">
        <v>44</v>
      </c>
      <c r="B20" s="9" t="s">
        <v>60</v>
      </c>
      <c r="C20" s="8" t="s">
        <v>61</v>
      </c>
      <c r="D20" s="10" t="s">
        <v>47</v>
      </c>
      <c r="E20" s="8" t="s">
        <v>62</v>
      </c>
      <c r="F20" s="8" t="s">
        <v>63</v>
      </c>
      <c r="G20" s="11" t="n">
        <f aca="false">SUMIFS('Line items'!$L$5:$L$17,'Line items'!$G$5:$G$17,$B20,'Line items'!$F$5:$F$17,$C20)</f>
        <v>246</v>
      </c>
      <c r="H20" s="12" t="n">
        <f aca="false">SUMIFS('Line items'!$M$5:$M$17,'Line items'!$G$5:$G$17,$B20,'Line items'!$F$5:$F$17,$C20)</f>
        <v>4</v>
      </c>
      <c r="I20" s="12" t="n">
        <f aca="false">SUMIFS('Line items'!$N$5:$N$17,'Line items'!$G$5:$G$17,$B20,'Line items'!$F$5:$F$17,$C20)</f>
        <v>4.6</v>
      </c>
      <c r="J20" s="12" t="n">
        <f aca="false">SUMIFS('Line items'!$P$5:$P$17,'Line items'!$G$5:$G$17,$B20,'Line items'!$F$5:$F$17,$C20)</f>
        <v>2066.4</v>
      </c>
      <c r="K20" s="12" t="n">
        <f aca="false">SUMIFS('Line items'!$Q$5:$Q$17,'Line items'!$G$5:$G$17,$B20,'Line items'!$F$5:$F$17,$C20)</f>
        <v>0</v>
      </c>
      <c r="L20" s="12" t="n">
        <f aca="false">ROUND($C$15*J20/'Line items'!$P$18,2)</f>
        <v>17.88</v>
      </c>
      <c r="M20" s="13" t="n">
        <f aca="false">J20+K20+L20</f>
        <v>2084.28</v>
      </c>
      <c r="N20" s="14" t="s">
        <v>50</v>
      </c>
      <c r="O20" s="8" t="s">
        <v>51</v>
      </c>
      <c r="P20" s="8" t="s">
        <v>52</v>
      </c>
      <c r="Q20" s="15" t="s">
        <v>53</v>
      </c>
      <c r="R20" s="16" t="s">
        <v>54</v>
      </c>
      <c r="S20" s="8" t="s">
        <v>55</v>
      </c>
    </row>
    <row r="21" customFormat="false" ht="15" hidden="false" customHeight="false" outlineLevel="0" collapsed="false">
      <c r="A21" s="18" t="s">
        <v>64</v>
      </c>
      <c r="B21" s="18"/>
      <c r="C21" s="18"/>
      <c r="D21" s="18"/>
      <c r="E21" s="18"/>
      <c r="F21" s="18"/>
      <c r="G21" s="19" t="n">
        <f aca="false">SUM(G18:G20)</f>
        <v>744</v>
      </c>
      <c r="H21" s="20" t="n">
        <f aca="false">SUM(H18:H20)</f>
        <v>8690.81</v>
      </c>
      <c r="I21" s="20" t="n">
        <f aca="false">SUM(I18:I20)</f>
        <v>9748.44</v>
      </c>
      <c r="J21" s="20" t="n">
        <f aca="false">SUM(J18:J20)</f>
        <v>54327.19</v>
      </c>
      <c r="K21" s="20" t="n">
        <f aca="false">SUM(K18:K20)</f>
        <v>581.74</v>
      </c>
      <c r="L21" s="20" t="n">
        <f aca="false">SUM(L18:L20)</f>
        <v>470</v>
      </c>
      <c r="M21" s="20" t="n">
        <f aca="false">SUM(M18:M20)</f>
        <v>55378.93</v>
      </c>
      <c r="N21" s="18"/>
      <c r="O21" s="18"/>
      <c r="P21" s="18"/>
      <c r="Q21" s="18"/>
      <c r="R21" s="18"/>
      <c r="S21" s="18"/>
    </row>
    <row r="23" customFormat="false" ht="15" hidden="false" customHeight="false" outlineLevel="0" collapsed="false">
      <c r="A23" s="21" t="s">
        <v>65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customFormat="false" ht="30" hidden="false" customHeight="true" outlineLevel="0" collapsed="false">
      <c r="A24" s="22" t="s">
        <v>66</v>
      </c>
      <c r="B24" s="22"/>
      <c r="C24" s="22"/>
      <c r="D24" s="22"/>
      <c r="E24" s="22"/>
      <c r="F24" s="22"/>
      <c r="G24" s="23" t="n">
        <f aca="false">J21</f>
        <v>54327.19</v>
      </c>
      <c r="H24" s="24" t="s">
        <v>67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customFormat="false" ht="30" hidden="false" customHeight="true" outlineLevel="0" collapsed="false">
      <c r="A25" s="22" t="s">
        <v>68</v>
      </c>
      <c r="B25" s="22"/>
      <c r="C25" s="22"/>
      <c r="D25" s="22"/>
      <c r="E25" s="22"/>
      <c r="F25" s="22"/>
      <c r="G25" s="23" t="n">
        <f aca="false">K21</f>
        <v>581.74</v>
      </c>
      <c r="H25" s="24" t="s">
        <v>69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customFormat="false" ht="30" hidden="false" customHeight="true" outlineLevel="0" collapsed="false">
      <c r="A26" s="22" t="s">
        <v>70</v>
      </c>
      <c r="B26" s="22"/>
      <c r="C26" s="22"/>
      <c r="D26" s="22"/>
      <c r="E26" s="22"/>
      <c r="F26" s="22"/>
      <c r="G26" s="23" t="n">
        <f aca="false">L21</f>
        <v>470</v>
      </c>
      <c r="H26" s="24" t="s">
        <v>71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customFormat="false" ht="30" hidden="false" customHeight="true" outlineLevel="0" collapsed="false">
      <c r="A27" s="18" t="s">
        <v>72</v>
      </c>
      <c r="B27" s="18"/>
      <c r="C27" s="18"/>
      <c r="D27" s="18"/>
      <c r="E27" s="18"/>
      <c r="F27" s="18"/>
      <c r="G27" s="20" t="n">
        <f aca="false">M21</f>
        <v>55378.93</v>
      </c>
      <c r="H27" s="25" t="s">
        <v>73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customFormat="false" ht="30" hidden="false" customHeight="true" outlineLevel="0" collapsed="false">
      <c r="A28" s="26" t="s">
        <v>74</v>
      </c>
      <c r="B28" s="26"/>
      <c r="C28" s="26"/>
      <c r="D28" s="26"/>
      <c r="E28" s="26"/>
      <c r="F28" s="26"/>
      <c r="G28" s="27" t="s">
        <v>75</v>
      </c>
      <c r="H28" s="28" t="s">
        <v>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customFormat="false" ht="30" hidden="false" customHeight="true" outlineLevel="0" collapsed="false">
      <c r="A29" s="22" t="s">
        <v>77</v>
      </c>
      <c r="B29" s="22"/>
      <c r="C29" s="22"/>
      <c r="D29" s="22"/>
      <c r="E29" s="22"/>
      <c r="F29" s="22"/>
      <c r="G29" s="23" t="n">
        <v>2135.2</v>
      </c>
      <c r="H29" s="24" t="s">
        <v>78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customFormat="false" ht="15" hidden="false" customHeight="false" outlineLevel="0" collapsed="false">
      <c r="A30" s="18" t="s">
        <v>79</v>
      </c>
      <c r="B30" s="18"/>
      <c r="C30" s="18"/>
      <c r="D30" s="18"/>
      <c r="E30" s="18"/>
      <c r="F30" s="18"/>
      <c r="G30" s="29" t="n">
        <f aca="false">G27+G29</f>
        <v>57514.13</v>
      </c>
      <c r="H30" s="30" t="s">
        <v>80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</sheetData>
  <mergeCells count="28">
    <mergeCell ref="A1:S1"/>
    <mergeCell ref="C3:S3"/>
    <mergeCell ref="C4:S4"/>
    <mergeCell ref="C5:S5"/>
    <mergeCell ref="C6:S6"/>
    <mergeCell ref="C7:S7"/>
    <mergeCell ref="C8:S8"/>
    <mergeCell ref="C9:S9"/>
    <mergeCell ref="C10:S10"/>
    <mergeCell ref="C11:S11"/>
    <mergeCell ref="C12:S12"/>
    <mergeCell ref="C13:S13"/>
    <mergeCell ref="C14:S14"/>
    <mergeCell ref="A23:S23"/>
    <mergeCell ref="A24:F24"/>
    <mergeCell ref="H24:S24"/>
    <mergeCell ref="A25:F25"/>
    <mergeCell ref="H25:S25"/>
    <mergeCell ref="A26:F26"/>
    <mergeCell ref="H26:S26"/>
    <mergeCell ref="A27:F27"/>
    <mergeCell ref="H27:S27"/>
    <mergeCell ref="A28:F28"/>
    <mergeCell ref="H28:S28"/>
    <mergeCell ref="A29:F29"/>
    <mergeCell ref="H29:S29"/>
    <mergeCell ref="A30:F30"/>
    <mergeCell ref="H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31" t="s">
        <v>81</v>
      </c>
    </row>
    <row r="2" customFormat="false" ht="27.75" hidden="false" customHeight="true" outlineLevel="0" collapsed="false">
      <c r="A2" s="32" t="s">
        <v>82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4" customFormat="false" ht="15" hidden="false" customHeight="false" outlineLevel="0" collapsed="false">
      <c r="A4" s="2" t="s">
        <v>83</v>
      </c>
      <c r="D4" s="33"/>
      <c r="E4" s="34" t="s">
        <v>84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6" customFormat="false" ht="45.75" hidden="false" customHeight="true" outlineLevel="0" collapsed="false">
      <c r="A6" s="7" t="s">
        <v>85</v>
      </c>
      <c r="B6" s="7" t="s">
        <v>26</v>
      </c>
      <c r="C6" s="7" t="s">
        <v>86</v>
      </c>
      <c r="D6" s="7" t="s">
        <v>29</v>
      </c>
      <c r="E6" s="7" t="s">
        <v>87</v>
      </c>
      <c r="F6" s="7" t="s">
        <v>88</v>
      </c>
      <c r="G6" s="7" t="s">
        <v>89</v>
      </c>
      <c r="H6" s="7" t="s">
        <v>90</v>
      </c>
      <c r="I6" s="7" t="s">
        <v>91</v>
      </c>
      <c r="J6" s="7" t="s">
        <v>36</v>
      </c>
      <c r="K6" s="7" t="s">
        <v>92</v>
      </c>
      <c r="L6" s="7" t="s">
        <v>37</v>
      </c>
      <c r="M6" s="7" t="s">
        <v>93</v>
      </c>
      <c r="N6" s="7" t="s">
        <v>94</v>
      </c>
      <c r="O6" s="7" t="s">
        <v>95</v>
      </c>
      <c r="P6" s="7" t="s">
        <v>96</v>
      </c>
    </row>
    <row r="7" customFormat="false" ht="57.75" hidden="false" customHeight="true" outlineLevel="0" collapsed="false">
      <c r="A7" s="35" t="n">
        <v>1</v>
      </c>
      <c r="B7" s="36" t="s">
        <v>45</v>
      </c>
      <c r="C7" s="37" t="s">
        <v>97</v>
      </c>
      <c r="D7" s="8" t="s">
        <v>98</v>
      </c>
      <c r="E7" s="8" t="s">
        <v>99</v>
      </c>
      <c r="F7" s="11" t="n">
        <f aca="false">SUMIFS('Line items'!$J$5:$J$17,'Line items'!$G$5:$G$17,"84151090",'Line items'!$F$5:$F$17,"Vnitřní / Indoor")</f>
        <v>246</v>
      </c>
      <c r="G7" s="12" t="n">
        <f aca="false">SUMPRODUCT(('Line items'!$G$5:$G$17="84151090")*('Line items'!$F$5:$F$17="Vnitřní / Indoor")*'Line items'!$J$5:$J$17*'Line items'!$M$5:$M$17/'Line items'!$L$5:$L$17)</f>
        <v>2347.42</v>
      </c>
      <c r="H7" s="12" t="n">
        <f aca="false">SUMPRODUCT(('Line items'!$G$5:$G$17="84151090")*('Line items'!$F$5:$F$17="Vnitřní / Indoor")*'Line items'!$J$5:$J$17*'Line items'!$N$5:$N$17/'Line items'!$L$5:$L$17)</f>
        <v>2792.91</v>
      </c>
      <c r="I7" s="12" t="n">
        <f aca="false">SUMIFS('Line items'!$P$5:$P$17,'Line items'!$G$5:$G$17,"84151090",'Line items'!$F$5:$F$17,"Vnitřní / Indoor")</f>
        <v>18647.19</v>
      </c>
      <c r="J7" s="12" t="n">
        <f aca="false">ROUND('HS Code Summary'!$C$15*I7/'Line items'!$P$18,2)</f>
        <v>161.32</v>
      </c>
      <c r="K7" s="12" t="n">
        <f aca="false">ROUND(IF($D$4="",0,$D$4)*H7/'Line items'!$N$18,2)</f>
        <v>0</v>
      </c>
      <c r="L7" s="13" t="n">
        <f aca="false">I7+J7+K7</f>
        <v>18808.51</v>
      </c>
      <c r="M7" s="8" t="s">
        <v>100</v>
      </c>
      <c r="N7" s="8" t="s">
        <v>101</v>
      </c>
      <c r="O7" s="38" t="s">
        <v>50</v>
      </c>
      <c r="P7" s="8" t="s">
        <v>102</v>
      </c>
    </row>
    <row r="8" customFormat="false" ht="57.75" hidden="false" customHeight="true" outlineLevel="0" collapsed="false">
      <c r="A8" s="35" t="n">
        <v>2</v>
      </c>
      <c r="B8" s="36" t="s">
        <v>45</v>
      </c>
      <c r="C8" s="39" t="s">
        <v>103</v>
      </c>
      <c r="D8" s="8" t="s">
        <v>104</v>
      </c>
      <c r="E8" s="8" t="s">
        <v>99</v>
      </c>
      <c r="F8" s="11" t="n">
        <f aca="false">SUMIFS('Line items'!$J$5:$J$17,'Line items'!$G$5:$G$17,"84151090",'Line items'!$F$5:$F$17,"Venkovní / Outdoor")</f>
        <v>246</v>
      </c>
      <c r="G8" s="12" t="n">
        <f aca="false">SUMPRODUCT(('Line items'!$G$5:$G$17="84151090")*('Line items'!$F$5:$F$17="Venkovní / Outdoor")*'Line items'!$J$5:$J$17*'Line items'!$M$5:$M$17/'Line items'!$L$5:$L$17)</f>
        <v>6249.72</v>
      </c>
      <c r="H8" s="12" t="n">
        <f aca="false">SUMPRODUCT(('Line items'!$G$5:$G$17="84151090")*('Line items'!$F$5:$F$17="Venkovní / Outdoor")*'Line items'!$J$5:$J$17*'Line items'!$N$5:$N$17/'Line items'!$L$5:$L$17)</f>
        <v>6848.72</v>
      </c>
      <c r="I8" s="12" t="n">
        <f aca="false">SUMIFS('Line items'!$P$5:$P$17,'Line items'!$G$5:$G$17,"84151090",'Line items'!$F$5:$F$17,"Venkovní / Outdoor")</f>
        <v>33613.6</v>
      </c>
      <c r="J8" s="12" t="n">
        <f aca="false">ROUND('HS Code Summary'!$C$15*I8/'Line items'!$P$18,2)</f>
        <v>290.8</v>
      </c>
      <c r="K8" s="12" t="n">
        <f aca="false">ROUND(IF($D$4="",0,$D$4)*H8/'Line items'!$N$18,2)</f>
        <v>0</v>
      </c>
      <c r="L8" s="13" t="n">
        <f aca="false">I8+J8+K8</f>
        <v>33904.4</v>
      </c>
      <c r="M8" s="8" t="s">
        <v>100</v>
      </c>
      <c r="N8" s="8" t="s">
        <v>101</v>
      </c>
      <c r="O8" s="38" t="n">
        <f aca="false">105.85</f>
        <v>105.85</v>
      </c>
      <c r="P8" s="8" t="s">
        <v>105</v>
      </c>
    </row>
    <row r="9" customFormat="false" ht="57.75" hidden="false" customHeight="true" outlineLevel="0" collapsed="false">
      <c r="A9" s="40" t="n">
        <v>3</v>
      </c>
      <c r="B9" s="41" t="s">
        <v>45</v>
      </c>
      <c r="C9" s="37" t="s">
        <v>97</v>
      </c>
      <c r="D9" s="42" t="s">
        <v>106</v>
      </c>
      <c r="E9" s="42" t="s">
        <v>107</v>
      </c>
      <c r="F9" s="11" t="n">
        <f aca="false">SUMIFS('Line items'!$K$5:$K$17,'Line items'!$G$5:$G$17,"84151090",'Line items'!$F$5:$F$17,"Vnitřní / Indoor")</f>
        <v>4</v>
      </c>
      <c r="G9" s="12" t="n">
        <f aca="false">SUMPRODUCT(('Line items'!$G$5:$G$17="84151090")*('Line items'!$F$5:$F$17="Vnitřní / Indoor")*'Line items'!$K$5:$K$17*'Line items'!$M$5:$M$17/'Line items'!$L$5:$L$17)</f>
        <v>36.13</v>
      </c>
      <c r="H9" s="12" t="n">
        <f aca="false">SUMPRODUCT(('Line items'!$G$5:$G$17="84151090")*('Line items'!$F$5:$F$17="Vnitřní / Indoor")*'Line items'!$K$5:$K$17*'Line items'!$N$5:$N$17/'Line items'!$L$5:$L$17)</f>
        <v>43.53</v>
      </c>
      <c r="I9" s="12" t="n">
        <f aca="false">SUMIFS('Line items'!$Q$5:$Q$17,'Line items'!$G$5:$G$17,"84151090",'Line items'!$F$5:$F$17,"Vnitřní / Indoor")</f>
        <v>286.02</v>
      </c>
      <c r="J9" s="12" t="n">
        <v>0</v>
      </c>
      <c r="K9" s="12" t="n">
        <f aca="false">ROUND(IF($D$4="",0,$D$4)*H9/'Line items'!$N$18,2)</f>
        <v>0</v>
      </c>
      <c r="L9" s="13" t="n">
        <f aca="false">I9+J9+K9</f>
        <v>286.02</v>
      </c>
      <c r="M9" s="42" t="s">
        <v>108</v>
      </c>
      <c r="N9" s="42" t="s">
        <v>109</v>
      </c>
      <c r="O9" s="38" t="s">
        <v>50</v>
      </c>
      <c r="P9" s="42" t="s">
        <v>110</v>
      </c>
    </row>
    <row r="10" customFormat="false" ht="57.75" hidden="false" customHeight="true" outlineLevel="0" collapsed="false">
      <c r="A10" s="40" t="n">
        <v>4</v>
      </c>
      <c r="B10" s="41" t="s">
        <v>45</v>
      </c>
      <c r="C10" s="39" t="s">
        <v>103</v>
      </c>
      <c r="D10" s="42" t="s">
        <v>111</v>
      </c>
      <c r="E10" s="42" t="s">
        <v>107</v>
      </c>
      <c r="F10" s="11" t="n">
        <f aca="false">SUMIFS('Line items'!$K$5:$K$17,'Line items'!$G$5:$G$17,"84151090",'Line items'!$F$5:$F$17,"Venkovní / Outdoor")</f>
        <v>2</v>
      </c>
      <c r="G10" s="12" t="n">
        <f aca="false">SUMPRODUCT(('Line items'!$G$5:$G$17="84151090")*('Line items'!$F$5:$F$17="Venkovní / Outdoor")*'Line items'!$K$5:$K$17*'Line items'!$M$5:$M$17/'Line items'!$L$5:$L$17)</f>
        <v>53.54</v>
      </c>
      <c r="H10" s="12" t="n">
        <f aca="false">SUMPRODUCT(('Line items'!$G$5:$G$17="84151090")*('Line items'!$F$5:$F$17="Venkovní / Outdoor")*'Line items'!$K$5:$K$17*'Line items'!$N$5:$N$17/'Line items'!$L$5:$L$17)</f>
        <v>58.68</v>
      </c>
      <c r="I10" s="12" t="n">
        <f aca="false">SUMIFS('Line items'!$Q$5:$Q$17,'Line items'!$G$5:$G$17,"84151090",'Line items'!$F$5:$F$17,"Venkovní / Outdoor")</f>
        <v>295.72</v>
      </c>
      <c r="J10" s="12" t="n">
        <v>0</v>
      </c>
      <c r="K10" s="12" t="n">
        <f aca="false">ROUND(IF($D$4="",0,$D$4)*H10/'Line items'!$N$18,2)</f>
        <v>0</v>
      </c>
      <c r="L10" s="13" t="n">
        <f aca="false">I10+J10+K10</f>
        <v>295.72</v>
      </c>
      <c r="M10" s="42" t="s">
        <v>108</v>
      </c>
      <c r="N10" s="42" t="s">
        <v>109</v>
      </c>
      <c r="O10" s="38" t="n">
        <f aca="false">0.91</f>
        <v>0.91</v>
      </c>
      <c r="P10" s="42" t="s">
        <v>112</v>
      </c>
    </row>
    <row r="11" customFormat="false" ht="57.75" hidden="false" customHeight="true" outlineLevel="0" collapsed="false">
      <c r="A11" s="35" t="n">
        <v>5</v>
      </c>
      <c r="B11" s="36" t="s">
        <v>60</v>
      </c>
      <c r="C11" s="37" t="s">
        <v>97</v>
      </c>
      <c r="D11" s="8" t="s">
        <v>62</v>
      </c>
      <c r="E11" s="8" t="s">
        <v>99</v>
      </c>
      <c r="F11" s="11" t="n">
        <f aca="false">SUMIFS('Line items'!$J$5:$J$17,'Line items'!$G$5:$G$17,"84159000",'Line items'!$F$5:$F$17,"Díl / Part")</f>
        <v>246</v>
      </c>
      <c r="G11" s="12" t="n">
        <f aca="false">SUMPRODUCT(('Line items'!$G$5:$G$17="84159000")*('Line items'!$F$5:$F$17="Díl / Part")*'Line items'!$J$5:$J$17*'Line items'!$M$5:$M$17/'Line items'!$L$5:$L$17)</f>
        <v>4</v>
      </c>
      <c r="H11" s="12" t="n">
        <f aca="false">SUMPRODUCT(('Line items'!$G$5:$G$17="84159000")*('Line items'!$F$5:$F$17="Díl / Part")*'Line items'!$J$5:$J$17*'Line items'!$N$5:$N$17/'Line items'!$L$5:$L$17)</f>
        <v>4.6</v>
      </c>
      <c r="I11" s="12" t="n">
        <f aca="false">SUMIFS('Line items'!$P$5:$P$17,'Line items'!$G$5:$G$17,"84159000",'Line items'!$F$5:$F$17,"Díl / Part")</f>
        <v>2066.4</v>
      </c>
      <c r="J11" s="12" t="n">
        <f aca="false">ROUND('HS Code Summary'!$C$15*I11/'Line items'!$P$18,2)</f>
        <v>17.88</v>
      </c>
      <c r="K11" s="12" t="n">
        <f aca="false">ROUND(IF($D$4="",0,$D$4)*H11/'Line items'!$N$18,2)</f>
        <v>0</v>
      </c>
      <c r="L11" s="13" t="n">
        <f aca="false">I11+J11+K11</f>
        <v>2084.28</v>
      </c>
      <c r="M11" s="8" t="s">
        <v>100</v>
      </c>
      <c r="N11" s="8" t="s">
        <v>101</v>
      </c>
      <c r="O11" s="38" t="s">
        <v>50</v>
      </c>
      <c r="P11" s="8" t="s">
        <v>102</v>
      </c>
    </row>
    <row r="12" customFormat="false" ht="15" hidden="false" customHeight="false" outlineLevel="0" collapsed="false">
      <c r="A12" s="18" t="s">
        <v>113</v>
      </c>
      <c r="B12" s="18"/>
      <c r="C12" s="18"/>
      <c r="D12" s="18"/>
      <c r="E12" s="18"/>
      <c r="F12" s="19" t="n">
        <f aca="false">SUM(F7:F11)</f>
        <v>744</v>
      </c>
      <c r="G12" s="20" t="n">
        <f aca="false">SUM(G7:G11)</f>
        <v>8690.81</v>
      </c>
      <c r="H12" s="20" t="n">
        <f aca="false">SUM(H7:H11)</f>
        <v>9748.44</v>
      </c>
      <c r="I12" s="20" t="n">
        <f aca="false">SUM(I7:I11)</f>
        <v>54908.93</v>
      </c>
      <c r="J12" s="20" t="n">
        <f aca="false">SUM(J7:J11)</f>
        <v>470</v>
      </c>
      <c r="K12" s="20" t="n">
        <f aca="false">SUM(K7:K11)</f>
        <v>0</v>
      </c>
      <c r="L12" s="20" t="n">
        <f aca="false">SUM(L7:L11)</f>
        <v>55378.93</v>
      </c>
      <c r="M12" s="18"/>
      <c r="N12" s="18"/>
      <c r="O12" s="18"/>
      <c r="P12" s="18"/>
    </row>
    <row r="14" customFormat="false" ht="27.75" hidden="false" customHeight="true" outlineLevel="0" collapsed="false">
      <c r="A14" s="43" t="s">
        <v>114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customFormat="false" ht="27.75" hidden="false" customHeight="true" outlineLevel="0" collapsed="false">
      <c r="A15" s="44" t="s">
        <v>115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customFormat="false" ht="27.75" hidden="false" customHeight="true" outlineLevel="0" collapsed="false">
      <c r="A16" s="43" t="s">
        <v>116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27.75" hidden="false" customHeight="true" outlineLevel="0" collapsed="false">
      <c r="A17" s="45" t="s">
        <v>117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</sheetData>
  <mergeCells count="6">
    <mergeCell ref="A2:P2"/>
    <mergeCell ref="E4:P4"/>
    <mergeCell ref="A14:P14"/>
    <mergeCell ref="A15:P15"/>
    <mergeCell ref="A16:P16"/>
    <mergeCell ref="A17:P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31" t="s">
        <v>118</v>
      </c>
    </row>
    <row r="2" customFormat="false" ht="25.5" hidden="false" customHeight="true" outlineLevel="0" collapsed="false">
      <c r="A2" s="32" t="s">
        <v>119</v>
      </c>
      <c r="B2" s="32"/>
      <c r="C2" s="32"/>
      <c r="D2" s="32"/>
      <c r="E2" s="32"/>
      <c r="F2" s="32"/>
      <c r="G2" s="32"/>
      <c r="H2" s="32"/>
      <c r="I2" s="32"/>
      <c r="J2" s="32"/>
    </row>
    <row r="4" customFormat="false" ht="15" hidden="false" customHeight="false" outlineLevel="0" collapsed="false">
      <c r="A4" s="21" t="s">
        <v>120</v>
      </c>
      <c r="B4" s="21"/>
      <c r="C4" s="21"/>
      <c r="D4" s="21"/>
      <c r="E4" s="21"/>
      <c r="F4" s="21"/>
      <c r="G4" s="21"/>
      <c r="H4" s="21"/>
      <c r="I4" s="21"/>
      <c r="J4" s="21"/>
    </row>
    <row r="5" customFormat="false" ht="39.75" hidden="false" customHeight="true" outlineLevel="0" collapsed="false">
      <c r="A5" s="7" t="s">
        <v>121</v>
      </c>
      <c r="B5" s="7" t="s">
        <v>122</v>
      </c>
      <c r="C5" s="7" t="s">
        <v>123</v>
      </c>
      <c r="D5" s="7" t="s">
        <v>27</v>
      </c>
      <c r="E5" s="7" t="s">
        <v>86</v>
      </c>
      <c r="F5" s="7" t="s">
        <v>26</v>
      </c>
      <c r="G5" s="7" t="s">
        <v>124</v>
      </c>
      <c r="H5" s="7" t="s">
        <v>89</v>
      </c>
      <c r="I5" s="7" t="s">
        <v>90</v>
      </c>
      <c r="J5" s="7" t="s">
        <v>125</v>
      </c>
    </row>
    <row r="6" customFormat="false" ht="15" hidden="false" customHeight="false" outlineLevel="0" collapsed="false">
      <c r="A6" s="35" t="n">
        <v>10</v>
      </c>
      <c r="B6" s="46" t="s">
        <v>126</v>
      </c>
      <c r="C6" s="46" t="s">
        <v>127</v>
      </c>
      <c r="D6" s="46" t="s">
        <v>46</v>
      </c>
      <c r="E6" s="37" t="s">
        <v>97</v>
      </c>
      <c r="F6" s="35" t="s">
        <v>45</v>
      </c>
      <c r="G6" s="47" t="n">
        <f aca="false">'Line items'!$K$6</f>
        <v>1</v>
      </c>
      <c r="H6" s="48" t="n">
        <f aca="false">ROUND('Line items'!$M$6/'Line items'!$L$6*G6,2)</f>
        <v>9.83</v>
      </c>
      <c r="I6" s="48" t="n">
        <f aca="false">ROUND('Line items'!$N$6/'Line items'!$L$6*G6,2)</f>
        <v>11.73</v>
      </c>
      <c r="J6" s="48" t="n">
        <f aca="false">'Line items'!$Q$6</f>
        <v>63.24</v>
      </c>
    </row>
    <row r="7" customFormat="false" ht="15" hidden="false" customHeight="false" outlineLevel="0" collapsed="false">
      <c r="A7" s="35" t="n">
        <v>20</v>
      </c>
      <c r="B7" s="46" t="s">
        <v>128</v>
      </c>
      <c r="C7" s="46" t="s">
        <v>129</v>
      </c>
      <c r="D7" s="46" t="s">
        <v>56</v>
      </c>
      <c r="E7" s="39" t="s">
        <v>103</v>
      </c>
      <c r="F7" s="35" t="s">
        <v>45</v>
      </c>
      <c r="G7" s="47" t="n">
        <f aca="false">'Line items'!$K$14</f>
        <v>1</v>
      </c>
      <c r="H7" s="48" t="n">
        <f aca="false">ROUND('Line items'!$M$14/'Line items'!$L$14*G7,2)</f>
        <v>23.32</v>
      </c>
      <c r="I7" s="48" t="n">
        <f aca="false">ROUND('Line items'!$N$14/'Line items'!$L$14*G7,2)</f>
        <v>25.62</v>
      </c>
      <c r="J7" s="48" t="n">
        <f aca="false">'Line items'!$Q$14</f>
        <v>113.1</v>
      </c>
    </row>
    <row r="8" customFormat="false" ht="15" hidden="false" customHeight="false" outlineLevel="0" collapsed="false">
      <c r="A8" s="35" t="n">
        <v>30</v>
      </c>
      <c r="B8" s="46" t="s">
        <v>130</v>
      </c>
      <c r="C8" s="46" t="s">
        <v>131</v>
      </c>
      <c r="D8" s="46" t="s">
        <v>56</v>
      </c>
      <c r="E8" s="39" t="s">
        <v>103</v>
      </c>
      <c r="F8" s="35" t="s">
        <v>45</v>
      </c>
      <c r="G8" s="47" t="n">
        <f aca="false">'Line items'!$K$15</f>
        <v>1</v>
      </c>
      <c r="H8" s="48" t="n">
        <f aca="false">ROUND('Line items'!$M$15/'Line items'!$L$15*G8,2)</f>
        <v>30.22</v>
      </c>
      <c r="I8" s="48" t="n">
        <f aca="false">ROUND('Line items'!$N$15/'Line items'!$L$15*G8,2)</f>
        <v>33.06</v>
      </c>
      <c r="J8" s="48" t="n">
        <f aca="false">'Line items'!$Q$15</f>
        <v>182.62</v>
      </c>
    </row>
    <row r="9" customFormat="false" ht="15" hidden="false" customHeight="false" outlineLevel="0" collapsed="false">
      <c r="A9" s="35" t="n">
        <v>40</v>
      </c>
      <c r="B9" s="46" t="s">
        <v>132</v>
      </c>
      <c r="C9" s="46" t="s">
        <v>133</v>
      </c>
      <c r="D9" s="46" t="s">
        <v>46</v>
      </c>
      <c r="E9" s="37" t="s">
        <v>97</v>
      </c>
      <c r="F9" s="35" t="s">
        <v>45</v>
      </c>
      <c r="G9" s="47" t="n">
        <f aca="false">'Line items'!$K$9</f>
        <v>1</v>
      </c>
      <c r="H9" s="48" t="n">
        <f aca="false">ROUND('Line items'!$M$9/'Line items'!$L$9*G9,2)</f>
        <v>7.72</v>
      </c>
      <c r="I9" s="48" t="n">
        <f aca="false">ROUND('Line items'!$N$9/'Line items'!$L$9*G9,2)</f>
        <v>9.32</v>
      </c>
      <c r="J9" s="48" t="n">
        <f aca="false">'Line items'!$Q$9</f>
        <v>57.08</v>
      </c>
    </row>
    <row r="10" customFormat="false" ht="15" hidden="false" customHeight="false" outlineLevel="0" collapsed="false">
      <c r="A10" s="35" t="n">
        <v>50</v>
      </c>
      <c r="B10" s="46" t="s">
        <v>134</v>
      </c>
      <c r="C10" s="46" t="s">
        <v>135</v>
      </c>
      <c r="D10" s="46" t="s">
        <v>46</v>
      </c>
      <c r="E10" s="37" t="s">
        <v>97</v>
      </c>
      <c r="F10" s="35" t="s">
        <v>45</v>
      </c>
      <c r="G10" s="47" t="n">
        <f aca="false">'Line items'!$K$10</f>
        <v>1</v>
      </c>
      <c r="H10" s="48" t="n">
        <f aca="false">ROUND('Line items'!$M$10/'Line items'!$L$10*G10,2)</f>
        <v>9.06</v>
      </c>
      <c r="I10" s="48" t="n">
        <f aca="false">ROUND('Line items'!$N$10/'Line items'!$L$10*G10,2)</f>
        <v>10.94</v>
      </c>
      <c r="J10" s="48" t="n">
        <f aca="false">'Line items'!$Q$10</f>
        <v>62.21</v>
      </c>
    </row>
    <row r="11" customFormat="false" ht="15" hidden="false" customHeight="false" outlineLevel="0" collapsed="false">
      <c r="A11" s="35" t="n">
        <v>60</v>
      </c>
      <c r="B11" s="46" t="s">
        <v>136</v>
      </c>
      <c r="C11" s="46" t="s">
        <v>137</v>
      </c>
      <c r="D11" s="46" t="s">
        <v>46</v>
      </c>
      <c r="E11" s="37" t="s">
        <v>97</v>
      </c>
      <c r="F11" s="35" t="s">
        <v>45</v>
      </c>
      <c r="G11" s="47" t="n">
        <f aca="false">'Line items'!$K$11</f>
        <v>1</v>
      </c>
      <c r="H11" s="48" t="n">
        <f aca="false">ROUND('Line items'!$M$11/'Line items'!$L$11*G11,2)</f>
        <v>9.52</v>
      </c>
      <c r="I11" s="48" t="n">
        <f aca="false">ROUND('Line items'!$N$11/'Line items'!$L$11*G11,2)</f>
        <v>11.54</v>
      </c>
      <c r="J11" s="48" t="n">
        <f aca="false">'Line items'!$Q$11</f>
        <v>103.49</v>
      </c>
    </row>
    <row r="12" customFormat="false" ht="15" hidden="false" customHeight="false" outlineLevel="0" collapsed="false">
      <c r="A12" s="18" t="s">
        <v>138</v>
      </c>
      <c r="B12" s="18"/>
      <c r="C12" s="18"/>
      <c r="D12" s="18"/>
      <c r="E12" s="18"/>
      <c r="F12" s="18"/>
      <c r="G12" s="49" t="n">
        <f aca="false">SUM(G6:G11)</f>
        <v>6</v>
      </c>
      <c r="H12" s="20" t="n">
        <f aca="false">SUM(H6:H11)</f>
        <v>89.67</v>
      </c>
      <c r="I12" s="20" t="n">
        <f aca="false">SUM(I6:I11)</f>
        <v>102.21</v>
      </c>
      <c r="J12" s="20" t="n">
        <f aca="false">SUM(J6:J11)</f>
        <v>581.74</v>
      </c>
    </row>
    <row r="14" customFormat="false" ht="15" hidden="false" customHeight="false" outlineLevel="0" collapsed="false">
      <c r="A14" s="21" t="s">
        <v>139</v>
      </c>
      <c r="B14" s="21"/>
      <c r="C14" s="21"/>
      <c r="D14" s="21"/>
      <c r="E14" s="21"/>
      <c r="F14" s="21"/>
      <c r="G14" s="21"/>
      <c r="H14" s="21"/>
      <c r="I14" s="21"/>
      <c r="J14" s="21"/>
    </row>
    <row r="15" customFormat="false" ht="15" hidden="false" customHeight="false" outlineLevel="0" collapsed="false">
      <c r="A15" s="7" t="s">
        <v>121</v>
      </c>
      <c r="B15" s="7" t="s">
        <v>140</v>
      </c>
      <c r="C15" s="7" t="s">
        <v>141</v>
      </c>
      <c r="D15" s="7"/>
      <c r="E15" s="7"/>
      <c r="F15" s="7" t="s">
        <v>142</v>
      </c>
      <c r="G15" s="7" t="s">
        <v>143</v>
      </c>
      <c r="H15" s="7"/>
      <c r="I15" s="7"/>
      <c r="J15" s="7" t="s">
        <v>125</v>
      </c>
    </row>
    <row r="16" customFormat="false" ht="23.85" hidden="false" customHeight="true" outlineLevel="0" collapsed="false">
      <c r="A16" s="35" t="n">
        <v>10</v>
      </c>
      <c r="B16" s="46" t="s">
        <v>144</v>
      </c>
      <c r="C16" s="46" t="s">
        <v>145</v>
      </c>
      <c r="D16" s="46"/>
      <c r="E16" s="46"/>
      <c r="F16" s="50" t="n">
        <v>0.91</v>
      </c>
      <c r="G16" s="48" t="n">
        <v>20</v>
      </c>
      <c r="H16" s="46"/>
      <c r="I16" s="46"/>
      <c r="J16" s="48" t="n">
        <f aca="false">ROUND(F16*G16,2)</f>
        <v>18.2</v>
      </c>
    </row>
    <row r="18" customFormat="false" ht="15" hidden="false" customHeight="false" outlineLevel="0" collapsed="false">
      <c r="A18" s="51" t="s">
        <v>146</v>
      </c>
      <c r="B18" s="51"/>
      <c r="C18" s="51"/>
      <c r="D18" s="51"/>
      <c r="E18" s="51"/>
      <c r="F18" s="51"/>
      <c r="G18" s="51"/>
      <c r="H18" s="51"/>
      <c r="I18" s="51"/>
      <c r="J18" s="51"/>
    </row>
    <row r="19" customFormat="false" ht="25.5" hidden="false" customHeight="true" outlineLevel="0" collapsed="false">
      <c r="A19" s="22" t="s">
        <v>147</v>
      </c>
      <c r="B19" s="22"/>
      <c r="C19" s="22"/>
      <c r="D19" s="22"/>
      <c r="E19" s="52" t="n">
        <f aca="false">G12</f>
        <v>6</v>
      </c>
      <c r="F19" s="53" t="s">
        <v>148</v>
      </c>
      <c r="G19" s="54" t="s">
        <v>149</v>
      </c>
      <c r="H19" s="54"/>
      <c r="I19" s="54"/>
      <c r="J19" s="54"/>
    </row>
    <row r="20" customFormat="false" ht="25.5" hidden="false" customHeight="true" outlineLevel="0" collapsed="false">
      <c r="A20" s="55" t="s">
        <v>150</v>
      </c>
      <c r="B20" s="55"/>
      <c r="C20" s="55"/>
      <c r="D20" s="55"/>
      <c r="E20" s="56" t="n">
        <f aca="false">H12</f>
        <v>89.67</v>
      </c>
      <c r="F20" s="18" t="s">
        <v>151</v>
      </c>
      <c r="G20" s="57" t="s">
        <v>152</v>
      </c>
      <c r="H20" s="57"/>
      <c r="I20" s="57"/>
      <c r="J20" s="57"/>
    </row>
    <row r="21" customFormat="false" ht="25.5" hidden="false" customHeight="true" outlineLevel="0" collapsed="false">
      <c r="A21" s="55" t="s">
        <v>153</v>
      </c>
      <c r="B21" s="55"/>
      <c r="C21" s="55"/>
      <c r="D21" s="55"/>
      <c r="E21" s="56" t="n">
        <f aca="false">I12</f>
        <v>102.21</v>
      </c>
      <c r="F21" s="18" t="s">
        <v>151</v>
      </c>
      <c r="G21" s="57" t="s">
        <v>154</v>
      </c>
      <c r="H21" s="57"/>
      <c r="I21" s="57"/>
      <c r="J21" s="57"/>
    </row>
    <row r="22" customFormat="false" ht="25.5" hidden="false" customHeight="true" outlineLevel="0" collapsed="false">
      <c r="A22" s="22" t="s">
        <v>155</v>
      </c>
      <c r="B22" s="22"/>
      <c r="C22" s="22"/>
      <c r="D22" s="22"/>
      <c r="E22" s="23" t="n">
        <f aca="false">J12</f>
        <v>581.74</v>
      </c>
      <c r="F22" s="53" t="s">
        <v>18</v>
      </c>
      <c r="G22" s="54" t="s">
        <v>156</v>
      </c>
      <c r="H22" s="54"/>
      <c r="I22" s="54"/>
      <c r="J22" s="54"/>
    </row>
    <row r="23" customFormat="false" ht="25.5" hidden="false" customHeight="true" outlineLevel="0" collapsed="false">
      <c r="A23" s="22" t="s">
        <v>157</v>
      </c>
      <c r="B23" s="22"/>
      <c r="C23" s="22"/>
      <c r="D23" s="22"/>
      <c r="E23" s="23" t="n">
        <f aca="false">J16</f>
        <v>18.2</v>
      </c>
      <c r="F23" s="53" t="s">
        <v>18</v>
      </c>
      <c r="G23" s="54" t="s">
        <v>156</v>
      </c>
      <c r="H23" s="54"/>
      <c r="I23" s="54"/>
      <c r="J23" s="54"/>
    </row>
    <row r="24" customFormat="false" ht="25.5" hidden="false" customHeight="true" outlineLevel="0" collapsed="false">
      <c r="A24" s="55" t="s">
        <v>158</v>
      </c>
      <c r="B24" s="55"/>
      <c r="C24" s="55"/>
      <c r="D24" s="55"/>
      <c r="E24" s="56" t="n">
        <f aca="false">J16+J12</f>
        <v>599.94</v>
      </c>
      <c r="F24" s="18" t="s">
        <v>18</v>
      </c>
      <c r="G24" s="57" t="s">
        <v>159</v>
      </c>
      <c r="H24" s="57"/>
      <c r="I24" s="57"/>
      <c r="J24" s="57"/>
    </row>
    <row r="27" customFormat="false" ht="27.75" hidden="false" customHeight="true" outlineLevel="0" collapsed="false">
      <c r="A27" s="43" t="s">
        <v>160</v>
      </c>
      <c r="B27" s="43"/>
      <c r="C27" s="43"/>
      <c r="D27" s="43"/>
      <c r="E27" s="43"/>
      <c r="F27" s="43"/>
      <c r="G27" s="43"/>
      <c r="H27" s="43"/>
      <c r="I27" s="43"/>
      <c r="J27" s="43"/>
    </row>
    <row r="28" customFormat="false" ht="27.75" hidden="false" customHeight="true" outlineLevel="0" collapsed="false">
      <c r="A28" s="45" t="s">
        <v>161</v>
      </c>
      <c r="B28" s="45"/>
      <c r="C28" s="45"/>
      <c r="D28" s="45"/>
      <c r="E28" s="45"/>
      <c r="F28" s="45"/>
      <c r="G28" s="45"/>
      <c r="H28" s="45"/>
      <c r="I28" s="45"/>
      <c r="J28" s="45"/>
    </row>
    <row r="29" customFormat="false" ht="27.75" hidden="false" customHeight="true" outlineLevel="0" collapsed="false">
      <c r="A29" s="44" t="s">
        <v>162</v>
      </c>
      <c r="B29" s="44"/>
      <c r="C29" s="44"/>
      <c r="D29" s="44"/>
      <c r="E29" s="44"/>
      <c r="F29" s="44"/>
      <c r="G29" s="44"/>
      <c r="H29" s="44"/>
      <c r="I29" s="44"/>
      <c r="J29" s="44"/>
    </row>
    <row r="30" customFormat="false" ht="27.75" hidden="false" customHeight="true" outlineLevel="0" collapsed="false">
      <c r="A30" s="44" t="s">
        <v>163</v>
      </c>
      <c r="B30" s="44"/>
      <c r="C30" s="44"/>
      <c r="D30" s="44"/>
      <c r="E30" s="44"/>
      <c r="F30" s="44"/>
      <c r="G30" s="44"/>
      <c r="H30" s="44"/>
      <c r="I30" s="44"/>
      <c r="J30" s="44"/>
    </row>
  </sheetData>
  <mergeCells count="23">
    <mergeCell ref="A2:J2"/>
    <mergeCell ref="A4:J4"/>
    <mergeCell ref="A12:F12"/>
    <mergeCell ref="A14:J14"/>
    <mergeCell ref="C16:E16"/>
    <mergeCell ref="H16:I16"/>
    <mergeCell ref="A18:J18"/>
    <mergeCell ref="A19:D19"/>
    <mergeCell ref="G19:J19"/>
    <mergeCell ref="A20:D20"/>
    <mergeCell ref="G20:J20"/>
    <mergeCell ref="A21:D21"/>
    <mergeCell ref="G21:J21"/>
    <mergeCell ref="A22:D22"/>
    <mergeCell ref="G22:J22"/>
    <mergeCell ref="A23:D23"/>
    <mergeCell ref="G23:J23"/>
    <mergeCell ref="A24:D24"/>
    <mergeCell ref="G24:J24"/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17.35" hidden="false" customHeight="false" outlineLevel="0" collapsed="false">
      <c r="A1" s="31" t="s">
        <v>164</v>
      </c>
    </row>
    <row r="2" customFormat="false" ht="15" hidden="false" customHeight="false" outlineLevel="0" collapsed="false">
      <c r="A2" s="6" t="s">
        <v>165</v>
      </c>
    </row>
    <row r="4" customFormat="false" ht="45.75" hidden="false" customHeight="true" outlineLevel="0" collapsed="false">
      <c r="A4" s="7" t="s">
        <v>25</v>
      </c>
      <c r="B4" s="7" t="s">
        <v>166</v>
      </c>
      <c r="C4" s="7" t="s">
        <v>122</v>
      </c>
      <c r="D4" s="7" t="s">
        <v>167</v>
      </c>
      <c r="E4" s="7" t="s">
        <v>29</v>
      </c>
      <c r="F4" s="7" t="s">
        <v>27</v>
      </c>
      <c r="G4" s="7" t="s">
        <v>26</v>
      </c>
      <c r="H4" s="7" t="s">
        <v>40</v>
      </c>
      <c r="I4" s="7" t="s">
        <v>19</v>
      </c>
      <c r="J4" s="7" t="s">
        <v>168</v>
      </c>
      <c r="K4" s="7" t="s">
        <v>169</v>
      </c>
      <c r="L4" s="7" t="s">
        <v>170</v>
      </c>
      <c r="M4" s="7" t="s">
        <v>171</v>
      </c>
      <c r="N4" s="7" t="s">
        <v>172</v>
      </c>
      <c r="O4" s="7" t="s">
        <v>173</v>
      </c>
      <c r="P4" s="7" t="s">
        <v>174</v>
      </c>
      <c r="Q4" s="7" t="s">
        <v>175</v>
      </c>
      <c r="R4" s="7" t="s">
        <v>176</v>
      </c>
    </row>
    <row r="5" customFormat="false" ht="15" hidden="false" customHeight="false" outlineLevel="0" collapsed="false">
      <c r="A5" s="8" t="s">
        <v>44</v>
      </c>
      <c r="B5" s="8" t="s">
        <v>99</v>
      </c>
      <c r="C5" s="8" t="s">
        <v>177</v>
      </c>
      <c r="D5" s="8" t="s">
        <v>178</v>
      </c>
      <c r="E5" s="8" t="s">
        <v>179</v>
      </c>
      <c r="F5" s="8" t="s">
        <v>46</v>
      </c>
      <c r="G5" s="58" t="s">
        <v>45</v>
      </c>
      <c r="H5" s="8" t="s">
        <v>52</v>
      </c>
      <c r="I5" s="59" t="n">
        <v>25</v>
      </c>
      <c r="J5" s="59" t="n">
        <v>25</v>
      </c>
      <c r="K5" s="59" t="n">
        <v>0</v>
      </c>
      <c r="L5" s="59" t="n">
        <f aca="false">J5+K5</f>
        <v>25</v>
      </c>
      <c r="M5" s="60" t="n">
        <v>211.25</v>
      </c>
      <c r="N5" s="60" t="n">
        <v>251.25</v>
      </c>
      <c r="O5" s="60" t="n">
        <v>57.6</v>
      </c>
      <c r="P5" s="60" t="n">
        <v>1440</v>
      </c>
      <c r="Q5" s="60" t="n">
        <v>0</v>
      </c>
      <c r="R5" s="60" t="n">
        <f aca="false">P5+Q5</f>
        <v>1440</v>
      </c>
    </row>
    <row r="6" customFormat="false" ht="15" hidden="false" customHeight="false" outlineLevel="0" collapsed="false">
      <c r="A6" s="8" t="s">
        <v>44</v>
      </c>
      <c r="B6" s="8" t="s">
        <v>180</v>
      </c>
      <c r="C6" s="8" t="s">
        <v>126</v>
      </c>
      <c r="D6" s="8" t="s">
        <v>127</v>
      </c>
      <c r="E6" s="8" t="s">
        <v>179</v>
      </c>
      <c r="F6" s="8" t="s">
        <v>46</v>
      </c>
      <c r="G6" s="58" t="s">
        <v>45</v>
      </c>
      <c r="H6" s="8" t="s">
        <v>52</v>
      </c>
      <c r="I6" s="59" t="n">
        <v>64</v>
      </c>
      <c r="J6" s="59" t="n">
        <v>63</v>
      </c>
      <c r="K6" s="59" t="n">
        <v>1</v>
      </c>
      <c r="L6" s="59" t="n">
        <f aca="false">J6+K6</f>
        <v>64</v>
      </c>
      <c r="M6" s="60" t="n">
        <v>629.12</v>
      </c>
      <c r="N6" s="60" t="n">
        <v>750.72</v>
      </c>
      <c r="O6" s="60" t="n">
        <v>63.24</v>
      </c>
      <c r="P6" s="60" t="n">
        <v>3984.12</v>
      </c>
      <c r="Q6" s="60" t="n">
        <v>63.24</v>
      </c>
      <c r="R6" s="60" t="n">
        <f aca="false">P6+Q6</f>
        <v>4047.36</v>
      </c>
    </row>
    <row r="7" customFormat="false" ht="15" hidden="false" customHeight="false" outlineLevel="0" collapsed="false">
      <c r="A7" s="8" t="s">
        <v>44</v>
      </c>
      <c r="B7" s="8" t="s">
        <v>99</v>
      </c>
      <c r="C7" s="8" t="s">
        <v>181</v>
      </c>
      <c r="D7" s="8" t="s">
        <v>182</v>
      </c>
      <c r="E7" s="8" t="s">
        <v>179</v>
      </c>
      <c r="F7" s="8" t="s">
        <v>46</v>
      </c>
      <c r="G7" s="58" t="s">
        <v>45</v>
      </c>
      <c r="H7" s="8" t="s">
        <v>52</v>
      </c>
      <c r="I7" s="59" t="n">
        <v>25</v>
      </c>
      <c r="J7" s="59" t="n">
        <v>25</v>
      </c>
      <c r="K7" s="59" t="n">
        <v>0</v>
      </c>
      <c r="L7" s="59" t="n">
        <f aca="false">J7+K7</f>
        <v>25</v>
      </c>
      <c r="M7" s="60" t="n">
        <v>260</v>
      </c>
      <c r="N7" s="60" t="n">
        <v>288.75</v>
      </c>
      <c r="O7" s="60" t="n">
        <v>104.27</v>
      </c>
      <c r="P7" s="60" t="n">
        <v>2606.8</v>
      </c>
      <c r="Q7" s="60" t="n">
        <v>0</v>
      </c>
      <c r="R7" s="60" t="n">
        <f aca="false">P7+Q7</f>
        <v>2606.8</v>
      </c>
    </row>
    <row r="8" customFormat="false" ht="15" hidden="false" customHeight="false" outlineLevel="0" collapsed="false">
      <c r="A8" s="8" t="s">
        <v>44</v>
      </c>
      <c r="B8" s="8" t="s">
        <v>99</v>
      </c>
      <c r="C8" s="8" t="s">
        <v>183</v>
      </c>
      <c r="D8" s="8" t="s">
        <v>184</v>
      </c>
      <c r="E8" s="8" t="s">
        <v>179</v>
      </c>
      <c r="F8" s="8" t="s">
        <v>46</v>
      </c>
      <c r="G8" s="58" t="s">
        <v>45</v>
      </c>
      <c r="H8" s="8" t="s">
        <v>52</v>
      </c>
      <c r="I8" s="59" t="n">
        <v>10</v>
      </c>
      <c r="J8" s="59" t="n">
        <v>10</v>
      </c>
      <c r="K8" s="59" t="n">
        <v>0</v>
      </c>
      <c r="L8" s="59" t="n">
        <f aca="false">J8+K8</f>
        <v>10</v>
      </c>
      <c r="M8" s="60" t="n">
        <v>133</v>
      </c>
      <c r="N8" s="60" t="n">
        <v>157</v>
      </c>
      <c r="O8" s="60" t="n">
        <v>136.8</v>
      </c>
      <c r="P8" s="60" t="n">
        <v>1368</v>
      </c>
      <c r="Q8" s="60" t="n">
        <v>0</v>
      </c>
      <c r="R8" s="60" t="n">
        <f aca="false">P8+Q8</f>
        <v>1368</v>
      </c>
    </row>
    <row r="9" customFormat="false" ht="15" hidden="false" customHeight="false" outlineLevel="0" collapsed="false">
      <c r="A9" s="8" t="s">
        <v>44</v>
      </c>
      <c r="B9" s="8" t="s">
        <v>180</v>
      </c>
      <c r="C9" s="8" t="s">
        <v>132</v>
      </c>
      <c r="D9" s="8" t="s">
        <v>133</v>
      </c>
      <c r="E9" s="8" t="s">
        <v>179</v>
      </c>
      <c r="F9" s="8" t="s">
        <v>46</v>
      </c>
      <c r="G9" s="58" t="s">
        <v>45</v>
      </c>
      <c r="H9" s="8" t="s">
        <v>52</v>
      </c>
      <c r="I9" s="59" t="n">
        <v>26</v>
      </c>
      <c r="J9" s="59" t="n">
        <v>25</v>
      </c>
      <c r="K9" s="59" t="n">
        <v>1</v>
      </c>
      <c r="L9" s="59" t="n">
        <f aca="false">J9+K9</f>
        <v>26</v>
      </c>
      <c r="M9" s="60" t="n">
        <v>200.72</v>
      </c>
      <c r="N9" s="60" t="n">
        <v>242.32</v>
      </c>
      <c r="O9" s="60" t="n">
        <v>57.08</v>
      </c>
      <c r="P9" s="60" t="n">
        <v>1426.94</v>
      </c>
      <c r="Q9" s="60" t="n">
        <v>57.08</v>
      </c>
      <c r="R9" s="60" t="n">
        <f aca="false">P9+Q9</f>
        <v>1484.02</v>
      </c>
    </row>
    <row r="10" customFormat="false" ht="15" hidden="false" customHeight="false" outlineLevel="0" collapsed="false">
      <c r="A10" s="8" t="s">
        <v>44</v>
      </c>
      <c r="B10" s="8" t="s">
        <v>180</v>
      </c>
      <c r="C10" s="8" t="s">
        <v>134</v>
      </c>
      <c r="D10" s="8" t="s">
        <v>135</v>
      </c>
      <c r="E10" s="8" t="s">
        <v>179</v>
      </c>
      <c r="F10" s="8" t="s">
        <v>46</v>
      </c>
      <c r="G10" s="58" t="s">
        <v>45</v>
      </c>
      <c r="H10" s="8" t="s">
        <v>52</v>
      </c>
      <c r="I10" s="59" t="n">
        <v>64</v>
      </c>
      <c r="J10" s="59" t="n">
        <v>63</v>
      </c>
      <c r="K10" s="59" t="n">
        <v>1</v>
      </c>
      <c r="L10" s="59" t="n">
        <f aca="false">J10+K10</f>
        <v>64</v>
      </c>
      <c r="M10" s="60" t="n">
        <v>579.84</v>
      </c>
      <c r="N10" s="60" t="n">
        <v>700.16</v>
      </c>
      <c r="O10" s="60" t="n">
        <v>62.21</v>
      </c>
      <c r="P10" s="60" t="n">
        <v>3919.44</v>
      </c>
      <c r="Q10" s="60" t="n">
        <v>62.21</v>
      </c>
      <c r="R10" s="60" t="n">
        <f aca="false">P10+Q10</f>
        <v>3981.65</v>
      </c>
    </row>
    <row r="11" customFormat="false" ht="15" hidden="false" customHeight="false" outlineLevel="0" collapsed="false">
      <c r="A11" s="8" t="s">
        <v>44</v>
      </c>
      <c r="B11" s="8" t="s">
        <v>180</v>
      </c>
      <c r="C11" s="8" t="s">
        <v>136</v>
      </c>
      <c r="D11" s="8" t="s">
        <v>137</v>
      </c>
      <c r="E11" s="8" t="s">
        <v>179</v>
      </c>
      <c r="F11" s="8" t="s">
        <v>46</v>
      </c>
      <c r="G11" s="58" t="s">
        <v>45</v>
      </c>
      <c r="H11" s="8" t="s">
        <v>52</v>
      </c>
      <c r="I11" s="59" t="n">
        <v>26</v>
      </c>
      <c r="J11" s="59" t="n">
        <v>25</v>
      </c>
      <c r="K11" s="59" t="n">
        <v>1</v>
      </c>
      <c r="L11" s="59" t="n">
        <f aca="false">J11+K11</f>
        <v>26</v>
      </c>
      <c r="M11" s="60" t="n">
        <v>247.52</v>
      </c>
      <c r="N11" s="60" t="n">
        <v>300.04</v>
      </c>
      <c r="O11" s="60" t="n">
        <v>101.36</v>
      </c>
      <c r="P11" s="60" t="n">
        <v>2533.89</v>
      </c>
      <c r="Q11" s="60" t="n">
        <v>103.49</v>
      </c>
      <c r="R11" s="60" t="n">
        <f aca="false">P11+Q11</f>
        <v>2637.38</v>
      </c>
    </row>
    <row r="12" customFormat="false" ht="15" hidden="false" customHeight="false" outlineLevel="0" collapsed="false">
      <c r="A12" s="8" t="s">
        <v>44</v>
      </c>
      <c r="B12" s="8" t="s">
        <v>99</v>
      </c>
      <c r="C12" s="8" t="s">
        <v>185</v>
      </c>
      <c r="D12" s="8" t="s">
        <v>186</v>
      </c>
      <c r="E12" s="8" t="s">
        <v>179</v>
      </c>
      <c r="F12" s="8" t="s">
        <v>46</v>
      </c>
      <c r="G12" s="58" t="s">
        <v>45</v>
      </c>
      <c r="H12" s="8" t="s">
        <v>52</v>
      </c>
      <c r="I12" s="59" t="n">
        <v>10</v>
      </c>
      <c r="J12" s="59" t="n">
        <v>10</v>
      </c>
      <c r="K12" s="59" t="n">
        <v>0</v>
      </c>
      <c r="L12" s="59" t="n">
        <f aca="false">J12+K12</f>
        <v>10</v>
      </c>
      <c r="M12" s="60" t="n">
        <v>122.1</v>
      </c>
      <c r="N12" s="60" t="n">
        <v>146.2</v>
      </c>
      <c r="O12" s="60" t="n">
        <v>136.8</v>
      </c>
      <c r="P12" s="60" t="n">
        <v>1368</v>
      </c>
      <c r="Q12" s="60" t="n">
        <v>0</v>
      </c>
      <c r="R12" s="60" t="n">
        <f aca="false">P12+Q12</f>
        <v>1368</v>
      </c>
    </row>
    <row r="13" customFormat="false" ht="15" hidden="false" customHeight="false" outlineLevel="0" collapsed="false">
      <c r="A13" s="8" t="s">
        <v>44</v>
      </c>
      <c r="B13" s="8" t="s">
        <v>99</v>
      </c>
      <c r="C13" s="8" t="s">
        <v>187</v>
      </c>
      <c r="D13" s="8" t="s">
        <v>188</v>
      </c>
      <c r="E13" s="8" t="s">
        <v>189</v>
      </c>
      <c r="F13" s="8" t="s">
        <v>56</v>
      </c>
      <c r="G13" s="58" t="s">
        <v>45</v>
      </c>
      <c r="H13" s="8" t="s">
        <v>52</v>
      </c>
      <c r="I13" s="59" t="n">
        <v>50</v>
      </c>
      <c r="J13" s="59" t="n">
        <v>50</v>
      </c>
      <c r="K13" s="59" t="n">
        <v>0</v>
      </c>
      <c r="L13" s="59" t="n">
        <f aca="false">J13+K13</f>
        <v>50</v>
      </c>
      <c r="M13" s="60" t="n">
        <v>1019</v>
      </c>
      <c r="N13" s="60" t="n">
        <v>1114</v>
      </c>
      <c r="O13" s="60" t="n">
        <v>109.98</v>
      </c>
      <c r="P13" s="60" t="n">
        <v>5499</v>
      </c>
      <c r="Q13" s="60" t="n">
        <v>0</v>
      </c>
      <c r="R13" s="60" t="n">
        <f aca="false">P13+Q13</f>
        <v>5499</v>
      </c>
    </row>
    <row r="14" customFormat="false" ht="15" hidden="false" customHeight="false" outlineLevel="0" collapsed="false">
      <c r="A14" s="8" t="s">
        <v>44</v>
      </c>
      <c r="B14" s="8" t="s">
        <v>180</v>
      </c>
      <c r="C14" s="8" t="s">
        <v>128</v>
      </c>
      <c r="D14" s="8" t="s">
        <v>129</v>
      </c>
      <c r="E14" s="8" t="s">
        <v>189</v>
      </c>
      <c r="F14" s="8" t="s">
        <v>56</v>
      </c>
      <c r="G14" s="58" t="s">
        <v>45</v>
      </c>
      <c r="H14" s="8" t="s">
        <v>52</v>
      </c>
      <c r="I14" s="59" t="n">
        <v>127</v>
      </c>
      <c r="J14" s="59" t="n">
        <v>126</v>
      </c>
      <c r="K14" s="59" t="n">
        <v>1</v>
      </c>
      <c r="L14" s="59" t="n">
        <f aca="false">J14+K14</f>
        <v>127</v>
      </c>
      <c r="M14" s="60" t="n">
        <v>2961.64</v>
      </c>
      <c r="N14" s="60" t="n">
        <v>3253.74</v>
      </c>
      <c r="O14" s="60" t="n">
        <v>113.1</v>
      </c>
      <c r="P14" s="60" t="n">
        <v>14250.6</v>
      </c>
      <c r="Q14" s="60" t="n">
        <v>113.1</v>
      </c>
      <c r="R14" s="60" t="n">
        <f aca="false">P14+Q14</f>
        <v>14363.7</v>
      </c>
    </row>
    <row r="15" customFormat="false" ht="15" hidden="false" customHeight="false" outlineLevel="0" collapsed="false">
      <c r="A15" s="8" t="s">
        <v>44</v>
      </c>
      <c r="B15" s="8" t="s">
        <v>180</v>
      </c>
      <c r="C15" s="8" t="s">
        <v>130</v>
      </c>
      <c r="D15" s="8" t="s">
        <v>131</v>
      </c>
      <c r="E15" s="8" t="s">
        <v>189</v>
      </c>
      <c r="F15" s="8" t="s">
        <v>56</v>
      </c>
      <c r="G15" s="58" t="s">
        <v>45</v>
      </c>
      <c r="H15" s="8" t="s">
        <v>52</v>
      </c>
      <c r="I15" s="59" t="n">
        <v>51</v>
      </c>
      <c r="J15" s="59" t="n">
        <v>50</v>
      </c>
      <c r="K15" s="59" t="n">
        <v>1</v>
      </c>
      <c r="L15" s="59" t="n">
        <f aca="false">J15+K15</f>
        <v>51</v>
      </c>
      <c r="M15" s="60" t="n">
        <v>1541.22</v>
      </c>
      <c r="N15" s="60" t="n">
        <v>1686.06</v>
      </c>
      <c r="O15" s="60" t="n">
        <v>182.62</v>
      </c>
      <c r="P15" s="60" t="n">
        <v>9131</v>
      </c>
      <c r="Q15" s="60" t="n">
        <v>182.62</v>
      </c>
      <c r="R15" s="60" t="n">
        <f aca="false">P15+Q15</f>
        <v>9313.62</v>
      </c>
    </row>
    <row r="16" customFormat="false" ht="15" hidden="false" customHeight="false" outlineLevel="0" collapsed="false">
      <c r="A16" s="8" t="s">
        <v>44</v>
      </c>
      <c r="B16" s="8" t="s">
        <v>99</v>
      </c>
      <c r="C16" s="8" t="s">
        <v>190</v>
      </c>
      <c r="D16" s="8" t="s">
        <v>191</v>
      </c>
      <c r="E16" s="8" t="s">
        <v>189</v>
      </c>
      <c r="F16" s="8" t="s">
        <v>56</v>
      </c>
      <c r="G16" s="58" t="s">
        <v>45</v>
      </c>
      <c r="H16" s="8" t="s">
        <v>52</v>
      </c>
      <c r="I16" s="59" t="n">
        <v>20</v>
      </c>
      <c r="J16" s="59" t="n">
        <v>20</v>
      </c>
      <c r="K16" s="59" t="n">
        <v>0</v>
      </c>
      <c r="L16" s="59" t="n">
        <f aca="false">J16+K16</f>
        <v>20</v>
      </c>
      <c r="M16" s="60" t="n">
        <v>781.4</v>
      </c>
      <c r="N16" s="60" t="n">
        <v>853.6</v>
      </c>
      <c r="O16" s="60" t="n">
        <v>236.65</v>
      </c>
      <c r="P16" s="60" t="n">
        <v>4733</v>
      </c>
      <c r="Q16" s="60" t="n">
        <v>0</v>
      </c>
      <c r="R16" s="60" t="n">
        <f aca="false">P16+Q16</f>
        <v>4733</v>
      </c>
    </row>
    <row r="17" customFormat="false" ht="15" hidden="false" customHeight="false" outlineLevel="0" collapsed="false">
      <c r="A17" s="8" t="s">
        <v>44</v>
      </c>
      <c r="B17" s="8" t="s">
        <v>99</v>
      </c>
      <c r="C17" s="8" t="s">
        <v>192</v>
      </c>
      <c r="D17" s="8" t="s">
        <v>193</v>
      </c>
      <c r="E17" s="8" t="s">
        <v>62</v>
      </c>
      <c r="F17" s="8" t="s">
        <v>61</v>
      </c>
      <c r="G17" s="58" t="s">
        <v>60</v>
      </c>
      <c r="H17" s="8" t="s">
        <v>52</v>
      </c>
      <c r="I17" s="59" t="n">
        <v>1</v>
      </c>
      <c r="J17" s="59" t="n">
        <v>246</v>
      </c>
      <c r="K17" s="59" t="n">
        <v>0</v>
      </c>
      <c r="L17" s="59" t="n">
        <f aca="false">J17+K17</f>
        <v>246</v>
      </c>
      <c r="M17" s="60" t="n">
        <v>4</v>
      </c>
      <c r="N17" s="60" t="n">
        <v>4.6</v>
      </c>
      <c r="O17" s="60" t="n">
        <v>8.4</v>
      </c>
      <c r="P17" s="60" t="n">
        <v>2066.4</v>
      </c>
      <c r="Q17" s="60" t="n">
        <v>0</v>
      </c>
      <c r="R17" s="60" t="n">
        <f aca="false">P17+Q17</f>
        <v>2066.4</v>
      </c>
    </row>
    <row r="18" customFormat="false" ht="15" hidden="false" customHeight="false" outlineLevel="0" collapsed="false">
      <c r="A18" s="18" t="s">
        <v>64</v>
      </c>
      <c r="B18" s="18"/>
      <c r="C18" s="18"/>
      <c r="D18" s="18"/>
      <c r="E18" s="18"/>
      <c r="F18" s="18"/>
      <c r="G18" s="18"/>
      <c r="H18" s="18"/>
      <c r="I18" s="49" t="n">
        <f aca="false">SUM(I5:I17)</f>
        <v>499</v>
      </c>
      <c r="J18" s="49" t="n">
        <f aca="false">SUM(J5:J17)</f>
        <v>738</v>
      </c>
      <c r="K18" s="49" t="n">
        <f aca="false">SUM(K5:K17)</f>
        <v>6</v>
      </c>
      <c r="L18" s="49" t="n">
        <f aca="false">SUM(L5:L17)</f>
        <v>744</v>
      </c>
      <c r="M18" s="20" t="n">
        <f aca="false">SUM(M5:M17)</f>
        <v>8690.81</v>
      </c>
      <c r="N18" s="20" t="n">
        <f aca="false">SUM(N5:N17)</f>
        <v>9748.44</v>
      </c>
      <c r="O18" s="18"/>
      <c r="P18" s="20" t="n">
        <f aca="false">SUM(P5:P17)</f>
        <v>54327.19</v>
      </c>
      <c r="Q18" s="20" t="n">
        <f aca="false">SUM(Q5:Q17)</f>
        <v>581.74</v>
      </c>
      <c r="R18" s="20" t="n">
        <f aca="false">SUM(R5:R17)</f>
        <v>54908.93</v>
      </c>
    </row>
    <row r="20" customFormat="false" ht="15" hidden="false" customHeight="false" outlineLevel="0" collapsed="false">
      <c r="A20" s="6" t="s">
        <v>194</v>
      </c>
    </row>
    <row r="21" customFormat="false" ht="15" hidden="false" customHeight="false" outlineLevel="0" collapsed="false">
      <c r="A21" s="6" t="s">
        <v>195</v>
      </c>
    </row>
    <row r="22" customFormat="false" ht="15" hidden="false" customHeight="false" outlineLevel="0" collapsed="false">
      <c r="A22" s="6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7"/>
  </cols>
  <sheetData>
    <row r="1" customFormat="false" ht="17.35" hidden="false" customHeight="false" outlineLevel="0" collapsed="false">
      <c r="A1" s="31" t="s">
        <v>197</v>
      </c>
    </row>
    <row r="2" customFormat="false" ht="15" hidden="false" customHeight="false" outlineLevel="0" collapsed="false">
      <c r="A2" s="6" t="s">
        <v>198</v>
      </c>
    </row>
    <row r="3" customFormat="false" ht="15" hidden="false" customHeight="false" outlineLevel="0" collapsed="false">
      <c r="A3" s="2" t="s">
        <v>199</v>
      </c>
      <c r="B3" s="61" t="n">
        <v>675</v>
      </c>
      <c r="C3" s="6" t="s">
        <v>200</v>
      </c>
    </row>
    <row r="4" customFormat="false" ht="45.75" hidden="false" customHeight="true" outlineLevel="0" collapsed="false">
      <c r="A4" s="7" t="s">
        <v>122</v>
      </c>
      <c r="B4" s="7" t="s">
        <v>123</v>
      </c>
      <c r="C4" s="7" t="s">
        <v>26</v>
      </c>
      <c r="D4" s="7" t="s">
        <v>168</v>
      </c>
      <c r="E4" s="7" t="s">
        <v>201</v>
      </c>
      <c r="F4" s="7" t="s">
        <v>170</v>
      </c>
      <c r="G4" s="7" t="s">
        <v>202</v>
      </c>
      <c r="H4" s="7" t="s">
        <v>203</v>
      </c>
      <c r="I4" s="7" t="s">
        <v>204</v>
      </c>
      <c r="J4" s="7" t="s">
        <v>205</v>
      </c>
      <c r="K4" s="7" t="s">
        <v>206</v>
      </c>
      <c r="L4" s="7" t="s">
        <v>207</v>
      </c>
    </row>
    <row r="5" customFormat="false" ht="15" hidden="false" customHeight="false" outlineLevel="0" collapsed="false">
      <c r="A5" s="22" t="s">
        <v>187</v>
      </c>
      <c r="B5" s="22" t="s">
        <v>188</v>
      </c>
      <c r="C5" s="22" t="s">
        <v>45</v>
      </c>
      <c r="D5" s="62" t="n">
        <v>50</v>
      </c>
      <c r="E5" s="62" t="n">
        <v>0</v>
      </c>
      <c r="F5" s="62" t="n">
        <f aca="false">D5+E5</f>
        <v>50</v>
      </c>
      <c r="G5" s="63" t="n">
        <v>0.351</v>
      </c>
      <c r="H5" s="63" t="n">
        <f aca="false">F5*G5</f>
        <v>17.55</v>
      </c>
      <c r="I5" s="63" t="n">
        <f aca="false">G5/$B$3*1000</f>
        <v>0.52</v>
      </c>
      <c r="J5" s="63" t="n">
        <f aca="false">F5*I5</f>
        <v>26</v>
      </c>
      <c r="K5" s="64" t="n">
        <v>7.02</v>
      </c>
      <c r="L5" s="64" t="n">
        <f aca="false">F5*K5</f>
        <v>351</v>
      </c>
    </row>
    <row r="6" customFormat="false" ht="15" hidden="false" customHeight="false" outlineLevel="0" collapsed="false">
      <c r="A6" s="22" t="s">
        <v>128</v>
      </c>
      <c r="B6" s="22" t="s">
        <v>129</v>
      </c>
      <c r="C6" s="22" t="s">
        <v>45</v>
      </c>
      <c r="D6" s="62" t="n">
        <v>126</v>
      </c>
      <c r="E6" s="62" t="n">
        <v>1</v>
      </c>
      <c r="F6" s="62" t="n">
        <f aca="false">D6+E6</f>
        <v>127</v>
      </c>
      <c r="G6" s="63" t="n">
        <v>0.385</v>
      </c>
      <c r="H6" s="63" t="n">
        <f aca="false">F6*G6</f>
        <v>48.895</v>
      </c>
      <c r="I6" s="63" t="n">
        <f aca="false">G6/$B$3*1000</f>
        <v>0.57037037037037</v>
      </c>
      <c r="J6" s="63" t="n">
        <f aca="false">F6*I6</f>
        <v>72.437037037037</v>
      </c>
      <c r="K6" s="64" t="n">
        <v>7.7</v>
      </c>
      <c r="L6" s="64" t="n">
        <f aca="false">F6*K6</f>
        <v>977.9</v>
      </c>
    </row>
    <row r="7" customFormat="false" ht="15" hidden="false" customHeight="false" outlineLevel="0" collapsed="false">
      <c r="A7" s="22" t="s">
        <v>130</v>
      </c>
      <c r="B7" s="22" t="s">
        <v>131</v>
      </c>
      <c r="C7" s="22" t="s">
        <v>45</v>
      </c>
      <c r="D7" s="62" t="n">
        <v>50</v>
      </c>
      <c r="E7" s="62" t="n">
        <v>1</v>
      </c>
      <c r="F7" s="62" t="n">
        <f aca="false">D7+E7</f>
        <v>51</v>
      </c>
      <c r="G7" s="63" t="n">
        <v>0.527</v>
      </c>
      <c r="H7" s="63" t="n">
        <f aca="false">F7*G7</f>
        <v>26.877</v>
      </c>
      <c r="I7" s="63" t="n">
        <f aca="false">G7/$B$3*1000</f>
        <v>0.780740740740741</v>
      </c>
      <c r="J7" s="63" t="n">
        <f aca="false">F7*I7</f>
        <v>39.8177777777778</v>
      </c>
      <c r="K7" s="64" t="n">
        <v>10.53</v>
      </c>
      <c r="L7" s="64" t="n">
        <f aca="false">F7*K7</f>
        <v>537.03</v>
      </c>
    </row>
    <row r="8" customFormat="false" ht="15" hidden="false" customHeight="false" outlineLevel="0" collapsed="false">
      <c r="A8" s="22" t="s">
        <v>190</v>
      </c>
      <c r="B8" s="22" t="s">
        <v>191</v>
      </c>
      <c r="C8" s="22" t="s">
        <v>45</v>
      </c>
      <c r="D8" s="62" t="n">
        <v>20</v>
      </c>
      <c r="E8" s="62" t="n">
        <v>0</v>
      </c>
      <c r="F8" s="62" t="n">
        <f aca="false">D8+E8</f>
        <v>20</v>
      </c>
      <c r="G8" s="63" t="n">
        <v>0.675</v>
      </c>
      <c r="H8" s="63" t="n">
        <f aca="false">F8*G8</f>
        <v>13.5</v>
      </c>
      <c r="I8" s="63" t="n">
        <f aca="false">G8/$B$3*1000</f>
        <v>1</v>
      </c>
      <c r="J8" s="63" t="n">
        <f aca="false">F8*I8</f>
        <v>20</v>
      </c>
      <c r="K8" s="64" t="n">
        <v>13.5</v>
      </c>
      <c r="L8" s="64" t="n">
        <f aca="false">F8*K8</f>
        <v>270</v>
      </c>
    </row>
    <row r="9" customFormat="false" ht="15" hidden="false" customHeight="false" outlineLevel="0" collapsed="false">
      <c r="A9" s="18" t="s">
        <v>64</v>
      </c>
      <c r="B9" s="18"/>
      <c r="C9" s="18"/>
      <c r="D9" s="19" t="n">
        <f aca="false">SUM(D5:D8)</f>
        <v>246</v>
      </c>
      <c r="E9" s="19" t="n">
        <f aca="false">SUM(E5:E8)</f>
        <v>2</v>
      </c>
      <c r="F9" s="19" t="n">
        <f aca="false">SUM(F5:F8)</f>
        <v>248</v>
      </c>
      <c r="G9" s="18"/>
      <c r="H9" s="65" t="n">
        <f aca="false">SUM(H5:H8)</f>
        <v>106.822</v>
      </c>
      <c r="I9" s="18"/>
      <c r="J9" s="65" t="n">
        <f aca="false">SUM(J5:J8)</f>
        <v>158.254814814815</v>
      </c>
      <c r="K9" s="18"/>
      <c r="L9" s="66" t="n">
        <f aca="false">SUM(L5:L8)</f>
        <v>2135.93</v>
      </c>
    </row>
    <row r="11" customFormat="false" ht="30" hidden="false" customHeight="true" outlineLevel="0" collapsed="false">
      <c r="A11" s="43" t="s">
        <v>208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customFormat="false" ht="30" hidden="false" customHeight="true" outlineLevel="0" collapsed="false">
      <c r="A12" s="45" t="s">
        <v>209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30" hidden="false" customHeight="true" outlineLevel="0" collapsed="false">
      <c r="A13" s="45" t="s">
        <v>210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customFormat="false" ht="30" hidden="false" customHeight="true" outlineLevel="0" collapsed="false">
      <c r="A14" s="43" t="s">
        <v>211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</sheetData>
  <mergeCells count="4"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8"/>
  </cols>
  <sheetData>
    <row r="1" customFormat="false" ht="17.35" hidden="false" customHeight="false" outlineLevel="0" collapsed="false">
      <c r="A1" s="1" t="s">
        <v>212</v>
      </c>
      <c r="B1" s="1"/>
      <c r="C1" s="1"/>
      <c r="D1" s="1"/>
    </row>
    <row r="3" customFormat="false" ht="15" hidden="false" customHeight="false" outlineLevel="0" collapsed="false">
      <c r="A3" s="67" t="s">
        <v>213</v>
      </c>
      <c r="B3" s="67" t="s">
        <v>214</v>
      </c>
      <c r="C3" s="67" t="s">
        <v>215</v>
      </c>
      <c r="D3" s="67" t="s">
        <v>216</v>
      </c>
    </row>
    <row r="4" customFormat="false" ht="78" hidden="false" customHeight="true" outlineLevel="0" collapsed="false">
      <c r="A4" s="68" t="n">
        <v>1</v>
      </c>
      <c r="B4" s="15" t="s">
        <v>217</v>
      </c>
      <c r="C4" s="69" t="s">
        <v>218</v>
      </c>
      <c r="D4" s="8" t="s">
        <v>219</v>
      </c>
    </row>
    <row r="5" customFormat="false" ht="78" hidden="false" customHeight="true" outlineLevel="0" collapsed="false">
      <c r="A5" s="68" t="n">
        <v>2</v>
      </c>
      <c r="B5" s="70" t="s">
        <v>220</v>
      </c>
      <c r="C5" s="8" t="s">
        <v>221</v>
      </c>
      <c r="D5" s="8" t="s">
        <v>222</v>
      </c>
    </row>
    <row r="6" customFormat="false" ht="64.5" hidden="false" customHeight="true" outlineLevel="0" collapsed="false">
      <c r="A6" s="68" t="n">
        <v>3</v>
      </c>
      <c r="B6" s="15" t="s">
        <v>217</v>
      </c>
      <c r="C6" s="69" t="s">
        <v>223</v>
      </c>
      <c r="D6" s="8" t="s">
        <v>224</v>
      </c>
    </row>
    <row r="7" customFormat="false" ht="90.75" hidden="false" customHeight="true" outlineLevel="0" collapsed="false">
      <c r="A7" s="68" t="n">
        <v>4</v>
      </c>
      <c r="B7" s="15" t="s">
        <v>217</v>
      </c>
      <c r="C7" s="69" t="s">
        <v>225</v>
      </c>
      <c r="D7" s="8" t="s">
        <v>226</v>
      </c>
    </row>
    <row r="8" customFormat="false" ht="51.75" hidden="false" customHeight="true" outlineLevel="0" collapsed="false">
      <c r="A8" s="68" t="n">
        <v>5</v>
      </c>
      <c r="B8" s="15" t="s">
        <v>217</v>
      </c>
      <c r="C8" s="69" t="s">
        <v>227</v>
      </c>
      <c r="D8" s="8" t="s">
        <v>228</v>
      </c>
    </row>
    <row r="9" customFormat="false" ht="78" hidden="false" customHeight="true" outlineLevel="0" collapsed="false">
      <c r="A9" s="68" t="n">
        <v>6</v>
      </c>
      <c r="B9" s="71" t="s">
        <v>229</v>
      </c>
      <c r="C9" s="69" t="s">
        <v>230</v>
      </c>
      <c r="D9" s="8" t="s">
        <v>231</v>
      </c>
    </row>
    <row r="10" customFormat="false" ht="51.75" hidden="false" customHeight="true" outlineLevel="0" collapsed="false">
      <c r="A10" s="68" t="n">
        <v>7</v>
      </c>
      <c r="B10" s="71" t="s">
        <v>229</v>
      </c>
      <c r="C10" s="69" t="s">
        <v>232</v>
      </c>
      <c r="D10" s="8" t="s">
        <v>233</v>
      </c>
    </row>
    <row r="11" customFormat="false" ht="64.5" hidden="false" customHeight="true" outlineLevel="0" collapsed="false">
      <c r="A11" s="68" t="n">
        <v>8</v>
      </c>
      <c r="B11" s="71" t="s">
        <v>229</v>
      </c>
      <c r="C11" s="69" t="s">
        <v>234</v>
      </c>
      <c r="D11" s="8" t="s">
        <v>235</v>
      </c>
    </row>
    <row r="12" customFormat="false" ht="39" hidden="false" customHeight="true" outlineLevel="0" collapsed="false">
      <c r="A12" s="68" t="n">
        <v>9</v>
      </c>
      <c r="B12" s="71" t="s">
        <v>229</v>
      </c>
      <c r="C12" s="69" t="s">
        <v>236</v>
      </c>
      <c r="D12" s="8" t="s">
        <v>237</v>
      </c>
    </row>
    <row r="13" customFormat="false" ht="39" hidden="false" customHeight="true" outlineLevel="0" collapsed="false">
      <c r="A13" s="68" t="n">
        <v>10</v>
      </c>
      <c r="B13" s="70" t="s">
        <v>220</v>
      </c>
      <c r="C13" s="8" t="s">
        <v>238</v>
      </c>
      <c r="D13" s="8" t="s">
        <v>239</v>
      </c>
    </row>
    <row r="14" customFormat="false" ht="30" hidden="false" customHeight="true" outlineLevel="0" collapsed="false">
      <c r="A14" s="68" t="n">
        <v>11</v>
      </c>
      <c r="B14" s="70" t="s">
        <v>220</v>
      </c>
      <c r="C14" s="8" t="s">
        <v>42</v>
      </c>
      <c r="D14" s="8" t="s">
        <v>240</v>
      </c>
    </row>
    <row r="15" customFormat="false" ht="78" hidden="false" customHeight="true" outlineLevel="0" collapsed="false">
      <c r="A15" s="68" t="n">
        <v>12</v>
      </c>
      <c r="B15" s="70" t="s">
        <v>220</v>
      </c>
      <c r="C15" s="8" t="s">
        <v>241</v>
      </c>
      <c r="D15" s="8" t="s">
        <v>242</v>
      </c>
    </row>
    <row r="16" customFormat="false" ht="30" hidden="false" customHeight="true" outlineLevel="0" collapsed="false">
      <c r="A16" s="68" t="n">
        <v>13</v>
      </c>
      <c r="B16" s="70" t="s">
        <v>220</v>
      </c>
      <c r="C16" s="8" t="s">
        <v>243</v>
      </c>
      <c r="D16" s="8" t="s">
        <v>244</v>
      </c>
    </row>
    <row r="17" customFormat="false" ht="30" hidden="false" customHeight="true" outlineLevel="0" collapsed="false">
      <c r="A17" s="68" t="n">
        <v>14</v>
      </c>
      <c r="B17" s="70" t="s">
        <v>245</v>
      </c>
      <c r="C17" s="8" t="s">
        <v>246</v>
      </c>
      <c r="D17" s="8" t="s">
        <v>247</v>
      </c>
    </row>
    <row r="18" customFormat="false" ht="30" hidden="false" customHeight="true" outlineLevel="0" collapsed="false">
      <c r="A18" s="68" t="n">
        <v>15</v>
      </c>
      <c r="B18" s="70" t="s">
        <v>245</v>
      </c>
      <c r="C18" s="8" t="s">
        <v>248</v>
      </c>
      <c r="D18" s="8" t="s">
        <v>249</v>
      </c>
    </row>
    <row r="19" customFormat="false" ht="51.75" hidden="false" customHeight="true" outlineLevel="0" collapsed="false">
      <c r="A19" s="68" t="n">
        <v>16</v>
      </c>
      <c r="B19" s="70" t="s">
        <v>245</v>
      </c>
      <c r="C19" s="8" t="s">
        <v>250</v>
      </c>
      <c r="D19" s="8" t="s">
        <v>251</v>
      </c>
    </row>
    <row r="20" customFormat="false" ht="39" hidden="false" customHeight="true" outlineLevel="0" collapsed="false">
      <c r="A20" s="68" t="n">
        <v>17</v>
      </c>
      <c r="B20" s="70" t="s">
        <v>245</v>
      </c>
      <c r="C20" s="8" t="s">
        <v>252</v>
      </c>
      <c r="D20" s="8" t="s">
        <v>253</v>
      </c>
    </row>
    <row r="22" customFormat="false" ht="15" hidden="false" customHeight="false" outlineLevel="0" collapsed="false">
      <c r="A22" s="72" t="s">
        <v>254</v>
      </c>
    </row>
    <row r="23" customFormat="false" ht="15" hidden="false" customHeight="false" outlineLevel="0" collapsed="false">
      <c r="A23" s="73" t="s">
        <v>255</v>
      </c>
      <c r="B23" s="74" t="s">
        <v>256</v>
      </c>
      <c r="C23" s="74"/>
      <c r="D23" s="74"/>
    </row>
    <row r="24" customFormat="false" ht="15" hidden="false" customHeight="false" outlineLevel="0" collapsed="false">
      <c r="A24" s="73" t="s">
        <v>255</v>
      </c>
      <c r="B24" s="74" t="s">
        <v>257</v>
      </c>
      <c r="C24" s="74"/>
      <c r="D24" s="74"/>
    </row>
    <row r="25" customFormat="false" ht="15" hidden="false" customHeight="false" outlineLevel="0" collapsed="false">
      <c r="A25" s="73" t="s">
        <v>255</v>
      </c>
      <c r="B25" s="74" t="s">
        <v>258</v>
      </c>
      <c r="C25" s="74"/>
      <c r="D25" s="74"/>
    </row>
    <row r="26" customFormat="false" ht="15" hidden="false" customHeight="false" outlineLevel="0" collapsed="false">
      <c r="A26" s="73" t="s">
        <v>255</v>
      </c>
      <c r="B26" s="74" t="s">
        <v>259</v>
      </c>
      <c r="C26" s="74"/>
      <c r="D26" s="74"/>
    </row>
    <row r="27" customFormat="false" ht="15" hidden="false" customHeight="false" outlineLevel="0" collapsed="false">
      <c r="A27" s="73" t="s">
        <v>255</v>
      </c>
      <c r="B27" s="74" t="s">
        <v>260</v>
      </c>
      <c r="C27" s="74"/>
      <c r="D27" s="74"/>
    </row>
    <row r="28" customFormat="false" ht="15" hidden="false" customHeight="false" outlineLevel="0" collapsed="false">
      <c r="A28" s="73" t="s">
        <v>255</v>
      </c>
      <c r="B28" s="74" t="s">
        <v>261</v>
      </c>
      <c r="C28" s="74"/>
      <c r="D28" s="74"/>
    </row>
    <row r="29" customFormat="false" ht="15" hidden="false" customHeight="false" outlineLevel="0" collapsed="false">
      <c r="A29" s="73" t="s">
        <v>255</v>
      </c>
      <c r="B29" s="74" t="s">
        <v>262</v>
      </c>
      <c r="C29" s="74"/>
      <c r="D29" s="74"/>
    </row>
  </sheetData>
  <mergeCells count="8">
    <mergeCell ref="A1:D1"/>
    <mergeCell ref="B23:D23"/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2026-08-03T12:31:11Z</dcterms:created>
  <dc:creator>openpyxl</dc:creator>
  <dc:description/>
  <dc:language>en-US</dc:language>
  <cp:lastModifiedBy/>
  <dcterms:modified xsi:type="dcterms:W3CDTF">2026-08-03T12:31:11Z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