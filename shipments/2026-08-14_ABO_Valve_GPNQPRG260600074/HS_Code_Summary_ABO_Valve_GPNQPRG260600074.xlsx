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Rozpis položek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sz val="9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164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/>
    </xf>
    <xf numFmtId="1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0" fontId="2" fillId="3" borderId="1" applyAlignment="1" pivotButton="0" quotePrefix="0" xfId="0">
      <alignment horizontal="left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44" customWidth="1" min="3" max="3"/>
    <col width="10" customWidth="1" min="4" max="4"/>
    <col width="11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58" customWidth="1" min="11" max="11"/>
  </cols>
  <sheetData>
    <row r="1" ht="30" customHeight="1">
      <c r="A1" s="1" t="inlineStr">
        <is>
          <t>Odesílatel (sender)</t>
        </is>
      </c>
      <c r="B1" s="1" t="inlineStr">
        <is>
          <t>HS kód</t>
        </is>
      </c>
      <c r="C1" s="1" t="inlineStr">
        <is>
          <t>Popis zboží</t>
        </is>
      </c>
      <c r="D1" s="1" t="inlineStr">
        <is>
          <t>Země původu (COO)</t>
        </is>
      </c>
      <c r="E1" s="1" t="inlineStr">
        <is>
          <t>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Celní hodnota (EUR)</t>
        </is>
      </c>
      <c r="I1" s="1" t="inlineStr">
        <is>
          <t>Incoterm</t>
        </is>
      </c>
      <c r="J1" s="1" t="inlineStr">
        <is>
          <t>Příznak</t>
        </is>
      </c>
      <c r="K1" s="1" t="inlineStr">
        <is>
          <t>Poznámka</t>
        </is>
      </c>
    </row>
    <row r="2" ht="58" customHeight="1">
      <c r="A2" s="2" t="inlineStr">
        <is>
          <t>Duflon Europe KFT, Budapest (HU) — výrobce/odesílatel zboží: DuFlon Industries Pvt. Ltd., Mahad, Indie</t>
        </is>
      </c>
      <c r="B2" s="2" t="inlineStr">
        <is>
          <t>84819090</t>
        </is>
      </c>
      <c r="C2" s="2" t="inlineStr">
        <is>
          <t>Části a součásti kohoutů, ventilů a podobných zařízení pro potrubí (PTFE/PFA/ETFE lisované díly pro armatury a čerpadla): 40536A2 - Assembly Disc 1.4469 + Liner PTFE DN 100; 40710A2 - Assembly Disc + Liner DN 150; 40736A2 - Assembly Disc 1.4469 + Liner PTFE DN 150; 13392A7 - Seat PTFE + GFT DN 080</t>
        </is>
      </c>
      <c r="D2" s="2" t="inlineStr">
        <is>
          <t>IN</t>
        </is>
      </c>
      <c r="E2" s="3" t="n">
        <v>794</v>
      </c>
      <c r="F2" s="4" t="n">
        <v>460.784</v>
      </c>
      <c r="G2" s="4" t="n">
        <v>626</v>
      </c>
      <c r="H2" s="5" t="n">
        <v>36752.74</v>
      </c>
      <c r="I2" s="2" t="inlineStr">
        <is>
          <t>FCA Mahad</t>
        </is>
      </c>
      <c r="J2" s="2" t="inlineStr"/>
      <c r="K2" s="2" t="inlineStr">
        <is>
          <t>Bez preferenční věty → clo pro třetí země. Faktury: F26026270774, F26026270968, F26026271062</t>
        </is>
      </c>
    </row>
    <row r="3">
      <c r="D3" s="6" t="inlineStr">
        <is>
          <t>CELKEM</t>
        </is>
      </c>
      <c r="E3" s="7" t="n">
        <v>794</v>
      </c>
      <c r="F3" s="8" t="n">
        <v>460.784</v>
      </c>
      <c r="G3" s="8" t="n">
        <v>626</v>
      </c>
      <c r="H3" s="9" t="n">
        <v>36752.74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6" customWidth="1" min="3" max="3"/>
    <col width="11" customWidth="1" min="4" max="4"/>
    <col width="11" customWidth="1" min="5" max="5"/>
    <col width="12" customWidth="1" min="6" max="6"/>
    <col width="13" customWidth="1" min="7" max="7"/>
    <col width="12" customWidth="1" min="8" max="8"/>
    <col width="13" customWidth="1" min="9" max="9"/>
  </cols>
  <sheetData>
    <row r="1" ht="30" customHeight="1">
      <c r="A1" s="1" t="inlineStr">
        <is>
          <t>Faktura</t>
        </is>
      </c>
      <c r="B1" s="1" t="inlineStr">
        <is>
          <t>Datum</t>
        </is>
      </c>
      <c r="C1" s="1" t="inlineStr">
        <is>
          <t>Materiál / popis</t>
        </is>
      </c>
      <c r="D1" s="1" t="inlineStr">
        <is>
          <t>HS kód</t>
        </is>
      </c>
      <c r="E1" s="1" t="inlineStr">
        <is>
          <t>Množství (ks)</t>
        </is>
      </c>
      <c r="F1" s="1" t="inlineStr">
        <is>
          <t>Cena/ks (EUR)</t>
        </is>
      </c>
      <c r="G1" s="1" t="inlineStr">
        <is>
          <t>Hodnota (EUR)</t>
        </is>
      </c>
      <c r="H1" s="1" t="inlineStr">
        <is>
          <t>Čistá hm. (kg)</t>
        </is>
      </c>
      <c r="I1" s="1" t="inlineStr">
        <is>
          <t>Hrubá hm. (kg) *</t>
        </is>
      </c>
    </row>
    <row r="2">
      <c r="A2" s="10" t="inlineStr">
        <is>
          <t>F26026270774</t>
        </is>
      </c>
      <c r="B2" s="10" t="inlineStr">
        <is>
          <t>28.05.2026</t>
        </is>
      </c>
      <c r="C2" s="10" t="inlineStr">
        <is>
          <t>40536A2 - Assembly Disc 1.4469 + Liner PTFE DN 100</t>
        </is>
      </c>
      <c r="D2" s="10" t="inlineStr">
        <is>
          <t>84819090</t>
        </is>
      </c>
      <c r="E2" s="11" t="n">
        <v>26</v>
      </c>
      <c r="F2" s="12" t="n">
        <v>79.55</v>
      </c>
      <c r="G2" s="12" t="n">
        <v>2068.3</v>
      </c>
      <c r="H2" s="13" t="n">
        <v>26.78</v>
      </c>
      <c r="I2" s="13" t="n">
        <v>34.957</v>
      </c>
    </row>
    <row r="3">
      <c r="A3" s="10" t="inlineStr">
        <is>
          <t>F26026270774</t>
        </is>
      </c>
      <c r="B3" s="10" t="inlineStr">
        <is>
          <t>28.05.2026</t>
        </is>
      </c>
      <c r="C3" s="10" t="inlineStr">
        <is>
          <t>40710A2 - Assembly Disc + Liner DN 150</t>
        </is>
      </c>
      <c r="D3" s="10" t="inlineStr">
        <is>
          <t>84819090</t>
        </is>
      </c>
      <c r="E3" s="11" t="n">
        <v>3</v>
      </c>
      <c r="F3" s="12" t="n">
        <v>225.93</v>
      </c>
      <c r="G3" s="12" t="n">
        <v>677.79</v>
      </c>
      <c r="H3" s="13" t="n">
        <v>8.699999999999999</v>
      </c>
      <c r="I3" s="13" t="n">
        <v>11.357</v>
      </c>
    </row>
    <row r="4">
      <c r="A4" s="10" t="inlineStr">
        <is>
          <t>F26026270774</t>
        </is>
      </c>
      <c r="B4" s="10" t="inlineStr">
        <is>
          <t>28.05.2026</t>
        </is>
      </c>
      <c r="C4" s="10" t="inlineStr">
        <is>
          <t>40710A2 - Assembly Disc + Liner DN 150</t>
        </is>
      </c>
      <c r="D4" s="10" t="inlineStr">
        <is>
          <t>84819090</t>
        </is>
      </c>
      <c r="E4" s="11" t="n">
        <v>29</v>
      </c>
      <c r="F4" s="12" t="n">
        <v>225.93</v>
      </c>
      <c r="G4" s="12" t="n">
        <v>6551.97</v>
      </c>
      <c r="H4" s="13" t="n">
        <v>84.09999999999999</v>
      </c>
      <c r="I4" s="13" t="n">
        <v>109.78</v>
      </c>
    </row>
    <row r="5">
      <c r="A5" s="10" t="inlineStr">
        <is>
          <t>F26026270774</t>
        </is>
      </c>
      <c r="B5" s="10" t="inlineStr">
        <is>
          <t>28.05.2026</t>
        </is>
      </c>
      <c r="C5" s="10" t="inlineStr">
        <is>
          <t>40710A2 - Assembly Disc + Liner DN 150</t>
        </is>
      </c>
      <c r="D5" s="10" t="inlineStr">
        <is>
          <t>84819090</t>
        </is>
      </c>
      <c r="E5" s="11" t="n">
        <v>28</v>
      </c>
      <c r="F5" s="12" t="n">
        <v>225.93</v>
      </c>
      <c r="G5" s="12" t="n">
        <v>6326.04</v>
      </c>
      <c r="H5" s="13" t="n">
        <v>81.2</v>
      </c>
      <c r="I5" s="13" t="n">
        <v>105.994</v>
      </c>
    </row>
    <row r="6">
      <c r="A6" s="10" t="inlineStr">
        <is>
          <t>F26026270774</t>
        </is>
      </c>
      <c r="B6" s="10" t="inlineStr">
        <is>
          <t>28.05.2026</t>
        </is>
      </c>
      <c r="C6" s="10" t="inlineStr">
        <is>
          <t>40710A2 - Assembly Disc + Liner DN 150</t>
        </is>
      </c>
      <c r="D6" s="10" t="inlineStr">
        <is>
          <t>84819090</t>
        </is>
      </c>
      <c r="E6" s="11" t="n">
        <v>39</v>
      </c>
      <c r="F6" s="12" t="n">
        <v>225.93</v>
      </c>
      <c r="G6" s="12" t="n">
        <v>8811.27</v>
      </c>
      <c r="H6" s="13" t="n">
        <v>113.1</v>
      </c>
      <c r="I6" s="13" t="n">
        <v>147.635</v>
      </c>
    </row>
    <row r="7">
      <c r="A7" s="10" t="inlineStr">
        <is>
          <t>F26026270774</t>
        </is>
      </c>
      <c r="B7" s="10" t="inlineStr">
        <is>
          <t>28.05.2026</t>
        </is>
      </c>
      <c r="C7" s="10" t="inlineStr">
        <is>
          <t>40710A2 - Assembly Disc + Liner DN 150</t>
        </is>
      </c>
      <c r="D7" s="10" t="inlineStr">
        <is>
          <t>84819090</t>
        </is>
      </c>
      <c r="E7" s="11" t="n">
        <v>36</v>
      </c>
      <c r="F7" s="12" t="n">
        <v>225.93</v>
      </c>
      <c r="G7" s="12" t="n">
        <v>8133.48</v>
      </c>
      <c r="H7" s="13" t="n">
        <v>104.4</v>
      </c>
      <c r="I7" s="13" t="n">
        <v>136.278</v>
      </c>
    </row>
    <row r="8">
      <c r="A8" s="10" t="inlineStr">
        <is>
          <t>F26026270968</t>
        </is>
      </c>
      <c r="B8" s="10" t="inlineStr">
        <is>
          <t>08.06.2026</t>
        </is>
      </c>
      <c r="C8" s="10" t="inlineStr">
        <is>
          <t>40736A2 - Assembly Disc 1.4469 + Liner PTFE DN 150</t>
        </is>
      </c>
      <c r="D8" s="10" t="inlineStr">
        <is>
          <t>84819090</t>
        </is>
      </c>
      <c r="E8" s="11" t="n">
        <v>12</v>
      </c>
      <c r="F8" s="12" t="n">
        <v>149.42</v>
      </c>
      <c r="G8" s="12" t="n">
        <v>1793.04</v>
      </c>
      <c r="H8" s="13" t="n">
        <v>27.6</v>
      </c>
      <c r="I8" s="13" t="n">
        <v>46</v>
      </c>
    </row>
    <row r="9">
      <c r="A9" s="10" t="inlineStr">
        <is>
          <t>F26026271062</t>
        </is>
      </c>
      <c r="B9" s="10" t="inlineStr">
        <is>
          <t>15.06.2026</t>
        </is>
      </c>
      <c r="C9" s="10" t="inlineStr">
        <is>
          <t>13392A7 - Seat PTFE + GFT DN 080</t>
        </is>
      </c>
      <c r="D9" s="10" t="inlineStr">
        <is>
          <t>84819090</t>
        </is>
      </c>
      <c r="E9" s="11" t="n">
        <v>231</v>
      </c>
      <c r="F9" s="12" t="n">
        <v>3.85</v>
      </c>
      <c r="G9" s="12" t="n">
        <v>889.35</v>
      </c>
      <c r="H9" s="13" t="n">
        <v>5.544</v>
      </c>
      <c r="I9" s="13" t="n">
        <v>12.647</v>
      </c>
    </row>
    <row r="10">
      <c r="A10" s="10" t="inlineStr">
        <is>
          <t>F26026271062</t>
        </is>
      </c>
      <c r="B10" s="10" t="inlineStr">
        <is>
          <t>15.06.2026</t>
        </is>
      </c>
      <c r="C10" s="10" t="inlineStr">
        <is>
          <t>13392A7 - Seat PTFE + GFT DN 080</t>
        </is>
      </c>
      <c r="D10" s="10" t="inlineStr">
        <is>
          <t>84819090</t>
        </is>
      </c>
      <c r="E10" s="11" t="n">
        <v>215</v>
      </c>
      <c r="F10" s="12" t="n">
        <v>3.85</v>
      </c>
      <c r="G10" s="12" t="n">
        <v>827.75</v>
      </c>
      <c r="H10" s="13" t="n">
        <v>5.16</v>
      </c>
      <c r="I10" s="13" t="n">
        <v>11.771</v>
      </c>
    </row>
    <row r="11">
      <c r="A11" s="10" t="inlineStr">
        <is>
          <t>F26026271062</t>
        </is>
      </c>
      <c r="B11" s="10" t="inlineStr">
        <is>
          <t>15.06.2026</t>
        </is>
      </c>
      <c r="C11" s="10" t="inlineStr">
        <is>
          <t>13392A7 - Seat PTFE + GFT DN 080</t>
        </is>
      </c>
      <c r="D11" s="10" t="inlineStr">
        <is>
          <t>84819090</t>
        </is>
      </c>
      <c r="E11" s="11" t="n">
        <v>143</v>
      </c>
      <c r="F11" s="12" t="n">
        <v>3.85</v>
      </c>
      <c r="G11" s="12" t="n">
        <v>550.55</v>
      </c>
      <c r="H11" s="13" t="n">
        <v>3.432</v>
      </c>
      <c r="I11" s="13" t="n">
        <v>7.829</v>
      </c>
    </row>
    <row r="12">
      <c r="A12" s="10" t="inlineStr">
        <is>
          <t>F26026271062</t>
        </is>
      </c>
      <c r="B12" s="10" t="inlineStr">
        <is>
          <t>15.06.2026</t>
        </is>
      </c>
      <c r="C12" s="10" t="inlineStr">
        <is>
          <t>13392A7 - Seat PTFE + GFT DN 080</t>
        </is>
      </c>
      <c r="D12" s="10" t="inlineStr">
        <is>
          <t>84819090</t>
        </is>
      </c>
      <c r="E12" s="11" t="n">
        <v>32</v>
      </c>
      <c r="F12" s="12" t="n">
        <v>3.85</v>
      </c>
      <c r="G12" s="12" t="n">
        <v>123.2</v>
      </c>
      <c r="H12" s="13" t="n">
        <v>0.768</v>
      </c>
      <c r="I12" s="13" t="n">
        <v>1.752</v>
      </c>
    </row>
    <row r="13">
      <c r="A13" s="14" t="inlineStr">
        <is>
          <t>CELKEM</t>
        </is>
      </c>
      <c r="B13" s="14" t="inlineStr"/>
      <c r="C13" s="14" t="inlineStr"/>
      <c r="D13" s="14" t="inlineStr"/>
      <c r="E13" s="6" t="n">
        <v>794</v>
      </c>
      <c r="F13" s="6" t="inlineStr"/>
      <c r="G13" s="9" t="n">
        <v>36752.74</v>
      </c>
      <c r="H13" s="8" t="n">
        <v>460.784</v>
      </c>
      <c r="I13" s="8" t="n">
        <v>626</v>
      </c>
    </row>
    <row r="15">
      <c r="A15" s="15" t="inlineStr">
        <is>
          <t>* Hrubá hmotnost je v podkladech uvedena jen souhrnně za fakturu/balicí list, nikoli po položkách — zde rozpočítána poměrně podle čisté hmotnosti.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6">
        <f>== ZÁSILKA ===</f>
        <v/>
      </c>
    </row>
    <row r="2">
      <c r="A2" s="17" t="inlineStr">
        <is>
          <t>Klient / příjemce v ČR: ABO Valve s.r.o., Dalomilova 285/54, 783 35 Olomouc-Chomoutov</t>
        </is>
      </c>
    </row>
    <row r="3">
      <c r="A3" s="17" t="inlineStr">
        <is>
          <t>EORI příjemce: 49609050 / DIČ: CZ49609050</t>
        </is>
      </c>
    </row>
    <row r="4">
      <c r="A4" s="17" t="inlineStr">
        <is>
          <t>Číslo zásilky (job/HBL Austromar): GPNQPRG260600074</t>
        </is>
      </c>
    </row>
    <row r="5">
      <c r="A5" s="17" t="inlineStr">
        <is>
          <t>Odesílatel (fakturující): Duflon Europe KFT, Floor 2, Honved utca 8.1, H-001054 Budapest, EORI HU01231973, DIČ HU29253795</t>
        </is>
      </c>
    </row>
    <row r="6">
      <c r="A6" s="17" t="inlineStr">
        <is>
          <t>Výrobce / vývozce: DuFlon Industries Pvt. Ltd., C-100/101/102, MIDC Mahad, Raigad, Maharashtra 402302, Indie (100% EOU)</t>
        </is>
      </c>
    </row>
    <row r="7">
      <c r="A7" s="17" t="inlineStr">
        <is>
          <t>Fakturováno na: ABO Valve s.r.o. (consignee i bill-to)</t>
        </is>
      </c>
    </row>
    <row r="8">
      <c r="A8" s="17" t="inlineStr">
        <is>
          <t>Země původu zboží: Indie (IN). Země určení: Česká republika.</t>
        </is>
      </c>
    </row>
    <row r="9">
      <c r="A9" s="17" t="inlineStr">
        <is>
          <t>Doprava: námořní, LCL/LCL, CFS/CFS. Kontejner TRHU5061482 / 5856636 / 40HC, plomba LG00830343.</t>
        </is>
      </c>
    </row>
    <row r="10">
      <c r="A10" s="17" t="inlineStr">
        <is>
          <t>Trasa: Nhava Sheva (11/07/2026, shipped on board 12/07/2026) → Praha → Brno (CZ). ICD Pune - M.S. CFS.</t>
        </is>
      </c>
    </row>
    <row r="11">
      <c r="A11" s="17" t="inlineStr">
        <is>
          <t>S/B č. 4196565 ze dne 16/06/2026. Dopravce/agent: Austromar obchodní a dopravní spol. s r.o., Praha 10.</t>
        </is>
      </c>
    </row>
    <row r="12">
      <c r="A12" s="17" t="inlineStr">
        <is>
          <t>Celkem 5 beden, 2,598 m3, hrubá 626,000 kg, čistá 460,784 kg — souhlasí se součtem 3 balicích listů.</t>
        </is>
      </c>
    </row>
    <row r="13">
      <c r="A13" s="17" t="inlineStr"/>
    </row>
    <row r="14">
      <c r="A14" s="16">
        <f>== PODKLADY (stav 14.08.2026) ===</f>
        <v/>
      </c>
    </row>
    <row r="15">
      <c r="A15" s="17" t="inlineStr">
        <is>
          <t>✓ Balicí list F26026270774 (28.05.2026) — 3 bedny, box 1000136505–1000136507</t>
        </is>
      </c>
    </row>
    <row r="16">
      <c r="A16" s="17" t="inlineStr">
        <is>
          <t>✓ Balicí list F26026270968 (08.06.2026) — 1 bedna, box 1000137212</t>
        </is>
      </c>
    </row>
    <row r="17">
      <c r="A17" s="17" t="inlineStr">
        <is>
          <t>✓ Balicí list F26026271062 (15.06.2026) — 1 bedna, box 1000137437</t>
        </is>
      </c>
    </row>
    <row r="18">
      <c r="A18" s="17" t="inlineStr">
        <is>
          <t>✓ Obchodní faktura F26026270774 / 0090080838 (29.05.2026) — 32 568,85 EUR</t>
        </is>
      </c>
    </row>
    <row r="19">
      <c r="A19" s="17" t="inlineStr">
        <is>
          <t>✓ Obchodní faktura F26026270968 / 0090081179 (08.06.2026) — 1 793,04 EUR</t>
        </is>
      </c>
    </row>
    <row r="20">
      <c r="A20" s="17" t="inlineStr">
        <is>
          <t>✓ Obchodní faktura F26026271062 / 0090081391 (16.06.2026) — 2 390,85 EUR</t>
        </is>
      </c>
    </row>
    <row r="21">
      <c r="A21" s="17" t="inlineStr">
        <is>
          <t>✓ Přepravní doklad / HBL Austromar GPNQPRG260600074</t>
        </is>
      </c>
    </row>
    <row r="22">
      <c r="A22" s="18" t="inlineStr">
        <is>
          <t>! Chybí: plná moc k zastoupení, prohlášení o obalech, doklad o přepravních nákladech do hranice EU (viz Incoterm níže).</t>
        </is>
      </c>
    </row>
    <row r="23">
      <c r="A23" s="17" t="inlineStr"/>
    </row>
    <row r="24">
      <c r="A24" s="16">
        <f>== ⚠ PREFERENČNÍ VĚTA / COO — DŮLEŽITÉ ===</f>
        <v/>
      </c>
    </row>
    <row r="25">
      <c r="A25" s="18" t="inlineStr">
        <is>
          <t>V žádné ze tří obchodních faktur NENÍ uvedena preferenční věta (prohlášení o preferenčním původu).</t>
        </is>
      </c>
    </row>
    <row r="26">
      <c r="A26" s="17" t="inlineStr">
        <is>
          <t>Země původu zboží je Indie (uvedena na všech fakturách v poli 'Country of Origin of Goods: India').</t>
        </is>
      </c>
    </row>
    <row r="27">
      <c r="A27" s="18" t="inlineStr">
        <is>
          <t>→ Bez preferenční věty NELZE uplatnit preferenční sazbu — použije se celní sazba pro třetí země (erga omnes).</t>
        </is>
      </c>
    </row>
    <row r="28">
      <c r="A28" s="17" t="inlineStr">
        <is>
          <t>Pozn.: EU a Indie nemají v platnosti dohodu o volném obchodu; pro pol. 8481 90 nelze uplatnit ani GSP</t>
        </is>
      </c>
    </row>
    <row r="29">
      <c r="A29" s="17" t="inlineStr">
        <is>
          <t>(Indie je pro tuto třídu zboží vyřazena/graduována). Preferenční zacházení tedy reálně nepřipadá v úvahu.</t>
        </is>
      </c>
    </row>
    <row r="30">
      <c r="A30" s="18" t="inlineStr">
        <is>
          <t>→ OVĚŘIT AKTUÁLNÍ SAZBU V TARIC pro kód 8481 90 00 (orientačně 2,2 % erga omnes) — sazbu nepřebírat z tohoto souboru bez kontroly.</t>
        </is>
      </c>
    </row>
    <row r="31">
      <c r="A31" s="17" t="inlineStr"/>
    </row>
    <row r="32">
      <c r="A32" s="16">
        <f>== ⚠ INCOTERM — ROZPOR V DOKLADECH ===</f>
        <v/>
      </c>
    </row>
    <row r="33">
      <c r="A33" s="17" t="inlineStr">
        <is>
          <t>Obchodní faktury (všechny 3): 'Term of Shipment: FCA MAHAD' → FCA Mahad (Indie).</t>
        </is>
      </c>
    </row>
    <row r="34">
      <c r="A34" s="18" t="inlineStr">
        <is>
          <t>Přepravní doklad (HBL Austromar) uvádí: 'EX-WORK' → EXW.</t>
        </is>
      </c>
    </row>
    <row r="35">
      <c r="A35" s="18" t="inlineStr">
        <is>
          <t>→ ROZPOR. V souhrnu je použito FCA Mahad podle obchodních faktur (rozhodující doklad pro celní hodnotu).</t>
        </is>
      </c>
    </row>
    <row r="36">
      <c r="A36" s="17" t="inlineStr">
        <is>
          <t>Dopad: u FCA i EXW se do celní hodnoty přičítají náklady dopravy a pojištění do místa vstupu do EU</t>
        </is>
      </c>
    </row>
    <row r="37">
      <c r="A37" s="17" t="inlineStr">
        <is>
          <t>(u EXW navíc náklady nakládky/vývozního odbavení v Indii). Je nutné doložit skutečné přepravní náklady.</t>
        </is>
      </c>
    </row>
    <row r="38">
      <c r="A38" s="18" t="inlineStr">
        <is>
          <t>→ Prosím potvrdit s klientem/dopravcem, který incoterm platí, a doložit fakturu za přepravu.</t>
        </is>
      </c>
    </row>
    <row r="39">
      <c r="A39" s="17" t="inlineStr"/>
    </row>
    <row r="40">
      <c r="A40" s="16">
        <f>== CBAM ===</f>
        <v/>
      </c>
    </row>
    <row r="41">
      <c r="A41" s="17" t="inlineStr">
        <is>
          <t>Zboží zásilky je zařazeno pod HS 8481 90 90 (kapitola 84 — části armatur).</t>
        </is>
      </c>
    </row>
    <row r="42">
      <c r="A42" s="17" t="inlineStr">
        <is>
          <t>Tento kód NENÍ na seznamu CBAM zboží (příloha I nařízení o CBAM zahrnuje cement, elektřinu, hnojiva,</t>
        </is>
      </c>
    </row>
    <row r="43">
      <c r="A43" s="17" t="inlineStr">
        <is>
          <t>železo a ocel, hliník a vodík — kapitoly 25, 27, 28, 31, 72, 73, 76). → CBAM se na tuto zásilku NEVZTAHUJE.</t>
        </is>
      </c>
    </row>
    <row r="44">
      <c r="A44" s="18" t="inlineStr">
        <is>
          <t>! Příjemce ABO Valve s.r.o. (EORI 49609050) NENÍ v registru reference/CBAM_receivers_CZ.xlsx (list List1, 100 záznamů).</t>
        </is>
      </c>
    </row>
    <row r="45">
      <c r="A45" s="18" t="inlineStr">
        <is>
          <t>→ Pro tuto zásilku to nevadí (není CBAM zboží), ale doporučuji firmu prověřit a případně doplnit do registru</t>
        </is>
      </c>
    </row>
    <row r="46">
      <c r="A46" s="17" t="inlineStr">
        <is>
          <t xml:space="preserve">   pro budoucí zásilky — ABO Valve je výrobce armatur a může dovážet i zboží z kapitol 72/73/76.</t>
        </is>
      </c>
    </row>
    <row r="47">
      <c r="A47" s="17" t="inlineStr">
        <is>
          <t>Pozn.: nenalezena ani mezi firmami mimo EU využívajícími sdílený účet CBAM-CZ-2025-QGM67089385721.</t>
        </is>
      </c>
    </row>
    <row r="48">
      <c r="A48" s="17" t="inlineStr"/>
    </row>
    <row r="49">
      <c r="A49" s="16">
        <f>== ANTIDUMPING ===</f>
        <v/>
      </c>
    </row>
    <row r="50">
      <c r="A50" s="17" t="inlineStr">
        <is>
          <t>Pro HS 8481 90 90 s původem v Indii nebyla identifikována žádná platná antidumpingová opatření.</t>
        </is>
      </c>
    </row>
    <row r="51">
      <c r="A51" s="18" t="inlineStr">
        <is>
          <t>→ Doporučuji přesto ověřit v TARIC k datu propuštění (opatření se mění).</t>
        </is>
      </c>
    </row>
    <row r="52">
      <c r="A52" s="17" t="inlineStr"/>
    </row>
    <row r="53">
      <c r="A53" s="16">
        <f>== SLEVA / CELNÍ HODNOTA ===</f>
        <v/>
      </c>
    </row>
    <row r="54">
      <c r="A54" s="17" t="inlineStr">
        <is>
          <t>Na žádné z faktur není uvedena sleva (Discount: 0,00) ani dopravné (Freight: 0,00), VAT/TAX 0,00 (VAT Rate: NIL).</t>
        </is>
      </c>
    </row>
    <row r="55">
      <c r="A55" s="17" t="inlineStr">
        <is>
          <t>→ Poměrná obchodní sleva se neuplatňuje. Celní hodnota = fakturovaná hodnota + doprava a pojištění do hranice EU.</t>
        </is>
      </c>
    </row>
    <row r="56">
      <c r="A56" s="17" t="inlineStr">
        <is>
          <t>Fakturovaná hodnota celkem: 36 752,74 EUR (32 568,85 + 1 793,04 + 2 390,85). Měna: EUR.</t>
        </is>
      </c>
    </row>
    <row r="57">
      <c r="A57" s="17" t="inlineStr"/>
    </row>
    <row r="58">
      <c r="A58" s="16">
        <f>== POPIS ZBOŽÍ / JAZYK ===</f>
        <v/>
      </c>
    </row>
    <row r="59">
      <c r="A59" s="18" t="inlineStr">
        <is>
          <t>! V podkladech NENÍ k dispozici český popis zboží — všechny doklady jsou v angličtině.</t>
        </is>
      </c>
    </row>
    <row r="60">
      <c r="A60" s="17" t="inlineStr">
        <is>
          <t>→ Popis ve sloupci 'Popis zboží' je proto český popis dle celní nomenklatury k HS 8481 90</t>
        </is>
      </c>
    </row>
    <row r="61">
      <c r="A61" s="17" t="inlineStr">
        <is>
          <t xml:space="preserve">   doplněný o originální (anglická) označení materiálů z faktur. Prosím o kontrolu/potvrzení znění.</t>
        </is>
      </c>
    </row>
    <row r="62">
      <c r="A62" s="17" t="inlineStr">
        <is>
          <t>Materiál dle balicích listů: 'CUST.PTFE/PFA/ETFE MOULDED M.CNED PRODUCTS'.</t>
        </is>
      </c>
    </row>
    <row r="63">
      <c r="A63" s="17" t="inlineStr">
        <is>
          <t>Poznámka výrobce: 'This material goes into the pumps and valves and is used in chemical processed</t>
        </is>
      </c>
    </row>
    <row r="64">
      <c r="A64" s="17" t="inlineStr">
        <is>
          <t>industries. This is non-hazardous.' → zboží není nebezpečné.</t>
        </is>
      </c>
    </row>
    <row r="65">
      <c r="A65" s="17" t="inlineStr"/>
    </row>
    <row r="66">
      <c r="A66" s="16">
        <f>== KLASIFIKACE PODLE ODESÍLATELE ===</f>
        <v/>
      </c>
    </row>
    <row r="67">
      <c r="A67" s="17" t="inlineStr">
        <is>
          <t>Zásilka má jediného odesílatele (Duflon Europe KFT, fakturující; výrobce DuFlon Industries Pvt. Ltd., Indie)</t>
        </is>
      </c>
    </row>
    <row r="68">
      <c r="A68" s="17" t="inlineStr">
        <is>
          <t>a jediný HS kód 8481 90 90 → v souhrnu 1 řádek. Rozpis jednotlivých položek viz list 'Rozpis položek'.</t>
        </is>
      </c>
    </row>
    <row r="69">
      <c r="A69" s="17" t="inlineStr"/>
    </row>
    <row r="70">
      <c r="A70" s="16">
        <f>== HMOTNOSTI A KONTROLY ===</f>
        <v/>
      </c>
    </row>
    <row r="71">
      <c r="A71" s="17" t="inlineStr">
        <is>
          <t>Čistá hmotnost celkem: 460,784 kg — souhlasí s HBL i se součtem balicích listů.</t>
        </is>
      </c>
    </row>
    <row r="72">
      <c r="A72" s="17" t="inlineStr">
        <is>
          <t>Hrubá hmotnost celkem: 626,000 kg — souhlasí s HBL i se součtem balicích listů.</t>
        </is>
      </c>
    </row>
    <row r="73">
      <c r="A73" s="17" t="inlineStr">
        <is>
          <t>Množství celkem: 794 ks (161 + 12 + 621) — souhlasí se součtem faktur.</t>
        </is>
      </c>
    </row>
    <row r="74">
      <c r="A74" s="17" t="inlineStr">
        <is>
          <t>Hodnota celkem: 36 752,74 EUR — souhlasí se součtem faktur.</t>
        </is>
      </c>
    </row>
    <row r="75">
      <c r="A75" s="17" t="inlineStr">
        <is>
          <t>Hrubá hmotnost po položkách není v podkladech uvedena → rozpočítána poměrně podle čisté hmotnosti.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2026-08-14T11:41:08Z</dcterms:created>
  <dcterms:modified xsi:type="dcterms:W3CDTF">2026-08-14T11:41:08Z</dcterms:modified>
</cp:coreProperties>
</file>