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 Summary" sheetId="1" state="visible" r:id="rId1"/>
    <sheet name="Dokumenty a poznámk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b val="1"/>
      <color rgb="001F4E78"/>
      <sz val="11"/>
    </font>
    <font>
      <b val="1"/>
      <color rgb="009C0006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0B4"/>
      </patternFill>
    </fill>
    <fill>
      <patternFill patternType="solid">
        <fgColor rgb="00FFD966"/>
      </patternFill>
    </fill>
    <fill>
      <patternFill patternType="solid">
        <fgColor rgb="00D9D9D9"/>
      </patternFill>
    </fill>
    <fill>
      <patternFill patternType="solid">
        <fgColor rgb="00FF9B9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4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4" fontId="0" fillId="4" borderId="1" applyAlignment="1" pivotButton="0" quotePrefix="0" xfId="0">
      <alignment vertical="top" wrapText="1"/>
    </xf>
    <xf numFmtId="0" fontId="2" fillId="5" borderId="1" pivotButton="0" quotePrefix="0" xfId="0"/>
    <xf numFmtId="3" fontId="2" fillId="5" borderId="1" pivotButton="0" quotePrefix="0" xfId="0"/>
    <xf numFmtId="4" fontId="2" fillId="5" borderId="1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4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62" customWidth="1" min="3" max="3"/>
    <col width="26" customWidth="1" min="4" max="4"/>
    <col width="10" customWidth="1" min="5" max="5"/>
    <col width="13" customWidth="1" min="6" max="6"/>
    <col width="15" customWidth="1" min="7" max="7"/>
    <col width="15" customWidth="1" min="8" max="8"/>
    <col width="18" customWidth="1" min="9" max="9"/>
    <col width="13" customWidth="1" min="10" max="10"/>
    <col width="12" customWidth="1" min="11" max="11"/>
    <col width="20" customWidth="1" min="12" max="12"/>
    <col width="78" customWidth="1" min="13" max="13"/>
  </cols>
  <sheetData>
    <row r="1" ht="42" customHeight="1">
      <c r="A1" s="1" t="inlineStr">
        <is>
          <t>Odesílatel</t>
        </is>
      </c>
      <c r="B1" s="1" t="inlineStr">
        <is>
          <t>HS kód</t>
        </is>
      </c>
      <c r="C1" s="1" t="inlineStr">
        <is>
          <t>Popis zboží (CZ)</t>
        </is>
      </c>
      <c r="D1" s="1" t="inlineStr">
        <is>
          <t>Ontime kód</t>
        </is>
      </c>
      <c r="E1" s="1" t="inlineStr">
        <is>
          <t>Země původu (COO)</t>
        </is>
      </c>
      <c r="F1" s="1" t="inlineStr">
        <is>
          <t>Množství (ks)</t>
        </is>
      </c>
      <c r="G1" s="1" t="inlineStr">
        <is>
          <t>Čistá hmotnost (kg)</t>
        </is>
      </c>
      <c r="H1" s="1" t="inlineStr">
        <is>
          <t>Hrubá hmotnost (kg)</t>
        </is>
      </c>
      <c r="I1" s="1" t="inlineStr">
        <is>
          <t>Hrubá hm. vč. palet (kg)</t>
        </is>
      </c>
      <c r="J1" s="1" t="inlineStr">
        <is>
          <t>Hodnota EUR</t>
        </is>
      </c>
      <c r="K1" s="1" t="inlineStr">
        <is>
          <t>Incoterm</t>
        </is>
      </c>
      <c r="L1" s="1" t="inlineStr">
        <is>
          <t>Příznak</t>
        </is>
      </c>
      <c r="M1" s="1" t="inlineStr">
        <is>
          <t>TARIC / poznámka / CBAM / Antidumping</t>
        </is>
      </c>
    </row>
    <row r="2">
      <c r="A2" s="2" t="inlineStr">
        <is>
          <t>HANGZHOU ONTIME I.T. CO., LTD., Hangzhou, CN</t>
        </is>
      </c>
      <c r="B2" s="2" t="inlineStr">
        <is>
          <t>8531 90 00 00</t>
        </is>
      </c>
      <c r="C2" s="2" t="inlineStr">
        <is>
          <t>Standardní tvrdé etikety (štítky) k ochraně textilu, oděvu a příslušenství – frekvenční technologie RF / AM / RF &amp; AM a magnetický zámek. Určeno k ochraně zboží proti krádeži v obchodech.</t>
        </is>
      </c>
      <c r="D2" s="2" t="inlineStr">
        <is>
          <t>HD2094, HD2051</t>
        </is>
      </c>
      <c r="E2" s="2" t="inlineStr">
        <is>
          <t>CN</t>
        </is>
      </c>
      <c r="F2" s="3" t="n">
        <v>80000</v>
      </c>
      <c r="G2" s="4" t="n">
        <v>662</v>
      </c>
      <c r="H2" s="4" t="n">
        <v>710</v>
      </c>
      <c r="I2" s="4" t="n">
        <v>740.1420000000001</v>
      </c>
      <c r="J2" s="5" t="n">
        <v>5840</v>
      </c>
      <c r="K2" s="2" t="inlineStr">
        <is>
          <t>CFR Praha</t>
        </is>
      </c>
      <c r="L2" s="2" t="inlineStr"/>
      <c r="M2" s="2" t="inlineStr">
        <is>
          <t>Kód dle seznamu zákazníka – NEBYL předmětem sazebního zařazení z 8. 9. 2026. Bez preferenčního původu → plné třetizemské clo.</t>
        </is>
      </c>
    </row>
    <row r="3">
      <c r="A3" s="6" t="inlineStr">
        <is>
          <t>HANGZHOU ONTIME I.T. CO., LTD., Hangzhou, CN</t>
        </is>
      </c>
      <c r="B3" s="6" t="inlineStr">
        <is>
          <t>8528 59 00 90</t>
        </is>
      </c>
      <c r="C3" s="6" t="inlineStr">
        <is>
          <t>Barevné LCD reklamní zobrazovací přístroje s vlastním procesorem, pamětí a operačním systémem, s Wi-Fi pro nahrávání a distribuci obsahu, bez externího obrazového vstupu HDMI/DP/VGA/DVI. SRCS101 / SRCS101D: 10,1" TFT IPS, 800 × 1280 px, reprodukce videa MP4/AVI/MPEG (jednostranný / dvoustranný). SR1405: 23,1" stripe LCD regálový displej.</t>
        </is>
      </c>
      <c r="D3" s="6" t="inlineStr">
        <is>
          <t>SRCS101, SRCS101D, SR1405</t>
        </is>
      </c>
      <c r="E3" s="6" t="inlineStr">
        <is>
          <t>CN</t>
        </is>
      </c>
      <c r="F3" s="7" t="n">
        <v>3</v>
      </c>
      <c r="G3" s="8" t="n">
        <v>1.65</v>
      </c>
      <c r="H3" s="8" t="n">
        <v>2.123</v>
      </c>
      <c r="I3" s="8" t="n">
        <v>2.213</v>
      </c>
      <c r="J3" s="9" t="n">
        <v>194</v>
      </c>
      <c r="K3" s="6" t="inlineStr">
        <is>
          <t>CFR Praha</t>
        </is>
      </c>
      <c r="L3" s="6" t="inlineStr">
        <is>
          <t>ZMĚNA – POTVRZENO</t>
        </is>
      </c>
      <c r="M3" s="6" t="inlineStr">
        <is>
          <t>ZMĚNA sazebního zařazení 8. 9. 2026: SRCS101/SRCS101D z 8531 20 00 00 a SR1405 z 8531 20 95 90 → obojí 8528 59 00 90. Obě položky proto nyní tvoří jeden řádek. POTVRZENO KLIENTEM 9. 9. 2026 – podmínka návrhu („Pokud popis odpovídá charakteru zboží…“) je splněna, displeje nemají externí obrazový vstup HDMI/DP/VGA/DVI. POZOR: přeřazení z položky 8531 do 8528 59 (monitory) může znamenat výrazně vyšší celní sazbu – ověřit v TARIC k datu podání.</t>
        </is>
      </c>
    </row>
    <row r="4">
      <c r="A4" s="10" t="inlineStr">
        <is>
          <t>HANGZHOU ONTIME I.T. CO., LTD., Hangzhou, CN</t>
        </is>
      </c>
      <c r="B4" s="10" t="inlineStr">
        <is>
          <t>7326 90 98 90</t>
        </is>
      </c>
      <c r="C4" s="10" t="inlineStr">
        <is>
          <t>Stolní kovový nosný stojan ve tvaru T pro uchycení napájecí lišty SR8100 a LCD video tagů, s integrovaným přívodním elektrickým kabelem. Materiál stojanu: železo.</t>
        </is>
      </c>
      <c r="D4" s="10" t="inlineStr">
        <is>
          <t>SR8170</t>
        </is>
      </c>
      <c r="E4" s="10" t="inlineStr">
        <is>
          <t>CN</t>
        </is>
      </c>
      <c r="F4" s="11" t="n">
        <v>1</v>
      </c>
      <c r="G4" s="12" t="n">
        <v>1.68</v>
      </c>
      <c r="H4" s="12" t="n">
        <v>1.853</v>
      </c>
      <c r="I4" s="12" t="n">
        <v>1.932</v>
      </c>
      <c r="J4" s="13" t="n">
        <v>25</v>
      </c>
      <c r="K4" s="10" t="inlineStr">
        <is>
          <t>CFR Praha</t>
        </is>
      </c>
      <c r="L4" s="10" t="inlineStr">
        <is>
          <t>CBAM</t>
        </is>
      </c>
      <c r="M4" s="10" t="inlineStr">
        <is>
          <t>CBAM zboží (železo/ocel, příloha I) – JEDINÁ CBAM položka v zásilce, čistá hmotnost 1,68 kg. Příjemce V-TOP EUROPE s.r.o. (EORI CZ25795040) = Y137, do 50 t ročně. Kód doplněn ze 6místného 7326 90 na 7326 90 98 90. Antidumping: u této položky z ČLR není známé opatření – ověřit v TARIC.</t>
        </is>
      </c>
    </row>
    <row r="5">
      <c r="A5" s="6" t="inlineStr">
        <is>
          <t>HANGZHOU ONTIME I.T. CO., LTD., Hangzhou, CN</t>
        </is>
      </c>
      <c r="B5" s="6" t="inlineStr">
        <is>
          <t>8504 40 83 90</t>
        </is>
      </c>
      <c r="C5" s="6" t="inlineStr">
        <is>
          <t>Externí napájecí adaptér pro video tag; převod síťového střídavého napětí na stabilizovaný stejnosměrný výstup 24 V; max. výstupní výkon 24 × 2,5 = 60 W.</t>
        </is>
      </c>
      <c r="D5" s="6" t="inlineStr">
        <is>
          <t>SR8111</t>
        </is>
      </c>
      <c r="E5" s="6" t="inlineStr">
        <is>
          <t>CN</t>
        </is>
      </c>
      <c r="F5" s="7" t="n">
        <v>1</v>
      </c>
      <c r="G5" s="8" t="n">
        <v>0.34</v>
      </c>
      <c r="H5" s="8" t="n">
        <v>0.375</v>
      </c>
      <c r="I5" s="8" t="n">
        <v>0.391</v>
      </c>
      <c r="J5" s="9" t="n">
        <v>8</v>
      </c>
      <c r="K5" s="6" t="inlineStr">
        <is>
          <t>CFR Praha</t>
        </is>
      </c>
      <c r="L5" s="6" t="inlineStr">
        <is>
          <t>VYŘEŠENO – POTVRZENO</t>
        </is>
      </c>
      <c r="M5" s="6" t="inlineStr">
        <is>
          <t>Chybějící HS kód DOPLNĚN sazebním zařazením 8. 9. 2026 (dříve „?“). POTVRZENO KLIENTEM 9. 9. 2026 – podmínka návrhu je splněna, parametry adaptéru (výstup 24 V DC, max. 60 W) odpovídají popisu.</t>
        </is>
      </c>
    </row>
    <row r="6">
      <c r="A6" s="6" t="inlineStr">
        <is>
          <t>HANGZHOU ONTIME I.T. CO., LTD., Hangzhou, CN</t>
        </is>
      </c>
      <c r="B6" s="6" t="inlineStr">
        <is>
          <t>8536 90 01 00</t>
        </is>
      </c>
      <c r="C6" s="6" t="inlineStr">
        <is>
          <t>Horizontální napájecí lišta s měděnými kontakty pro mechanické uchycení a napájení LCD video tagů, 0,5 m. Materiál: hliník, železo a měď.</t>
        </is>
      </c>
      <c r="D6" s="6" t="inlineStr">
        <is>
          <t>SR8100</t>
        </is>
      </c>
      <c r="E6" s="6" t="inlineStr">
        <is>
          <t>CN</t>
        </is>
      </c>
      <c r="F6" s="7" t="n">
        <v>1</v>
      </c>
      <c r="G6" s="8" t="n">
        <v>0.28</v>
      </c>
      <c r="H6" s="8" t="n">
        <v>0.309</v>
      </c>
      <c r="I6" s="8" t="n">
        <v>0.322</v>
      </c>
      <c r="J6" s="9" t="n">
        <v>2.2</v>
      </c>
      <c r="K6" s="6" t="inlineStr">
        <is>
          <t>CFR Praha</t>
        </is>
      </c>
      <c r="L6" s="6" t="inlineStr">
        <is>
          <t>ZMĚNA – CBAM ODPADÁ</t>
        </is>
      </c>
      <c r="M6" s="6" t="inlineStr">
        <is>
          <t>ZMĚNA sazebního zařazení 8. 9. 2026: z 7616 99 (hliník) → 8536 90 01 00. Zákazník opravil popis: název „magnetic power rail“ byl chybný, nejde o magnetickou hliníkovou lištu, ale o vrchní lištu stojanu s měděnými kontakty (uchycení čistě mechanické). DŮSLEDEK: položka již NENÍ CBAM zboží a odpadá i podezření na antidumping dle nař. (EU) 2021/1784. Opravený popis POTVRZEN KLIENTEM 9. 9. 2026.</t>
        </is>
      </c>
    </row>
    <row r="7">
      <c r="A7" s="14" t="inlineStr">
        <is>
          <t>CELKEM</t>
        </is>
      </c>
      <c r="B7" s="14" t="n"/>
      <c r="C7" s="14" t="n"/>
      <c r="D7" s="14" t="n"/>
      <c r="E7" s="14" t="n"/>
      <c r="F7" s="15" t="n">
        <v>80006</v>
      </c>
      <c r="G7" s="16" t="n">
        <v>665.95</v>
      </c>
      <c r="H7" s="16" t="n">
        <v>714.66</v>
      </c>
      <c r="I7" s="16" t="n">
        <v>745</v>
      </c>
      <c r="J7" s="16" t="n">
        <v>6069.2</v>
      </c>
      <c r="K7" s="14" t="inlineStr">
        <is>
          <t>CFR Praha</t>
        </is>
      </c>
      <c r="L7" s="14" t="n"/>
      <c r="M7" s="14" t="n"/>
    </row>
    <row r="9">
      <c r="A9" s="17" t="inlineStr">
        <is>
          <t>Legenda:</t>
        </is>
      </c>
      <c r="B9" s="18" t="inlineStr"/>
    </row>
    <row r="10">
      <c r="A10" s="17" t="inlineStr">
        <is>
          <t>🟡 ORANŽOVÁ</t>
        </is>
      </c>
      <c r="B10" s="18" t="inlineStr">
        <is>
          <t>CBAM zboží – v JSD uvést kód Y137 (výjimka de minimis) u příjemce V-TOP EUROPE s.r.o.</t>
        </is>
      </c>
    </row>
    <row r="11">
      <c r="A11" s="17" t="inlineStr">
        <is>
          <t>🟢 ZELENÁ</t>
        </is>
      </c>
      <c r="B11" s="18" t="inlineStr">
        <is>
          <t>Sazebním zařazením z 8. 9. 2026 změněno nebo doplněno; POTVRZENO KLIENTEM 9. 9. 2026.</t>
        </is>
      </c>
    </row>
    <row r="12">
      <c r="A12" s="17" t="inlineStr">
        <is>
          <t>Stav</t>
        </is>
      </c>
      <c r="B12" s="18" t="inlineStr">
        <is>
          <t>Celá tabulka POTVRZENA KLIENTEM 9. 9. 2026. Podmíněné návrhy jsou tím uzavřené.</t>
        </is>
      </c>
    </row>
    <row r="13">
      <c r="A13" s="17" t="inlineStr">
        <is>
          <t>Zdroj HS kódů</t>
        </is>
      </c>
      <c r="B13" s="18" t="inlineStr">
        <is>
          <t>HS_kody_27.8.2026TARIF20260908.xlsx – sazební zařazení ze dne 8. 9. 2026 (sloupec „návrh TC kódu“). Přeškrtnuté kódy v souboru = původní kódy zákazníka, nahrazeny novým návrhem.</t>
        </is>
      </c>
    </row>
    <row r="14">
      <c r="A14" s="17" t="inlineStr">
        <is>
          <t>Klasifikace</t>
        </is>
      </c>
      <c r="B14" s="18" t="inlineStr">
        <is>
          <t>Jediný odesílatel (Hangzhou Ontime I.T. Co., Ltd.) → položky sloučeny na unikátní HS kódy. Po přeřazení mají SRCS101, SRCS101D i SR1405 shodný kód 8528 59 00 90 a tvoří jeden řádek.</t>
        </is>
      </c>
    </row>
    <row r="15">
      <c r="A15" s="17" t="inlineStr">
        <is>
          <t>Hrubá hmotnost</t>
        </is>
      </c>
      <c r="B15" s="18" t="inlineStr">
        <is>
          <t>Sloupec H = hrubá hmotnost kartonů dle packing listu (celkem 714.66 kg). Karton s příslušenstvím (1 CTN, 3,42 kg) obsahuje SRCS101, SRCS101D, SR8100, SR8170 a SR8111 – tára rozpuštěna poměrem k čisté hmotnosti (faktor 1,103226). SR1405 má vlastní karton (1,24 kg).</t>
        </is>
      </c>
    </row>
    <row r="16">
      <c r="A16" s="17" t="inlineStr">
        <is>
          <t>Hrubá hm. vč. palet</t>
        </is>
      </c>
      <c r="B16" s="18" t="inlineStr">
        <is>
          <t>Sloupec I = sloupec H + poměrný podíl táry 2 palet (30,34 kg), faktor 1.042454. Součet 745.00 kg = deklarovaná hrubá hmotnost dle PL i nákladního listu.</t>
        </is>
      </c>
    </row>
    <row r="17">
      <c r="A17" s="17" t="inlineStr">
        <is>
          <t>Sleva</t>
        </is>
      </c>
      <c r="B17" s="18" t="inlineStr">
        <is>
          <t>Faktura PI24200070026046B&amp;051 neobsahuje obchodní slevu (SUB TOTAL = TOTAL = 6 069,20 EUR).</t>
        </is>
      </c>
    </row>
    <row r="18">
      <c r="A18" s="17" t="inlineStr">
        <is>
          <t>Incoterm</t>
        </is>
      </c>
      <c r="B18" s="18" t="inlineStr">
        <is>
          <t>CFR Praha (faktura, pole TERMS) – železniční přeprava, FREIGHT PREPAID, CFS-CFS.</t>
        </is>
      </c>
    </row>
    <row r="19">
      <c r="A19" s="17" t="inlineStr">
        <is>
          <t>Měna</t>
        </is>
      </c>
      <c r="B19" s="18" t="inlineStr">
        <is>
          <t>EUR.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4"/>
  <sheetViews>
    <sheetView workbookViewId="0">
      <selection activeCell="A1" sqref="A1"/>
    </sheetView>
  </sheetViews>
  <sheetFormatPr baseColWidth="8" defaultRowHeight="15"/>
  <cols>
    <col width="145" customWidth="1" min="1" max="1"/>
  </cols>
  <sheetData>
    <row r="1">
      <c r="A1" s="19">
        <f>== STAV: TABULKA POTVRZENA KLIENTEM 9. 9. 2026 ===</f>
        <v/>
      </c>
    </row>
    <row r="2">
      <c r="A2" s="20" t="inlineStr">
        <is>
          <t>Klient potvrdil sazební zařazení z 8. 9. 2026 v plném rozsahu.</t>
        </is>
      </c>
    </row>
    <row r="3">
      <c r="A3" t="inlineStr">
        <is>
          <t>Tím jsou splněny podmínky u návrhů označených „Pokud popis odpovídá charakteru zboží, pak popisu</t>
        </is>
      </c>
    </row>
    <row r="4">
      <c r="A4" t="inlineStr">
        <is>
          <t>odpovídá navržený TC kód.“ – tj. u SRCS101/SRCS101D, SR1405 a SR8111. Kódy lze použít pro podání JSD.</t>
        </is>
      </c>
    </row>
    <row r="5">
      <c r="A5" t="inlineStr">
        <is>
          <t>Pozn.: potvrzení klienta se týká správnosti popisu zboží. Nejde o závaznou informaci o sazebním</t>
        </is>
      </c>
    </row>
    <row r="6">
      <c r="A6" t="inlineStr">
        <is>
          <t>zařazení (ZISZ/BTI) – ta by musela být vydána celním orgánem.</t>
        </is>
      </c>
    </row>
    <row r="7">
      <c r="A7" t="inlineStr"/>
    </row>
    <row r="8">
      <c r="A8" s="19">
        <f>== ZÁSILKA ===</f>
        <v/>
      </c>
    </row>
    <row r="9">
      <c r="A9" t="inlineStr">
        <is>
          <t>Odesílatel:   HANGZHOU ONTIME I.T. CO., LTD., 8th Fl, Bldg 6, Realblue Center, #18 Zixuan Rd, Hangzhou 310010, ČÍNA</t>
        </is>
      </c>
    </row>
    <row r="10">
      <c r="A10" t="inlineStr">
        <is>
          <t>Příjemce (CZ): V-TOP EUROPE s.r.o., Františka Diviše 1012/64, 104 00 Praha 22 – Uhříněves</t>
        </is>
      </c>
    </row>
    <row r="11">
      <c r="A11" t="inlineStr">
        <is>
          <t>IČO: 257 95 040   |   DIČ / EORI: CZ25795040</t>
        </is>
      </c>
    </row>
    <row r="12">
      <c r="A12" t="inlineStr">
        <is>
          <t>Faktura: PI24200070026046B&amp;051 z 31. 7. 2026   |   P.O. 260021   |   ship date 9. 8. 2026</t>
        </is>
      </c>
    </row>
    <row r="13">
      <c r="A13" t="inlineStr">
        <is>
          <t>Nákladní list (RWB): WPXA26B0812CZ323, Boxline UCL d.o.o., vydáno 12. 8. 2026, Xi'an</t>
        </is>
      </c>
    </row>
    <row r="14">
      <c r="A14" t="inlineStr">
        <is>
          <t>Trasa: Xi'an → Khorgos (ČÍNA) → Praha. Železnice, kontejner CIMU2030715 / 40HC, plomba 328767.</t>
        </is>
      </c>
    </row>
    <row r="15">
      <c r="A15" t="inlineStr">
        <is>
          <t>Agent: MAURICE WARD &amp; CO. s.r.o., CTP Logistic Park, Nad Kovárnou 185, 252 68 Kněževes</t>
        </is>
      </c>
    </row>
    <row r="16">
      <c r="A16" t="inlineStr">
        <is>
          <t>Balení: 82 kartonů na 2 paletách   |   GW 745,00 kg   |   NW 665,95 kg   |   3,18 CBM</t>
        </is>
      </c>
    </row>
    <row r="17">
      <c r="A17" t="inlineStr">
        <is>
          <t>Hodnota: 6 069,20 EUR   |   Množství: 80 006 ks   |   Incoterm: CFR Praha</t>
        </is>
      </c>
    </row>
    <row r="18">
      <c r="A18" t="inlineStr"/>
    </row>
    <row r="19">
      <c r="A19" s="19">
        <f>== SAZEBNÍ ZAŘAZENÍ 8. 9. 2026 – ZMĚNY PROTI PŮVODNÍMU SEZNAMU ===</f>
        <v/>
      </c>
    </row>
    <row r="20">
      <c r="A20" t="inlineStr">
        <is>
          <t>Zdroj: HS_kody_27.8.2026TARIF20260908.xlsx. V souboru jsou původní kódy přeškrtnuté a nahrazené sloupcem „návrh TC kódu“.</t>
        </is>
      </c>
    </row>
    <row r="21">
      <c r="A21" t="inlineStr"/>
    </row>
    <row r="22">
      <c r="A22" t="inlineStr">
        <is>
          <t xml:space="preserve">  Kód / položka        PŮVODNĚ              NOVĚ                 Změna</t>
        </is>
      </c>
    </row>
    <row r="23">
      <c r="A23" t="inlineStr">
        <is>
          <t xml:space="preserve">  ------------------------------------------------------------------------------------------------------</t>
        </is>
      </c>
    </row>
    <row r="24">
      <c r="A24" t="inlineStr">
        <is>
          <t xml:space="preserve">  HD2094, HD2051       8531 90 00 00        8531 90 00 00        beze změny (nebylo předmětem posouzení)</t>
        </is>
      </c>
    </row>
    <row r="25">
      <c r="A25" s="20" t="inlineStr">
        <is>
          <t xml:space="preserve">  SR8100               7616 99              8536 90 01 00        ZMĚNA – CBAM ODPADÁ</t>
        </is>
      </c>
    </row>
    <row r="26">
      <c r="A26" s="21" t="inlineStr">
        <is>
          <t xml:space="preserve">  SRCS101, SRCS101D    8531 20 00 00        8528 59 00 90        ZMĚNA</t>
        </is>
      </c>
    </row>
    <row r="27">
      <c r="A27" t="inlineStr">
        <is>
          <t xml:space="preserve">  SR8170               7326 90              7326 90 98 90        doplněno na 10 míst, CBAM trvá</t>
        </is>
      </c>
    </row>
    <row r="28">
      <c r="A28" s="20" t="inlineStr">
        <is>
          <t xml:space="preserve">  SR8111               ?                    8504 40 83 90        DOPLNĚNO – chybějící kód vyřešen</t>
        </is>
      </c>
    </row>
    <row r="29">
      <c r="A29" s="21" t="inlineStr">
        <is>
          <t xml:space="preserve">  SR1405               8531 20 95 90        8528 59 00 90        ZMĚNA – slučuje se s SRCS101/D</t>
        </is>
      </c>
    </row>
    <row r="30">
      <c r="A30" t="inlineStr"/>
    </row>
    <row r="31">
      <c r="A31" t="inlineStr">
        <is>
          <t>Počet unikátních HS kódů klesl ze 6 na 5 – SRCS101, SRCS101D a SR1405 mají nyní shodný kód 8528 59 00 90.</t>
        </is>
      </c>
    </row>
    <row r="32">
      <c r="A32" t="inlineStr"/>
    </row>
    <row r="33">
      <c r="A33" s="19">
        <f>== SR8100 – ZÁSADNÍ ZMĚNA, CBAM ODPADÁ ===</f>
        <v/>
      </c>
    </row>
    <row r="34">
      <c r="A34" s="20" t="inlineStr">
        <is>
          <t>Zákazník opravil popis produktu: název „magnetic power rail“ byl CHYBNÝ.</t>
        </is>
      </c>
    </row>
    <row r="35">
      <c r="A35" t="inlineStr">
        <is>
          <t>Citace ze souboru: „Nakonec se ukázal název produktu SR8100 jako magnetic power rail chybný, nic magnetického</t>
        </is>
      </c>
    </row>
    <row r="36">
      <c r="A36" t="inlineStr">
        <is>
          <t>v ní není; jedná se o vrchní lištu stojanu pro video tagy, které se do ní uchycují čistě mechanicky</t>
        </is>
      </c>
    </row>
    <row r="37">
      <c r="A37" t="inlineStr">
        <is>
          <t>(nacvakávají a nasouvají se ze strany), materiál hliník, železo a měď.“</t>
        </is>
      </c>
    </row>
    <row r="38">
      <c r="A38" t="inlineStr">
        <is>
          <t>Nový popis: horizontální napájecí lišta s měděnými kontakty pro mechanické uchycení a napájení LCD video tagů.</t>
        </is>
      </c>
    </row>
    <row r="39">
      <c r="A39" t="inlineStr">
        <is>
          <t>→ Nové zařazení 8536 90 01 00 (elektrická zařízení k spínání/spojování obvodů) místo 7616 99 (výrobky z hliníku).</t>
        </is>
      </c>
    </row>
    <row r="40">
      <c r="A40" t="inlineStr">
        <is>
          <t>→ DŮSLEDEK 1: položka již NENÍ CBAM zboží (odpadá hliník z přílohy I).</t>
        </is>
      </c>
    </row>
    <row r="41">
      <c r="A41" t="inlineStr">
        <is>
          <t>→ DŮSLEDEK 2: odpadá podezření na antidumpingové clo dle nař. (EU) 2021/1784 (hliníkové profily z ČLR).</t>
        </is>
      </c>
    </row>
    <row r="42">
      <c r="A42" t="inlineStr"/>
    </row>
    <row r="43">
      <c r="A43" s="19">
        <f>== CBAM – aktualizováno (reference/CBAM_receivers_CZ.xlsx, list List1, řádek 43) ===</f>
        <v/>
      </c>
    </row>
    <row r="44">
      <c r="A44" s="21" t="inlineStr">
        <is>
          <t>Po přeřazení zůstává v zásilce JEDINÁ CBAM položka:</t>
        </is>
      </c>
    </row>
    <row r="45">
      <c r="A45" t="inlineStr">
        <is>
          <t xml:space="preserve">   • 7326 90 98 90 – stolní kovový stojan SR8170 – čistá hmotnost 1,68 kg (železo/ocel, příloha I)</t>
        </is>
      </c>
    </row>
    <row r="46">
      <c r="A46" t="inlineStr">
        <is>
          <t>Dříve uváděná položka 7616 99 (hliník, 0,28 kg) byla přeřazena na 8536 90 01 00 a CBAM se jí již netýká.</t>
        </is>
      </c>
    </row>
    <row r="47">
      <c r="A47" t="inlineStr">
        <is>
          <t>Celková čistá hmotnost CBAM zboží v zásilce: 1,68 kg – hluboko pod limitem 50 t/rok.</t>
        </is>
      </c>
    </row>
    <row r="48">
      <c r="A48" t="inlineStr"/>
    </row>
    <row r="49">
      <c r="A49" t="inlineStr">
        <is>
          <t>PŘÍJEMCE NALEZEN V REGISTRU:</t>
        </is>
      </c>
    </row>
    <row r="50">
      <c r="A50" t="inlineStr">
        <is>
          <t xml:space="preserve">   Firma:                V-TOP EUROPE s.r.o.</t>
        </is>
      </c>
    </row>
    <row r="51">
      <c r="A51" t="inlineStr">
        <is>
          <t xml:space="preserve">   EORI:                 CZ25795040   (shoduje se s DIČ na faktuře)</t>
        </is>
      </c>
    </row>
    <row r="52">
      <c r="A52" t="inlineStr">
        <is>
          <t xml:space="preserve">   Y KÓD:                Y137</t>
        </is>
      </c>
    </row>
    <row r="53">
      <c r="A53" t="inlineStr">
        <is>
          <t xml:space="preserve">   Status:               „do 50 t ročně“ – pod limitem de minimis</t>
        </is>
      </c>
    </row>
    <row r="54">
      <c r="A54" t="inlineStr">
        <is>
          <t xml:space="preserve">   Povolení (Y128):      není</t>
        </is>
      </c>
    </row>
    <row r="55">
      <c r="A55" t="inlineStr">
        <is>
          <t xml:space="preserve">   Podaná žádost (Y238): není</t>
        </is>
      </c>
    </row>
    <row r="56">
      <c r="A56" t="inlineStr">
        <is>
          <t xml:space="preserve">   Datum vydání:         neuvedeno</t>
        </is>
      </c>
    </row>
    <row r="57">
      <c r="A57" t="inlineStr">
        <is>
          <t xml:space="preserve">   Interní reference:    25MWCCCIM008782</t>
        </is>
      </c>
    </row>
    <row r="58">
      <c r="A58" t="inlineStr">
        <is>
          <t>→ Do JSD uvést kód Y137 u položky 7326 90 98 90.</t>
        </is>
      </c>
    </row>
    <row r="59">
      <c r="A59" t="inlineStr">
        <is>
          <t>→ Příjemce NEPATŘÍ mezi společnosti mimo EU využívající náš sdílený účet CBAM-CZ-2025-QGM67089385721.</t>
        </is>
      </c>
    </row>
    <row r="60">
      <c r="A60" t="inlineStr"/>
    </row>
    <row r="61">
      <c r="A61" s="19">
        <f>== COO / PREFERENČNÍ VĚTA – TRVÁ ===</f>
        <v/>
      </c>
    </row>
    <row r="62">
      <c r="A62" s="22" t="inlineStr">
        <is>
          <t>!!! V DOKUMENTECH NENÍ ŽÁDNÁ PREFERENČNÍ VĚTA (prohlášení o preferenčním původu). !!!</t>
        </is>
      </c>
    </row>
    <row r="63">
      <c r="A63" t="inlineStr">
        <is>
          <t>Prověřeny: obchodní faktura (2 str.), packing list, železniční nákladní list. Nalezeno pouze „MADE IN CHINA“.</t>
        </is>
      </c>
    </row>
    <row r="64">
      <c r="A64" t="inlineStr">
        <is>
          <t>Země původu: ČÍNA (CN). EU nemá s Čínou dohodu o preferenčním obchodu – preferenční sazba nepřipadá v úvahu.</t>
        </is>
      </c>
    </row>
    <row r="65">
      <c r="A65" t="inlineStr">
        <is>
          <t>→ Uplatní se plné třetizemské (erga omnes) clo u všech položek. Sazby ověřit v TARIC k datu podání JSD.</t>
        </is>
      </c>
    </row>
    <row r="66">
      <c r="A66" t="inlineStr"/>
    </row>
    <row r="67">
      <c r="A67" s="19">
        <f>== ANTIDUMPING – aktualizováno ===</f>
        <v/>
      </c>
    </row>
    <row r="68">
      <c r="A68" s="20" t="inlineStr">
        <is>
          <t>7616 99 – podezření ODPADÁ. Položka byla přeřazena na 8536 90 01 00, nař. (EU) 2021/1784 se neuplatní.</t>
        </is>
      </c>
    </row>
    <row r="69">
      <c r="A69" t="inlineStr">
        <is>
          <t>7326 90 98 90 (stojan SR8170) – u této položky z ČLR není známé antidumpingové opatření; ověřit v TARIC.</t>
        </is>
      </c>
    </row>
    <row r="70">
      <c r="A70" t="inlineStr">
        <is>
          <t>8528 59 00 90, 8504 40 83 90, 8531 90 00 00 – antidumpingová opatření nejsou známa.</t>
        </is>
      </c>
    </row>
    <row r="71">
      <c r="A71" t="inlineStr"/>
    </row>
    <row r="72">
      <c r="A72" s="19">
        <f>== OTEVŘENÉ BODY PŘED PODÁNÍM JSD ===</f>
        <v/>
      </c>
    </row>
    <row r="73">
      <c r="A73" s="20" t="inlineStr">
        <is>
          <t>1) UZAVŘENO – podmíněné návrhy u SRCS101/SRCS101D, SR1405 a SR8111 klient potvrdil 9. 9. 2026,</t>
        </is>
      </c>
    </row>
    <row r="74">
      <c r="A74" t="inlineStr">
        <is>
          <t xml:space="preserve">   včetně toho, že displeje nemají externí obrazový vstup HDMI/DP/VGA/DVI (důvod zařazení do 8528 59).</t>
        </is>
      </c>
    </row>
    <row r="75">
      <c r="A75" s="21" t="inlineStr">
        <is>
          <t>2) Přeřazení displejů z položky 8531 do 8528 59 (monitory) může znamenat výrazně vyšší celní sazbu.</t>
        </is>
      </c>
    </row>
    <row r="76">
      <c r="A76" t="inlineStr">
        <is>
          <t xml:space="preserve">   Dotčená hodnota je 194,00 EUR, dopad tedy malý, ale sazbu je nutné ověřit v TARIC.</t>
        </is>
      </c>
    </row>
    <row r="77">
      <c r="A77" t="inlineStr">
        <is>
          <t>3) Kód 8531 90 00 00 (HD etikety, 5 840,00 EUR – 96 % hodnoty zásilky) NEBYL předmětem sazebního</t>
        </is>
      </c>
    </row>
    <row r="78">
      <c r="A78" t="inlineStr">
        <is>
          <t xml:space="preserve">   zařazení z 8. 9. 2026. Zůstává dle seznamu zákazníka.</t>
        </is>
      </c>
    </row>
    <row r="79">
      <c r="A79" t="inlineStr">
        <is>
          <t>4) Jde o NÁVRH sazebního zařazení potvrzený klientem, nikoli o závaznou informaci o sazebním</t>
        </is>
      </c>
    </row>
    <row r="80">
      <c r="A80" t="inlineStr">
        <is>
          <t xml:space="preserve">   zařazení (ZISZ/BTI) vydanou celním orgánem.</t>
        </is>
      </c>
    </row>
    <row r="81">
      <c r="A81" s="22" t="inlineStr">
        <is>
          <t>5) TRVÁ: v dokladech chybí preferenční věta – viz sekce COO výše.</t>
        </is>
      </c>
    </row>
    <row r="82">
      <c r="A82" t="inlineStr"/>
    </row>
    <row r="83">
      <c r="A83" s="19">
        <f>== HMOTNOSTI – ODVOZENÍ (beze změny) ===</f>
        <v/>
      </c>
    </row>
    <row r="84">
      <c r="A84" t="inlineStr">
        <is>
          <t xml:space="preserve">   50 CTN  HD2094                                        GW 365,00   NW 335,00</t>
        </is>
      </c>
    </row>
    <row r="85">
      <c r="A85" t="inlineStr">
        <is>
          <t xml:space="preserve">   30 CTN  HD2051                                        GW 345,00   NW 327,00</t>
        </is>
      </c>
    </row>
    <row r="86">
      <c r="A86" t="inlineStr">
        <is>
          <t xml:space="preserve">    1 CTN  SRCS101 + SRCS101D + SR8100 + SR8170 + SR8111 GW   3,42   NW   3,10  (sloučená buňka v PL)</t>
        </is>
      </c>
    </row>
    <row r="87">
      <c r="A87" t="inlineStr">
        <is>
          <t xml:space="preserve">    1 CTN  SR1405                                        GW   1,24   NW   0,85</t>
        </is>
      </c>
    </row>
    <row r="88">
      <c r="A88" t="inlineStr">
        <is>
          <t xml:space="preserve">   ---------------------------------------------------------------------------------</t>
        </is>
      </c>
    </row>
    <row r="89">
      <c r="A89" t="inlineStr">
        <is>
          <t xml:space="preserve">   82 CTN                                                GW 714,66   NW 665,95</t>
        </is>
      </c>
    </row>
    <row r="90">
      <c r="A90" t="inlineStr">
        <is>
          <t xml:space="preserve">   + 2 palety (tára)                                     GW  30,34</t>
        </is>
      </c>
    </row>
    <row r="91">
      <c r="A91" t="inlineStr">
        <is>
          <t xml:space="preserve">   = CELKEM                                              GW 745,00   NW 665,95   (3,18 CBM)</t>
        </is>
      </c>
    </row>
    <row r="92">
      <c r="A92" t="inlineStr">
        <is>
          <t>Tára kartonu s příslušenstvím rozpuštěna poměrem k čisté hmotnosti (faktor 1,103226),</t>
        </is>
      </c>
    </row>
    <row r="93">
      <c r="A93" t="inlineStr">
        <is>
          <t>tára palet poměrem k hrubé hmotnosti kartonů (faktor 1,042454, sloupec I).</t>
        </is>
      </c>
    </row>
    <row r="94">
      <c r="A94" t="inlineStr">
        <is>
          <t>Kontrola: množství 80 006 ks, čistá hmotnost 665,95 kg i hodnota 6 069,20 EUR souhlasí s doklady.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2026-09-09T07:30:18Z</dcterms:created>
  <dcterms:modified xsi:type="dcterms:W3CDTF">2026-09-09T07:30:18Z</dcterms:modified>
</cp:coreProperties>
</file>