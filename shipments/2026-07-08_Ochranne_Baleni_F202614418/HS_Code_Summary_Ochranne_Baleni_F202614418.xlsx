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0" customWidth="1" min="4" max="4"/>
    <col width="14" customWidth="1" min="5" max="5"/>
    <col width="16" customWidth="1" min="6" max="6"/>
    <col width="13" customWidth="1" min="7" max="7"/>
    <col width="13" customWidth="1" min="8" max="8"/>
    <col width="16" customWidth="1" min="9" max="9"/>
    <col width="10" customWidth="1" min="10" max="10"/>
    <col width="55" customWidth="1" min="11" max="11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Popis zboží (EN, z faktury)</t>
        </is>
      </c>
      <c r="D1" s="1" t="inlineStr">
        <is>
          <t>Země původu (COO)</t>
        </is>
      </c>
      <c r="E1" s="1" t="inlineStr">
        <is>
          <t>Celkové množství (role)</t>
        </is>
      </c>
      <c r="F1" s="1" t="inlineStr">
        <is>
          <t>Počet nákladových kusů (CTNS)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USD (FOB Shanghai)</t>
        </is>
      </c>
      <c r="J1" s="1" t="inlineStr">
        <is>
          <t>Příznak</t>
        </is>
      </c>
      <c r="K1" s="1" t="inlineStr">
        <is>
          <t>TARIC / poznámka / CBAM / Antidumping</t>
        </is>
      </c>
    </row>
    <row r="2">
      <c r="A2" s="2" t="inlineStr">
        <is>
          <t>39232100</t>
        </is>
      </c>
      <c r="B2" s="2" t="inlineStr">
        <is>
          <t>HDPE fólie – PE pytle a sáčky (vzduchové polštářky / bublinková fólie, role)</t>
        </is>
      </c>
      <c r="C2" s="2" t="inlineStr">
        <is>
          <t>Plastic bags – air pouches / air bubble / air quilt / small wave rolls (HDPE + LDPE)</t>
        </is>
      </c>
      <c r="D2" s="2" t="inlineStr">
        <is>
          <t>CN</t>
        </is>
      </c>
      <c r="E2" s="2" t="n">
        <v>5759</v>
      </c>
      <c r="F2" s="2" t="n">
        <v>2888</v>
      </c>
      <c r="G2" s="2" t="n">
        <v>25030</v>
      </c>
      <c r="H2" s="2" t="n">
        <v>26208</v>
      </c>
      <c r="I2" s="2" t="n">
        <v>55289.22</v>
      </c>
      <c r="J2" s="2" t="n"/>
      <c r="K2" s="2" t="inlineStr">
        <is>
          <t>Bez preferenčního původu (CN) – standardní clo třetí země 6,5 %. CBAM: NE. Antidumping: NE.</t>
        </is>
      </c>
    </row>
    <row r="3">
      <c r="A3" s="3" t="inlineStr">
        <is>
          <t>CELKEM</t>
        </is>
      </c>
      <c r="B3" s="3" t="n"/>
      <c r="C3" s="3" t="n"/>
      <c r="D3" s="3" t="n"/>
      <c r="E3" s="3" t="n">
        <v>5759</v>
      </c>
      <c r="F3" s="3" t="n">
        <v>2888</v>
      </c>
      <c r="G3" s="3" t="n">
        <v>25030</v>
      </c>
      <c r="H3" s="3" t="n">
        <v>26208</v>
      </c>
      <c r="I3" s="3" t="n">
        <v>55289.22</v>
      </c>
      <c r="J3" s="3" t="n"/>
      <c r="K3" s="3" t="n"/>
    </row>
    <row r="5">
      <c r="A5" s="4" t="inlineStr">
        <is>
          <t>⚠ PREFERENČNÍ VĚTA: NENALEZENA v žádném dokladu (faktura AW26088, packing list, B/L F202614418).</t>
        </is>
      </c>
    </row>
    <row r="6">
      <c r="A6" s="4" t="inlineStr">
        <is>
          <t>Původ Čína – EU nemá s ČLR preferenční dohodu, preferenční zacházení se neuplatní.</t>
        </is>
      </c>
    </row>
    <row r="7">
      <c r="A7" s="4" t="inlineStr">
        <is>
          <t>→ Platí standardní clo třetí země: HS 39232100 = 6,5 % (erga omnes). Ověřit v TARIC při podání JSD.</t>
        </is>
      </c>
    </row>
    <row r="9">
      <c r="A9" s="5" t="inlineStr">
        <is>
          <t>Poznámky:</t>
        </is>
      </c>
    </row>
    <row r="10">
      <c r="A10" t="inlineStr">
        <is>
          <t>Množství</t>
        </is>
      </c>
      <c r="B10" t="inlineStr">
        <is>
          <t>5 759 rolí ve 2 888 kartonech (souhlasí s fakturou, packing listem i B/L – 2888 CTNS)</t>
        </is>
      </c>
    </row>
    <row r="11">
      <c r="A11" t="inlineStr">
        <is>
          <t>Hmotnosti</t>
        </is>
      </c>
      <c r="B11" t="inlineStr">
        <is>
          <t>NW 25 030 kg / GW 26 208 kg z packing listu; GW souhlasí s B/L (26 208,00 kg)</t>
        </is>
      </c>
    </row>
    <row r="12">
      <c r="A12" t="inlineStr">
        <is>
          <t>Hodnota</t>
        </is>
      </c>
      <c r="B12" t="inlineStr">
        <is>
          <t>USD 55 289,22 FOB Shanghai (faktura AW26088, 10 položek sloučeno do 1 HS kódu)</t>
        </is>
      </c>
    </row>
    <row r="13">
      <c r="A13" t="inlineStr">
        <is>
          <t>Sleva</t>
        </is>
      </c>
      <c r="B13" t="inlineStr">
        <is>
          <t>Žádná obchodní sleva na faktuře – hodnoty bez úprav</t>
        </is>
      </c>
    </row>
    <row r="14">
      <c r="A14" t="inlineStr">
        <is>
          <t>Popis CZ</t>
        </is>
      </c>
      <c r="B14" t="inlineStr">
        <is>
          <t>Czech popis dle e-mailu klienta (HDPE fólie); faktura česky nepopisuje, EN popis ponechán jako sekundární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>
        <f>== ZÁSILKA ===</f>
        <v/>
      </c>
    </row>
    <row r="2">
      <c r="A2" t="inlineStr">
        <is>
          <t>Klient: Ochranné balení s.r.o., U Korečnice 2293, 688 01 Uherský Brod, VAT CZ08453578</t>
        </is>
      </c>
    </row>
    <row r="3">
      <c r="A3" t="inlineStr">
        <is>
          <t>Reference: KLI20260504009 / CZ26007595 | Faktura: AW26088 (10.5.2026) | B/L: F202614418</t>
        </is>
      </c>
    </row>
    <row r="4">
      <c r="A4" t="inlineStr">
        <is>
          <t>Dodavatel: AW Industry Co., Ltd., Hefei, Anhui, Čína</t>
        </is>
      </c>
    </row>
    <row r="5">
      <c r="A5" t="inlineStr">
        <is>
          <t>Kontejner: MRSU8970255 / pečeť CN7904735 (1×40'HQ FCL), loď MONACO MAERSK 620W</t>
        </is>
      </c>
    </row>
    <row r="6">
      <c r="A6" t="inlineStr">
        <is>
          <t>Trasa: Shanghai → Bremerhaven → Mělník (JSD přes Mělník), ETA 12.7.2026. Telex release, freight collect.</t>
        </is>
      </c>
    </row>
    <row r="7">
      <c r="A7" t="inlineStr"/>
    </row>
    <row r="8">
      <c r="A8" s="5">
        <f>== PŘIJATÉ DOKUMENTY ===</f>
        <v/>
      </c>
    </row>
    <row r="9">
      <c r="A9" t="inlineStr">
        <is>
          <t>✓ B/L F202614418 (GW 26 208 kg, 2 888 CTNS, 65 CBM – souhlasí s PL)</t>
        </is>
      </c>
    </row>
    <row r="10">
      <c r="A10" t="inlineStr">
        <is>
          <t>✓ Obchodní faktura + packing list AW26088 (CI + PL, 10 položek)</t>
        </is>
      </c>
    </row>
    <row r="11">
      <c r="A11" t="inlineStr">
        <is>
          <t>✗ MRN + dopravní doklady – dopošle Maurice Ward, až budou aktuální</t>
        </is>
      </c>
    </row>
    <row r="12">
      <c r="A12" t="inlineStr"/>
    </row>
    <row r="13">
      <c r="A13" s="5">
        <f>== ⚠ PREFERENČNÍ VĚTA / COO (KRITICKÉ) ===</f>
        <v/>
      </c>
    </row>
    <row r="14">
      <c r="A14" t="inlineStr">
        <is>
          <t>Preferenční věta NENÍ uvedena na faktuře, packing listu ani B/L.</t>
        </is>
      </c>
    </row>
    <row r="15">
      <c r="A15" t="inlineStr">
        <is>
          <t>Původ: Čína (CN). EU–ČLR nemá preferenční dohodu → preferenční původ se u této zásilky nemůže uplatnit.</t>
        </is>
      </c>
    </row>
    <row r="16">
      <c r="A16" t="inlineStr">
        <is>
          <t>Platí standardní smluvní clo třetí země: HS 39232100 (pytle a sáčky z polymerů ethylenu) = 6,5 %.</t>
        </is>
      </c>
    </row>
    <row r="17">
      <c r="A17" t="inlineStr"/>
    </row>
    <row r="18">
      <c r="A18" s="5">
        <f>== HS KÓD ===</f>
        <v/>
      </c>
    </row>
    <row r="19">
      <c r="A19" t="inlineStr">
        <is>
          <t>Klient (Daniel Procházka, e-mail) potvrdil HS 39232100, typ zboží: HDPE fólie.</t>
        </is>
      </c>
    </row>
    <row r="20">
      <c r="A20" t="inlineStr">
        <is>
          <t>Všech 10 fakturních položek je polyethylen (HDPE i LDPE role/sáčky) → vše sloučeno pod 39232100.</t>
        </is>
      </c>
    </row>
    <row r="21">
      <c r="A21" t="inlineStr">
        <is>
          <t>Pozn.: položky 'Small wave' a 'Air bubble 800×320' jsou LDPE – spadají rovněž pod 3923 21 (polymery ethylenu).</t>
        </is>
      </c>
    </row>
    <row r="22">
      <c r="A22" t="inlineStr">
        <is>
          <t>Jedna položka obsahuje recyklovaný materiál (green idea) – bez vlivu na zařazení.</t>
        </is>
      </c>
    </row>
    <row r="23">
      <c r="A23" t="inlineStr"/>
    </row>
    <row r="24">
      <c r="A24" s="5">
        <f>== CBAM ===</f>
        <v/>
      </c>
    </row>
    <row r="25">
      <c r="A25" t="inlineStr">
        <is>
          <t>Nevztahuje se – plasty (kap. 39) nejsou v rozsahu CBAM.</t>
        </is>
      </c>
    </row>
    <row r="26">
      <c r="A26" t="inlineStr"/>
    </row>
    <row r="27">
      <c r="A27" s="5">
        <f>== ANTIDUMPING ===</f>
        <v/>
      </c>
    </row>
    <row r="28">
      <c r="A28" t="inlineStr">
        <is>
          <t>HS 39232100 z CN: aktuálně žádné platné antidumpingové clo (staré opatření na plastové pytle z CN vypršelo).</t>
        </is>
      </c>
    </row>
    <row r="29">
      <c r="A29" t="inlineStr">
        <is>
          <t>Doporučeno ověřit TARIC ke dni podání JSD.</t>
        </is>
      </c>
    </row>
    <row r="30">
      <c r="A30" t="inlineStr"/>
    </row>
    <row r="31">
      <c r="A31" s="5">
        <f>== INCOTERM ===</f>
        <v/>
      </c>
    </row>
    <row r="32">
      <c r="A32" t="inlineStr">
        <is>
          <t>FOB Shanghai (faktura i e-mail klienta). Do souhrnu dle pravidel neuvádím sloupec Incoterm.</t>
        </is>
      </c>
    </row>
    <row r="33">
      <c r="A33" t="inlineStr"/>
    </row>
    <row r="34">
      <c r="A34" s="5">
        <f>== HMOTNOSTI A HODNOTA ===</f>
        <v/>
      </c>
    </row>
    <row r="35">
      <c r="A35" t="inlineStr">
        <is>
          <t>NW celkem: 25 030 kg (PL). GW celkem: 26 208 kg (PL, souhlasí s B/L).</t>
        </is>
      </c>
    </row>
    <row r="36">
      <c r="A36" t="inlineStr">
        <is>
          <t>Hodnota celkem: USD 55 289,22 FOB (kontrolní součet položek souhlasí s fakturou).</t>
        </is>
      </c>
    </row>
    <row r="37">
      <c r="A37" t="inlineStr">
        <is>
          <t>Žádná sleva na faktuře → bez proporcionálního přepočtu.</t>
        </is>
      </c>
    </row>
    <row r="38">
      <c r="A38" t="inlineStr"/>
    </row>
    <row r="39">
      <c r="A39" s="5">
        <f>== OSTATNÍ ===</f>
        <v/>
      </c>
    </row>
    <row r="40">
      <c r="A40" t="inlineStr">
        <is>
          <t>Y-kódy: dle pokynu klienta neřeším – vyřeší sám.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2026-07-08T07:24:24Z</dcterms:created>
  <dcterms:modified xsi:type="dcterms:W3CDTF">2026-07-08T07:24:24Z</dcterms:modified>
</cp:coreProperties>
</file>