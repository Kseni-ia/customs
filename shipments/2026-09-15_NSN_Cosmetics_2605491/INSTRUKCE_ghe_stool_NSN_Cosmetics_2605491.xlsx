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E" sheetId="1" state="visible" r:id="rId1"/>
    <sheet name="Poznámka k HS kódů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1F4E79"/>
      <sz val="13"/>
    </font>
    <font>
      <b val="1"/>
      <color rgb="00FFFFFF"/>
      <sz val="11"/>
    </font>
    <font>
      <b val="1"/>
      <sz val="12"/>
    </font>
    <font>
      <i val="1"/>
      <sz val="9"/>
    </font>
    <font>
      <b val="1"/>
      <color rgb="001F4E79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22" customWidth="1" min="3" max="3"/>
    <col width="20" customWidth="1" min="4" max="4"/>
    <col width="14" customWidth="1" min="5" max="5"/>
    <col width="30" customWidth="1" min="6" max="6"/>
  </cols>
  <sheetData>
    <row r="2">
      <c r="F2" s="1" t="inlineStr">
        <is>
          <t>Maurice Ward &amp; Co., s.r.o.</t>
        </is>
      </c>
    </row>
    <row r="3">
      <c r="F3" s="2" t="inlineStr">
        <is>
          <t>Airport Logistics Park</t>
        </is>
      </c>
    </row>
    <row r="4" ht="22" customHeight="1">
      <c r="A4" s="3" t="inlineStr">
        <is>
          <t>INSTRUKCE K CELNÍMU ODBAVENÍ A DORUČENÍ ZBOŽÍ</t>
        </is>
      </c>
      <c r="F4" s="2" t="inlineStr">
        <is>
          <t>Kněževes 185</t>
        </is>
      </c>
    </row>
    <row r="5">
      <c r="F5" s="2" t="inlineStr">
        <is>
          <t>252 68, Středokluky</t>
        </is>
      </c>
    </row>
    <row r="7">
      <c r="A7" s="4" t="inlineStr">
        <is>
          <t>ADRESA DORUČENÍ</t>
        </is>
      </c>
      <c r="C7" s="4" t="inlineStr">
        <is>
          <t>ADRESA VYCLENÍ (V PŘÍPADĚ T1)</t>
        </is>
      </c>
    </row>
    <row r="8">
      <c r="A8" s="5" t="inlineStr">
        <is>
          <t>NSN Cosmetic s.r.o</t>
        </is>
      </c>
      <c r="C8" s="5" t="inlineStr">
        <is>
          <t>NSN Cosmetic s.r.o</t>
        </is>
      </c>
    </row>
    <row r="9">
      <c r="A9" s="5" t="inlineStr">
        <is>
          <t>Břežanská 314</t>
        </is>
      </c>
      <c r="C9" s="5" t="inlineStr">
        <is>
          <t>Plovdivská 3266/2</t>
        </is>
      </c>
    </row>
    <row r="10">
      <c r="A10" s="5" t="inlineStr">
        <is>
          <t>252 41 Zlatníky-Hodkovice</t>
        </is>
      </c>
      <c r="C10" s="5" t="inlineStr">
        <is>
          <t>14300 Praha 4 - modřany</t>
        </is>
      </c>
    </row>
    <row r="12">
      <c r="A12" s="6" t="inlineStr">
        <is>
          <t>OD</t>
        </is>
      </c>
      <c r="B12" s="5" t="inlineStr">
        <is>
          <t>8h00</t>
        </is>
      </c>
      <c r="C12" s="6" t="inlineStr">
        <is>
          <t>DO</t>
        </is>
      </c>
      <c r="D12" s="5" t="inlineStr">
        <is>
          <t>17h00</t>
        </is>
      </c>
    </row>
    <row r="13">
      <c r="A13" s="6" t="inlineStr">
        <is>
          <t>KONTAKTNÍ OSOBA</t>
        </is>
      </c>
      <c r="B13" s="5" t="inlineStr">
        <is>
          <t>tran the thoai</t>
        </is>
      </c>
    </row>
    <row r="14">
      <c r="A14" s="6" t="inlineStr">
        <is>
          <t>TELEFON</t>
        </is>
      </c>
      <c r="B14" s="5" t="inlineStr">
        <is>
          <t>723441209</t>
        </is>
      </c>
    </row>
    <row r="16">
      <c r="A16" s="6" t="inlineStr">
        <is>
          <t>ČÍSLO FAKTURY</t>
        </is>
      </c>
      <c r="B16" s="5" t="inlineStr">
        <is>
          <t>26200131C</t>
        </is>
      </c>
      <c r="C16" s="6" t="inlineStr">
        <is>
          <t>HODNOTA FAKTURY</t>
        </is>
      </c>
      <c r="D16" s="5" t="inlineStr">
        <is>
          <t>12 400 USD</t>
        </is>
      </c>
    </row>
    <row r="18" ht="20" customHeight="1">
      <c r="A18" s="4" t="inlineStr">
        <is>
          <t>DETAILY VYCLENÍ</t>
        </is>
      </c>
    </row>
    <row r="19">
      <c r="A19" s="5" t="inlineStr">
        <is>
          <t>Přejete si vystavit JCD (vyclení do volného oběhu) nebo T1 (tranzitní doklad)?</t>
        </is>
      </c>
      <c r="D19" s="7" t="inlineStr">
        <is>
          <t>JSD</t>
        </is>
      </c>
    </row>
    <row r="20">
      <c r="A20" s="5" t="inlineStr">
        <is>
          <t>V případě vystavení T1 prosím uveďte CÚ určení</t>
        </is>
      </c>
    </row>
    <row r="22" ht="20" customHeight="1">
      <c r="A22" s="4" t="inlineStr">
        <is>
          <t>POPIS ZBOŽÍ</t>
        </is>
      </c>
    </row>
    <row r="23">
      <c r="A23" s="8" t="inlineStr">
        <is>
          <t>Název</t>
        </is>
      </c>
      <c r="B23" s="8" t="inlineStr">
        <is>
          <t>Slovní popis</t>
        </is>
      </c>
      <c r="C23" s="8" t="inlineStr">
        <is>
          <t>HS kód</t>
        </is>
      </c>
    </row>
    <row r="24">
      <c r="A24" s="9" t="inlineStr">
        <is>
          <t>ETAN chair /Křeslo do jídelny 40ks</t>
        </is>
      </c>
      <c r="B24" s="5" t="inlineStr">
        <is>
          <t>Křeslo do jídelny nebo kanceláře koženka</t>
        </is>
      </c>
      <c r="C24" s="10" t="inlineStr">
        <is>
          <t>9401 71 00</t>
        </is>
      </c>
    </row>
    <row r="25">
      <c r="A25" s="5" t="inlineStr">
        <is>
          <t>55*47*43 ( 40 karton )</t>
        </is>
      </c>
      <c r="B25" s="11" t="n"/>
      <c r="C25" s="11" t="n"/>
    </row>
    <row r="26">
      <c r="A26" s="9" t="inlineStr">
        <is>
          <t>Kira chair/Otočná židle kulaté 240ks</t>
        </is>
      </c>
      <c r="B26" s="5" t="inlineStr">
        <is>
          <t>otočná židle s pochromovaným podstavcem,kozenka</t>
        </is>
      </c>
      <c r="C26" s="10" t="inlineStr">
        <is>
          <t>9401 39 00</t>
        </is>
      </c>
    </row>
    <row r="27">
      <c r="A27" s="5" t="inlineStr">
        <is>
          <t>61*56,5*52 ( 120 karton )</t>
        </is>
      </c>
      <c r="B27" s="11" t="n"/>
      <c r="C27" s="11" t="n"/>
    </row>
    <row r="28">
      <c r="A28" s="9" t="inlineStr">
        <is>
          <t>Nora chair/Otočná židle kulaté 300ks</t>
        </is>
      </c>
      <c r="B28" s="5" t="inlineStr">
        <is>
          <t>otočná židle s pochromovaným podstavcem,kozenka</t>
        </is>
      </c>
      <c r="C28" s="10" t="inlineStr">
        <is>
          <t>9401 39 00</t>
        </is>
      </c>
    </row>
    <row r="29">
      <c r="A29" s="5" t="inlineStr">
        <is>
          <t>61*56,5*52 ( 150 karton )</t>
        </is>
      </c>
      <c r="B29" s="11" t="n"/>
      <c r="C29" s="11" t="n"/>
    </row>
    <row r="30">
      <c r="A30" s="9" t="inlineStr">
        <is>
          <t>MC-221 /Křeslo do jídelny 400ks</t>
        </is>
      </c>
      <c r="B30" s="5" t="inlineStr">
        <is>
          <t>Křeslo do jídelny nebo kanceláře koženka</t>
        </is>
      </c>
      <c r="C30" s="10" t="inlineStr">
        <is>
          <t>9401 71 00</t>
        </is>
      </c>
    </row>
    <row r="31">
      <c r="A31" s="5" t="inlineStr">
        <is>
          <t>59*59*61 ( 400 karton )</t>
        </is>
      </c>
      <c r="B31" s="11" t="n"/>
      <c r="C31" s="11" t="n"/>
    </row>
    <row r="32">
      <c r="A32" s="12" t="inlineStr">
        <is>
          <t>Celkem 710 kartonů</t>
        </is>
      </c>
    </row>
    <row r="33">
      <c r="A33" s="13" t="inlineStr">
        <is>
          <t>Pokud zásilka obsahuje více než 5 různých položek, zašlete prosím jejich soupis v samostatném souboru</t>
        </is>
      </c>
    </row>
    <row r="35" ht="20" customHeight="1">
      <c r="A35" s="4" t="inlineStr">
        <is>
          <t>DETAILY DORUČENÍ</t>
        </is>
      </c>
      <c r="D35" s="4" t="inlineStr">
        <is>
          <t>ANO/NE</t>
        </is>
      </c>
    </row>
    <row r="36">
      <c r="A36" s="5" t="inlineStr">
        <is>
          <t>Lze doručit kamionem?</t>
        </is>
      </c>
      <c r="D36" s="14" t="inlineStr">
        <is>
          <t>Ano</t>
        </is>
      </c>
    </row>
    <row r="37">
      <c r="A37" s="5" t="inlineStr">
        <is>
          <t>Je na vykládce VZV?</t>
        </is>
      </c>
      <c r="D37" s="14" t="inlineStr">
        <is>
          <t>ano</t>
        </is>
      </c>
    </row>
    <row r="38">
      <c r="A38" s="5" t="inlineStr">
        <is>
          <t>Je na vykládce hydraulická rampa s možností nastavení výšky?</t>
        </is>
      </c>
      <c r="D38" s="14" t="inlineStr">
        <is>
          <t>ne</t>
        </is>
      </c>
    </row>
    <row r="39">
      <c r="A39" s="5" t="inlineStr">
        <is>
          <t>Je na vykládce fixní rampa (bez možnosti nastavení výšky)?</t>
        </is>
      </c>
      <c r="D39" s="14" t="inlineStr">
        <is>
          <t>ne</t>
        </is>
      </c>
    </row>
    <row r="40">
      <c r="A40" s="5" t="inlineStr">
        <is>
          <t>V případě absence rampy, je třeba auto s hydraulickým čelem a paletovým vozíkem?</t>
        </is>
      </c>
      <c r="D40" s="14" t="inlineStr">
        <is>
          <t>ne</t>
        </is>
      </c>
    </row>
    <row r="41">
      <c r="A41" s="13" t="inlineStr">
        <is>
          <t>tato služba je zpoplatněna - podrobnosti na vyžádání</t>
        </is>
      </c>
    </row>
    <row r="43" ht="20" customHeight="1">
      <c r="A43" s="4" t="inlineStr">
        <is>
          <t>SPECIÁLNÍ POŽADAVKY</t>
        </is>
      </c>
    </row>
    <row r="44">
      <c r="A44" s="5" t="inlineStr">
        <is>
          <t>máme vysokozdvižný vozík na vykláda</t>
        </is>
      </c>
    </row>
  </sheetData>
  <mergeCells count="31">
    <mergeCell ref="C30:C31"/>
    <mergeCell ref="A37:C37"/>
    <mergeCell ref="A20:D20"/>
    <mergeCell ref="A43:D43"/>
    <mergeCell ref="C26:C27"/>
    <mergeCell ref="A44:D44"/>
    <mergeCell ref="C10:D10"/>
    <mergeCell ref="A7:B7"/>
    <mergeCell ref="A22:C22"/>
    <mergeCell ref="C9:D9"/>
    <mergeCell ref="B28:B29"/>
    <mergeCell ref="A4:C4"/>
    <mergeCell ref="A35:C35"/>
    <mergeCell ref="B24:B25"/>
    <mergeCell ref="A38:C38"/>
    <mergeCell ref="A19:C19"/>
    <mergeCell ref="A40:C40"/>
    <mergeCell ref="A41:D41"/>
    <mergeCell ref="A39:C39"/>
    <mergeCell ref="A8:B8"/>
    <mergeCell ref="C8:D8"/>
    <mergeCell ref="B30:B31"/>
    <mergeCell ref="A18:D18"/>
    <mergeCell ref="A36:C36"/>
    <mergeCell ref="C7:D7"/>
    <mergeCell ref="C28:C29"/>
    <mergeCell ref="A10:B10"/>
    <mergeCell ref="A33:D33"/>
    <mergeCell ref="C24:C25"/>
    <mergeCell ref="A9:B9"/>
    <mergeCell ref="B26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5">
        <f>== NAVRŽENÉ HS KÓDY – ODŮVODNĚNÍ ===</f>
        <v/>
      </c>
    </row>
    <row r="2">
      <c r="A2" t="inlineStr"/>
    </row>
    <row r="3">
      <c r="A3" s="16" t="inlineStr">
        <is>
          <t>9401 39 00 – Otočná sedadla s výškovým nastavením, ostatní (než dřevěná)</t>
        </is>
      </c>
    </row>
    <row r="4">
      <c r="A4" t="inlineStr">
        <is>
          <t xml:space="preserve">   Položky: Kira chair (240 ks) a Nora chair (300 ks) – celkem 540 ks.</t>
        </is>
      </c>
    </row>
    <row r="5">
      <c r="A5" t="inlineStr">
        <is>
          <t xml:space="preserve">   Popis „otočná židle s pochromovaným podstavcem, koženka“ odpovídá otočnému sedadlu na chromovaném kříži.</t>
        </is>
      </c>
    </row>
    <row r="6">
      <c r="A6" t="inlineStr">
        <is>
          <t xml:space="preserve">   Podmínka položky 9401 30: sedadlo musí být OTOČNÉ A SOUČASNĚ VÝŠKOVĚ STAVITELNÉ; materiál kostry je pak nerozhodný.</t>
        </is>
      </c>
    </row>
    <row r="7">
      <c r="A7" t="inlineStr">
        <is>
          <t xml:space="preserve">   Od CN 2022 je 9401 30 rozdělena na 9401 31 00 (dřevěná) a 9401 39 00 (ostatní) → zde 9401 39 00.</t>
        </is>
      </c>
    </row>
    <row r="8">
      <c r="A8" t="inlineStr">
        <is>
          <t xml:space="preserve">   Shoduje se s HS kódem deklarovaným na B/L ENBBRV2605491 (94013900). Clo erga omnes 0 %.</t>
        </is>
      </c>
    </row>
    <row r="9">
      <c r="A9" t="inlineStr"/>
    </row>
    <row r="10">
      <c r="A10" s="16" t="inlineStr">
        <is>
          <t>9401 71 00 – Ostatní sedadla s kovovou kostrou, čalouněná</t>
        </is>
      </c>
    </row>
    <row r="11">
      <c r="A11" t="inlineStr">
        <is>
          <t xml:space="preserve">   Položky: ETAN chair (40 ks) a MC-221 / MC-015 (400 ks) – celkem 440 ks.</t>
        </is>
      </c>
    </row>
    <row r="12">
      <c r="A12" t="inlineStr">
        <is>
          <t xml:space="preserve">   Popis „křeslo do jídelny nebo kanceláře, koženka“; faktura uvádí SILVER FRAME / GOLDEN FRAME → kovový rám.</t>
        </is>
      </c>
    </row>
    <row r="13">
      <c r="A13" t="inlineStr">
        <is>
          <t xml:space="preserve">   Nejde o otočná ani výškově stavitelná sedadla → nepatří do 9401 30/39, ale do 9401 71 00.</t>
        </is>
      </c>
    </row>
    <row r="14">
      <c r="A14" t="inlineStr">
        <is>
          <t xml:space="preserve">   POZOR: B/L deklaruje pro celou zásilku jediný kód 94013900. Pro JSD to nestačí – tyto položky zařadit zvlášť.</t>
        </is>
      </c>
    </row>
    <row r="15">
      <c r="A15" t="inlineStr"/>
    </row>
    <row r="16">
      <c r="A16" s="15">
        <f>== ⚠ NUTNO OVĚŘIT U ODESÍLATELE PŘED PODÁNÍM JSD ===</f>
        <v/>
      </c>
    </row>
    <row r="17">
      <c r="A17" s="17" t="inlineStr">
        <is>
          <t>1) Kira a Nora: mají plynový píst / výškové nastavení? ANO → 9401 39 00. NE → přesunout do 9401 71 00.</t>
        </is>
      </c>
    </row>
    <row r="18">
      <c r="A18" s="17" t="inlineStr">
        <is>
          <t>2) ETAN a MC-221/MC-015: je kostra kovová (ne dřevěná)? Dřevěná kostra → 9401 61 00 místo 9401 71 00.</t>
        </is>
      </c>
    </row>
    <row r="19">
      <c r="A19" s="17" t="inlineStr">
        <is>
          <t>3) ETAN a MC-221/MC-015: je sedák/opěrák čalouněný (polstrování pod koženkou)? Bez polstrování → 9401 79 00.</t>
        </is>
      </c>
    </row>
    <row r="20">
      <c r="A20" s="17" t="inlineStr">
        <is>
          <t>4) Potvrdit 10místný TARIC kód v deklaračním systému (u minulé zásilky použit 9401 7100 11).</t>
        </is>
      </c>
    </row>
    <row r="21">
      <c r="A21" s="17" t="inlineStr">
        <is>
          <t>5) Model: tato instrukce uvádí „MC-221“, faktura i packing list uvádí „MC-015“ (400 ks) – sjednotit.</t>
        </is>
      </c>
    </row>
    <row r="22">
      <c r="A22" s="17" t="inlineStr">
        <is>
          <t>6) Číslo faktury: tato instrukce a packing list uvádí 26200131C, faktura uvádí 26200232C – sjednotit pro JSD.</t>
        </is>
      </c>
    </row>
    <row r="23">
      <c r="A23" t="inlineStr"/>
    </row>
    <row r="24">
      <c r="A24" s="15">
        <f>== DALŠÍ ZJIŠTĚNÍ ===</f>
        <v/>
      </c>
    </row>
    <row r="25">
      <c r="A25" t="inlineStr">
        <is>
          <t>Incoterm: FOB Ningbo (dle faktury). B/L je FREIGHT COLLECT → dopravné a pojistné do hranic EU je nutno</t>
        </is>
      </c>
    </row>
    <row r="26">
      <c r="A26" t="inlineStr">
        <is>
          <t xml:space="preserve">   PŘIPOČÍST k celní hodnotě. Fakturovaných 12 400 USD není konečná celní hodnota.</t>
        </is>
      </c>
    </row>
    <row r="27">
      <c r="A27" t="inlineStr">
        <is>
          <t>Preferenční věta: na faktuře NENÍ – u čínského původu správně (ČLR nemá s EU FTA, od 1.1.2015 mimo GSP).</t>
        </is>
      </c>
    </row>
    <row r="28">
      <c r="A28" t="inlineStr">
        <is>
          <t>REX číslo: na faktuře NENÍ uvedeno. Preferenční sazební zacházení nelze uplatnit, platí sazba erga omnes.</t>
        </is>
      </c>
    </row>
    <row r="29">
      <c r="A29" t="inlineStr">
        <is>
          <t>CBAM: zásilka NEPODLÉHÁ – kapitola 94 není v příloze I nařízení CBAM. Žádný Y-kód se v JSD neuvádí.</t>
        </is>
      </c>
    </row>
    <row r="30">
      <c r="A30" t="inlineStr">
        <is>
          <t>Antidumping: pro sedadla 9401 z Číny nebylo zjištěno platné opatření EU; ověřit v TARIC při podání.</t>
        </is>
      </c>
    </row>
    <row r="31">
      <c r="A31" t="inlineStr">
        <is>
          <t>Obchodní sleva: na faktuře žádná není (součet položek = 12 400,00 USD).</t>
        </is>
      </c>
    </row>
    <row r="32">
      <c r="A32" t="inlineStr"/>
    </row>
    <row r="33">
      <c r="A33" s="17" t="inlineStr">
        <is>
          <t>⚠ Tato instrukce pokrývá pouze kontejner MRKU3227650 (710 kartonů / 980 ks / 12 400 USD).</t>
        </is>
      </c>
    </row>
    <row r="34">
      <c r="A34" t="inlineStr">
        <is>
          <t xml:space="preserve">   B/L kryje ještě kontejner CAAU5953508 (408 kartonů / 4 908,500 kg) – k němu nebyla dodána faktura ani packing list.</t>
        </is>
      </c>
    </row>
    <row r="35">
      <c r="A35" t="inlineStr"/>
    </row>
    <row r="36">
      <c r="A36" t="inlineStr">
        <is>
          <t>Podrobný rozpad po HS kódech (množství, čistá a hrubá hmotnost, celní hodnota):</t>
        </is>
      </c>
    </row>
    <row r="37">
      <c r="A37" t="inlineStr">
        <is>
          <t xml:space="preserve">   output/HS_Code_Summary_NSN_Cosmetics_2605491.xlsx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2026-09-15T08:20:21Z</dcterms:created>
  <dcterms:modified xsi:type="dcterms:W3CDTF">2026-09-15T08:20:21Z</dcterms:modified>
</cp:coreProperties>
</file>