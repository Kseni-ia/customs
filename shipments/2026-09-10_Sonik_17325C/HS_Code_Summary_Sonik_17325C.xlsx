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  <font>
      <b val="1"/>
      <color rgb="00FFFFFF"/>
      <sz val="10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right" vertical="top"/>
    </xf>
    <xf numFmtId="0" fontId="0" fillId="2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3" fontId="0" fillId="4" borderId="1" applyAlignment="1" pivotButton="0" quotePrefix="0" xfId="0">
      <alignment horizontal="right" vertical="top"/>
    </xf>
    <xf numFmtId="164" fontId="0" fillId="4" borderId="1" applyAlignment="1" pivotButton="0" quotePrefix="0" xfId="0">
      <alignment horizontal="right" vertical="top"/>
    </xf>
    <xf numFmtId="4" fontId="0" fillId="4" borderId="1" applyAlignment="1" pivotButton="0" quotePrefix="0" xfId="0">
      <alignment horizontal="right" vertical="top"/>
    </xf>
    <xf numFmtId="0" fontId="2" fillId="5" borderId="1" applyAlignment="1" pivotButton="0" quotePrefix="0" xfId="0">
      <alignment horizontal="left" vertical="top"/>
    </xf>
    <xf numFmtId="3" fontId="2" fillId="5" borderId="1" applyAlignment="1" pivotButton="0" quotePrefix="0" xfId="0">
      <alignment horizontal="right" vertical="top"/>
    </xf>
    <xf numFmtId="164" fontId="2" fillId="5" borderId="1" applyAlignment="1" pivotButton="0" quotePrefix="0" xfId="0">
      <alignment horizontal="right" vertical="top"/>
    </xf>
    <xf numFmtId="4" fontId="2" fillId="5" borderId="1" applyAlignment="1" pivotButton="0" quotePrefix="0" xfId="0">
      <alignment horizontal="right" vertical="top"/>
    </xf>
    <xf numFmtId="0" fontId="3" fillId="4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40" customWidth="1" min="3" max="3"/>
    <col width="38" customWidth="1" min="4" max="4"/>
    <col width="14" customWidth="1" min="5" max="5"/>
    <col width="10" customWidth="1" min="6" max="6"/>
    <col width="13" customWidth="1" min="7" max="7"/>
    <col width="13" customWidth="1" min="8" max="8"/>
    <col width="14" customWidth="1" min="9" max="9"/>
    <col width="16" customWidth="1" min="10" max="10"/>
    <col width="52" customWidth="1" min="11" max="11"/>
  </cols>
  <sheetData>
    <row r="1">
      <c r="A1" s="1" t="inlineStr">
        <is>
          <t>Přehled HS kódů – Sonik, zásilka 17325C (WH1 UK → WH2 CZ)</t>
        </is>
      </c>
    </row>
    <row r="3">
      <c r="A3" s="2" t="inlineStr">
        <is>
          <t>Odesílatel</t>
        </is>
      </c>
      <c r="B3" s="3" t="inlineStr">
        <is>
          <t>Sonik Sports Limited, Unit 4 Coniston Court, Blyth NE24 4RP, GB — EORI GB923608624000</t>
        </is>
      </c>
    </row>
    <row r="4">
      <c r="A4" s="2" t="inlineStr">
        <is>
          <t>Příjemce (CZ)</t>
        </is>
      </c>
      <c r="B4" s="3" t="inlineStr">
        <is>
          <t>Sonik Czech Logistics, Osov 75, 26725 Osov, CZ — EORI CZ00015236976, DIČ CZ684888116</t>
        </is>
      </c>
    </row>
    <row r="5">
      <c r="A5" s="2" t="inlineStr">
        <is>
          <t>Faktura</t>
        </is>
      </c>
      <c r="B5" s="3" t="inlineStr">
        <is>
          <t>TOCZ.UK0826 ze dne 01.09.2026</t>
        </is>
      </c>
    </row>
    <row r="6">
      <c r="A6" s="2" t="inlineStr">
        <is>
          <t>Tranzit T1</t>
        </is>
      </c>
      <c r="B6" s="3" t="inlineStr">
        <is>
          <t>MRN 26GB000246VDJPT1J8 (LRN 17325C) — držitel režimu Delamode Anglia, GB248431165000</t>
        </is>
      </c>
    </row>
    <row r="7">
      <c r="A7" s="2" t="inlineStr">
        <is>
          <t>Celní úřad určení</t>
        </is>
      </c>
      <c r="B7" s="3" t="inlineStr">
        <is>
          <t>CZ621060 — lhůta předložení 22.09.2026</t>
        </is>
      </c>
    </row>
    <row r="8">
      <c r="A8" s="2" t="inlineStr">
        <is>
          <t>INCOTERMS</t>
        </is>
      </c>
      <c r="B8" s="4" t="inlineStr">
        <is>
          <t>DDP — ⚠ MÍSTO (město) NEUVEDENO na faktuře, nutno doplnit</t>
        </is>
      </c>
    </row>
    <row r="9">
      <c r="A9" s="2" t="inlineStr">
        <is>
          <t>Měna</t>
        </is>
      </c>
      <c r="B9" s="3" t="inlineStr">
        <is>
          <t>GBP</t>
        </is>
      </c>
    </row>
    <row r="10">
      <c r="A10" s="2" t="inlineStr">
        <is>
          <t>Zásilka celkem</t>
        </is>
      </c>
      <c r="B10" s="3" t="inlineStr">
        <is>
          <t>10 palet · 2 284,000 kg hrubá hmotnost · 5 563 ks · 19 349,59 GBP</t>
        </is>
      </c>
    </row>
    <row r="12" ht="34" customHeight="1">
      <c r="A12" s="5" t="inlineStr">
        <is>
          <t>Odesílatel</t>
        </is>
      </c>
      <c r="B12" s="5" t="inlineStr">
        <is>
          <t>HS kód</t>
        </is>
      </c>
      <c r="C12" s="5" t="inlineStr">
        <is>
          <t>Popis (CZ)</t>
        </is>
      </c>
      <c r="D12" s="5" t="inlineStr">
        <is>
          <t>Description (EN)</t>
        </is>
      </c>
      <c r="E12" s="5" t="inlineStr">
        <is>
          <t>Země původu
(COO)</t>
        </is>
      </c>
      <c r="F12" s="5" t="inlineStr">
        <is>
          <t>Množství
(ks)</t>
        </is>
      </c>
      <c r="G12" s="5" t="inlineStr">
        <is>
          <t>Čistá hmotnost
(kg)</t>
        </is>
      </c>
      <c r="H12" s="5" t="inlineStr">
        <is>
          <t>Hrubá hmotnost
(kg)</t>
        </is>
      </c>
      <c r="I12" s="5" t="inlineStr">
        <is>
          <t>Celní hodnota
(GBP)</t>
        </is>
      </c>
      <c r="J12" s="5" t="inlineStr">
        <is>
          <t>Palety</t>
        </is>
      </c>
      <c r="K12" s="5" t="inlineStr">
        <is>
          <t>CBAM / Antidumping / poznámka</t>
        </is>
      </c>
    </row>
    <row r="13">
      <c r="A13" s="6" t="inlineStr">
        <is>
          <t>Sonik Sports Limited (GB)</t>
        </is>
      </c>
      <c r="B13" s="6" t="inlineStr">
        <is>
          <t>9507900000</t>
        </is>
      </c>
      <c r="C13" s="7" t="inlineStr">
        <is>
          <t>Ostatní rybářské potřeby (podběráky, kleště, doplňky)</t>
        </is>
      </c>
      <c r="D13" s="7" t="inlineStr">
        <is>
          <t>Other line fishing tackle</t>
        </is>
      </c>
      <c r="E13" s="6" t="inlineStr">
        <is>
          <t>CHINA</t>
        </is>
      </c>
      <c r="F13" s="8" t="n">
        <v>3310</v>
      </c>
      <c r="G13" s="9" t="n">
        <v>733.95</v>
      </c>
      <c r="H13" s="9" t="n">
        <v>733.95</v>
      </c>
      <c r="I13" s="10" t="n">
        <v>6217.9</v>
      </c>
      <c r="J13" s="6" t="inlineStr">
        <is>
          <t>P1, P2, P3, P4</t>
        </is>
      </c>
      <c r="K13" s="7" t="inlineStr"/>
    </row>
    <row r="14">
      <c r="A14" s="6" t="inlineStr">
        <is>
          <t>Sonik Sports Limited (GB)</t>
        </is>
      </c>
      <c r="B14" s="6" t="inlineStr">
        <is>
          <t>9401800000</t>
        </is>
      </c>
      <c r="C14" s="7" t="inlineStr">
        <is>
          <t>Ostatní sedadla (rybářská křesla)</t>
        </is>
      </c>
      <c r="D14" s="7" t="inlineStr">
        <is>
          <t>Other seats</t>
        </is>
      </c>
      <c r="E14" s="6" t="inlineStr">
        <is>
          <t>CHINA</t>
        </is>
      </c>
      <c r="F14" s="8" t="n">
        <v>110</v>
      </c>
      <c r="G14" s="9" t="n">
        <v>326.81</v>
      </c>
      <c r="H14" s="9" t="n">
        <v>326.81</v>
      </c>
      <c r="I14" s="10" t="n">
        <v>2768.7</v>
      </c>
      <c r="J14" s="6" t="inlineStr">
        <is>
          <t>P5, P6, P7, P8</t>
        </is>
      </c>
      <c r="K14" s="7" t="inlineStr"/>
    </row>
    <row r="15">
      <c r="A15" s="6" t="inlineStr">
        <is>
          <t>Sonik Sports Limited (GB)</t>
        </is>
      </c>
      <c r="B15" s="6" t="inlineStr">
        <is>
          <t>9507100000</t>
        </is>
      </c>
      <c r="C15" s="7" t="inlineStr">
        <is>
          <t>Rybářské pruty</t>
        </is>
      </c>
      <c r="D15" s="7" t="inlineStr">
        <is>
          <t>Fishing rods</t>
        </is>
      </c>
      <c r="E15" s="6" t="inlineStr">
        <is>
          <t>CHINA</t>
        </is>
      </c>
      <c r="F15" s="8" t="n">
        <v>553</v>
      </c>
      <c r="G15" s="9" t="n">
        <v>311.41</v>
      </c>
      <c r="H15" s="9" t="n">
        <v>311.41</v>
      </c>
      <c r="I15" s="10" t="n">
        <v>2638.21</v>
      </c>
      <c r="J15" s="6" t="inlineStr">
        <is>
          <t>P2, P3</t>
        </is>
      </c>
      <c r="K15" s="7" t="inlineStr"/>
    </row>
    <row r="16">
      <c r="A16" s="6" t="inlineStr">
        <is>
          <t>Sonik Sports Limited (GB)</t>
        </is>
      </c>
      <c r="B16" s="6" t="inlineStr">
        <is>
          <t>3926909790</t>
        </is>
      </c>
      <c r="C16" s="7" t="inlineStr">
        <is>
          <t>Ostatní výrobky z plastů – ostatní (kbelíky)</t>
        </is>
      </c>
      <c r="D16" s="7" t="inlineStr">
        <is>
          <t>Other articles of plastics – other</t>
        </is>
      </c>
      <c r="E16" s="6" t="inlineStr">
        <is>
          <t>POLAND</t>
        </is>
      </c>
      <c r="F16" s="8" t="n">
        <v>625</v>
      </c>
      <c r="G16" s="9" t="n">
        <v>293.04</v>
      </c>
      <c r="H16" s="9" t="n">
        <v>293.04</v>
      </c>
      <c r="I16" s="10" t="n">
        <v>2482.58</v>
      </c>
      <c r="J16" s="6" t="inlineStr">
        <is>
          <t>P9, P10</t>
        </is>
      </c>
      <c r="K16" s="7" t="inlineStr"/>
    </row>
    <row r="17">
      <c r="A17" s="6" t="inlineStr">
        <is>
          <t>Sonik Sports Limited (GB)</t>
        </is>
      </c>
      <c r="B17" s="6" t="inlineStr">
        <is>
          <t>8531202090</t>
        </is>
      </c>
      <c r="C17" s="7" t="inlineStr">
        <is>
          <t>Elektrické akustické nebo vizuální signalizační přístroje – s LED indikací (signalizátory záběru)</t>
        </is>
      </c>
      <c r="D17" s="7" t="inlineStr">
        <is>
          <t>Electric sound or visual signalling apparatus – with LED</t>
        </is>
      </c>
      <c r="E17" s="6" t="inlineStr">
        <is>
          <t>CHINA</t>
        </is>
      </c>
      <c r="F17" s="8" t="n">
        <v>100</v>
      </c>
      <c r="G17" s="9" t="n">
        <v>207.63</v>
      </c>
      <c r="H17" s="9" t="n">
        <v>207.63</v>
      </c>
      <c r="I17" s="10" t="n">
        <v>1759</v>
      </c>
      <c r="J17" s="6" t="inlineStr">
        <is>
          <t>P1</t>
        </is>
      </c>
      <c r="K17" s="7" t="inlineStr"/>
    </row>
    <row r="18">
      <c r="A18" s="6" t="inlineStr">
        <is>
          <t>Sonik Sports Limited (GB)</t>
        </is>
      </c>
      <c r="B18" s="6" t="inlineStr">
        <is>
          <t>5404190090</t>
        </is>
      </c>
      <c r="C18" s="7" t="inlineStr">
        <is>
          <t>Syntetický monofil ≥ 67 decitex, příčný rozměr ≤ 1 mm – ostatní (vlasce)</t>
        </is>
      </c>
      <c r="D18" s="7" t="inlineStr">
        <is>
          <t>Synthetic monofilament of 67 decitex or more – other</t>
        </is>
      </c>
      <c r="E18" s="6" t="inlineStr">
        <is>
          <t>CHINA/HUNGARY</t>
        </is>
      </c>
      <c r="F18" s="8" t="n">
        <v>636</v>
      </c>
      <c r="G18" s="9" t="n">
        <v>197.5</v>
      </c>
      <c r="H18" s="9" t="n">
        <v>197.5</v>
      </c>
      <c r="I18" s="10" t="n">
        <v>1673.2</v>
      </c>
      <c r="J18" s="6" t="inlineStr">
        <is>
          <t>P1, P3</t>
        </is>
      </c>
      <c r="K18" s="11" t="inlineStr">
        <is>
          <t>⚠ Smíšený původ (CHINA/HUNGARY) – pro JSD rozdělit položku podle země původu.</t>
        </is>
      </c>
    </row>
    <row r="19">
      <c r="A19" s="6" t="inlineStr">
        <is>
          <t>Sonik Sports Limited (GB)</t>
        </is>
      </c>
      <c r="B19" s="6" t="inlineStr">
        <is>
          <t>9507300000</t>
        </is>
      </c>
      <c r="C19" s="7" t="inlineStr">
        <is>
          <t>Rybářské navijáky</t>
        </is>
      </c>
      <c r="D19" s="7" t="inlineStr">
        <is>
          <t>Fishing reels</t>
        </is>
      </c>
      <c r="E19" s="6" t="inlineStr">
        <is>
          <t>CHINA</t>
        </is>
      </c>
      <c r="F19" s="8" t="n">
        <v>33</v>
      </c>
      <c r="G19" s="9" t="n">
        <v>95.90000000000001</v>
      </c>
      <c r="H19" s="9" t="n">
        <v>95.90000000000001</v>
      </c>
      <c r="I19" s="10" t="n">
        <v>812.46</v>
      </c>
      <c r="J19" s="6" t="inlineStr">
        <is>
          <t>P1</t>
        </is>
      </c>
      <c r="K19" s="7" t="inlineStr"/>
    </row>
    <row r="20">
      <c r="A20" s="6" t="inlineStr">
        <is>
          <t>Sonik Sports Limited (GB)</t>
        </is>
      </c>
      <c r="B20" s="6" t="inlineStr">
        <is>
          <t>8513100000</t>
        </is>
      </c>
      <c r="C20" s="7" t="inlineStr">
        <is>
          <t>Přenosná elektrická svítidla s vlastním zdrojem energie – svítilny</t>
        </is>
      </c>
      <c r="D20" s="7" t="inlineStr">
        <is>
          <t>Portable electric lamps designed to function by their own source of energy</t>
        </is>
      </c>
      <c r="E20" s="6" t="inlineStr">
        <is>
          <t>CHINA</t>
        </is>
      </c>
      <c r="F20" s="8" t="n">
        <v>100</v>
      </c>
      <c r="G20" s="9" t="n">
        <v>67.75</v>
      </c>
      <c r="H20" s="9" t="n">
        <v>67.75</v>
      </c>
      <c r="I20" s="10" t="n">
        <v>574</v>
      </c>
      <c r="J20" s="6" t="inlineStr">
        <is>
          <t>P1</t>
        </is>
      </c>
      <c r="K20" s="7" t="inlineStr"/>
    </row>
    <row r="21">
      <c r="A21" s="6" t="inlineStr">
        <is>
          <t>Sonik Sports Limited (GB)</t>
        </is>
      </c>
      <c r="B21" s="6" t="inlineStr">
        <is>
          <t>6203423500</t>
        </is>
      </c>
      <c r="C21" s="7" t="inlineStr">
        <is>
          <t>Pánské nebo chlapecké kalhoty a šortky, z bavlny – ostatní (fleecové šortky)</t>
        </is>
      </c>
      <c r="D21" s="7" t="inlineStr">
        <is>
          <t>Men's or boys' trousers and shorts, of cotton – other</t>
        </is>
      </c>
      <c r="E21" s="6" t="inlineStr">
        <is>
          <t>BANGLADESH</t>
        </is>
      </c>
      <c r="F21" s="8" t="n">
        <v>26</v>
      </c>
      <c r="G21" s="9" t="n">
        <v>22.5</v>
      </c>
      <c r="H21" s="9" t="n">
        <v>22.5</v>
      </c>
      <c r="I21" s="10" t="n">
        <v>190.64</v>
      </c>
      <c r="J21" s="6" t="inlineStr">
        <is>
          <t>P1</t>
        </is>
      </c>
      <c r="K21" s="7" t="inlineStr"/>
    </row>
    <row r="22">
      <c r="A22" s="6" t="inlineStr">
        <is>
          <t>Sonik Sports Limited (GB)</t>
        </is>
      </c>
      <c r="B22" s="6" t="inlineStr">
        <is>
          <t>3923900000</t>
        </is>
      </c>
      <c r="C22" s="7" t="inlineStr">
        <is>
          <t>Výrobky pro přepravu nebo balení zboží, z plastů – ostatní (boxy na návazce)</t>
        </is>
      </c>
      <c r="D22" s="7" t="inlineStr">
        <is>
          <t>Articles for the conveyance or packing of goods, of plastics – other</t>
        </is>
      </c>
      <c r="E22" s="6" t="inlineStr">
        <is>
          <t>CHINA</t>
        </is>
      </c>
      <c r="F22" s="8" t="n">
        <v>50</v>
      </c>
      <c r="G22" s="9" t="n">
        <v>20.84</v>
      </c>
      <c r="H22" s="9" t="n">
        <v>20.84</v>
      </c>
      <c r="I22" s="10" t="n">
        <v>176.5</v>
      </c>
      <c r="J22" s="6" t="inlineStr">
        <is>
          <t>P1</t>
        </is>
      </c>
      <c r="K22" s="7" t="inlineStr"/>
    </row>
    <row r="23">
      <c r="A23" s="6" t="inlineStr">
        <is>
          <t>Sonik Sports Limited (GB)</t>
        </is>
      </c>
      <c r="B23" s="6" t="inlineStr">
        <is>
          <t>7616999099</t>
        </is>
      </c>
      <c r="C23" s="7" t="inlineStr">
        <is>
          <t>Ostatní výrobky z hliníku – ostatní (hrazdy na signalizátory)</t>
        </is>
      </c>
      <c r="D23" s="7" t="inlineStr">
        <is>
          <t>Other articles of aluminium – other</t>
        </is>
      </c>
      <c r="E23" s="6" t="inlineStr">
        <is>
          <t>CHINA</t>
        </is>
      </c>
      <c r="F23" s="8" t="n">
        <v>20</v>
      </c>
      <c r="G23" s="9" t="n">
        <v>6.67</v>
      </c>
      <c r="H23" s="9" t="n">
        <v>6.67</v>
      </c>
      <c r="I23" s="10" t="n">
        <v>56.4</v>
      </c>
      <c r="J23" s="6" t="inlineStr">
        <is>
          <t>P3</t>
        </is>
      </c>
      <c r="K23" s="11" t="inlineStr">
        <is>
          <t>CBAM – hliník (kap. 76, příloha I nař. 2023/956). Viz list „Dokumenty a poznámky".</t>
        </is>
      </c>
    </row>
    <row r="24">
      <c r="A24" s="12" t="inlineStr">
        <is>
          <t>Sonik Sports Limited (GB)</t>
        </is>
      </c>
      <c r="B24" s="12" t="inlineStr">
        <is>
          <t>6505003000</t>
        </is>
      </c>
      <c r="C24" s="13" t="inlineStr">
        <is>
          <t>Pokrývky hlavy pletené nebo háčkované – čepice</t>
        </is>
      </c>
      <c r="D24" s="13" t="inlineStr">
        <is>
          <t>Hats and other headgear, knitted or crocheted – caps</t>
        </is>
      </c>
      <c r="E24" s="12" t="inlineStr">
        <is>
          <t>CHINA</t>
        </is>
      </c>
      <c r="F24" s="14" t="n">
        <v>0</v>
      </c>
      <c r="G24" s="15" t="n"/>
      <c r="H24" s="15" t="n"/>
      <c r="I24" s="16" t="n">
        <v>0</v>
      </c>
      <c r="J24" s="12" t="inlineStr"/>
      <c r="K24" s="13" t="inlineStr">
        <is>
          <t>⚠ Množství 0 ks – položka na faktuře, ale fyzicky neodeslána (není ani v T1).</t>
        </is>
      </c>
    </row>
    <row r="25">
      <c r="A25" s="17" t="inlineStr">
        <is>
          <t>CELKEM</t>
        </is>
      </c>
      <c r="B25" s="17" t="inlineStr"/>
      <c r="C25" s="17" t="inlineStr"/>
      <c r="D25" s="17" t="inlineStr"/>
      <c r="E25" s="17" t="inlineStr"/>
      <c r="F25" s="18" t="n">
        <v>5563</v>
      </c>
      <c r="G25" s="19" t="n">
        <v>2284</v>
      </c>
      <c r="H25" s="19" t="n">
        <v>2284</v>
      </c>
      <c r="I25" s="20" t="n">
        <v>19349.59</v>
      </c>
      <c r="J25" s="17" t="inlineStr"/>
      <c r="K25" s="17" t="inlineStr"/>
    </row>
    <row r="27">
      <c r="A27" s="21" t="inlineStr">
        <is>
          <t>⚠ PREFERENČNÍ VĚTA (COO): V dokumentech k zásilce NENÍ uvedena — clo dle třetí země (erga omnes).</t>
        </is>
      </c>
    </row>
    <row r="28">
      <c r="A28" s="21" t="inlineStr">
        <is>
          <t>⚠ CBAM: Příjemce Sonik Czech Logistics NENÍ v registru v sloupci „Firma“. Jeho EORI je však vedeno u sdíleného účtu. Viz list „Dokumenty a poznámky“.</t>
        </is>
      </c>
    </row>
    <row r="29">
      <c r="A29" s="21" t="inlineStr">
        <is>
          <t>⚠ INCOTERM DDP je uveden bez města / jmenovaného místa. Nutno doplnit před podáním JSD.</t>
        </is>
      </c>
    </row>
    <row r="30">
      <c r="A30" s="22" t="inlineStr">
        <is>
          <t>Pozn.: Čistá hmotnost převzata z T1 (pol. 18 01) po HS6. T1 deklaruje čistou = hrubé hmotnosti (součet 2 284,000 kg = celková hrubá hmotnost), samostatné rozdělení netto/brutto ve zdrojích neexistuje.</t>
        </is>
      </c>
    </row>
  </sheetData>
  <mergeCells count="12">
    <mergeCell ref="B8:K8"/>
    <mergeCell ref="B4:K4"/>
    <mergeCell ref="A27:K27"/>
    <mergeCell ref="A30:K30"/>
    <mergeCell ref="B9:K9"/>
    <mergeCell ref="A29:K29"/>
    <mergeCell ref="B7:K7"/>
    <mergeCell ref="A28:K28"/>
    <mergeCell ref="B6:K6"/>
    <mergeCell ref="B10:K10"/>
    <mergeCell ref="B3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23">
        <f>== PREFERENČNÍ VĚTA / PŮVOD (COO) — KRITICKÉ ===</f>
        <v/>
      </c>
    </row>
    <row r="2">
      <c r="A2" s="24" t="inlineStr">
        <is>
          <t>V obchodní faktuře TOCZ.UK0826 ani v T1 NENÍ uvedena preferenční věta (prohlášení o původu).</t>
        </is>
      </c>
    </row>
    <row r="3">
      <c r="A3" s="25" t="inlineStr">
        <is>
          <t>Prohledány všechny textové buňky faktury – žádné prohlášení o preferenčním původu nenalezeno.</t>
        </is>
      </c>
    </row>
    <row r="4">
      <c r="A4" s="24" t="inlineStr">
        <is>
          <t>DŮSLEDEK: uplatní se běžné clo třetí země (erga omnes), nikoli preferenční sazba.</t>
        </is>
      </c>
    </row>
    <row r="5">
      <c r="A5" s="25" t="inlineStr">
        <is>
          <t>Zboží je odesíláno z GB, ale deklarovaný původ je CHINA / HUNGARY / BANGLADESH / POLAND.</t>
        </is>
      </c>
    </row>
    <row r="6">
      <c r="A6" s="25" t="inlineStr">
        <is>
          <t>Pod dohodou EU–UK (TCA) by preferenci zakládal pouze původ ve Spojeném království – ten zde deklarován není,</t>
        </is>
      </c>
    </row>
    <row r="7">
      <c r="A7" s="25" t="inlineStr">
        <is>
          <t>u zboží čínského a bangladéšského původu preference tedy není možná v žádném případě.</t>
        </is>
      </c>
    </row>
    <row r="8">
      <c r="A8" s="25" t="inlineStr">
        <is>
          <t>K OVĚŘENÍ: položky původu HUNGARY (vlasce RC0002/03/04/06/RC0012) a POLAND (kbelíky FC0039/40/41) jsou zbožím</t>
        </is>
      </c>
    </row>
    <row r="9">
      <c r="A9" s="25" t="inlineStr">
        <is>
          <t>původem z EU, které se vrací do EU. Zvážit režim vráceného zboží (čl. 203 UCC) – nutný důkaz o vývozu do 3 let.</t>
        </is>
      </c>
    </row>
    <row r="10">
      <c r="A10" s="25" t="inlineStr">
        <is>
          <t>→ Vyžádat od Sonik Sports potvrzení, zda k těmto položkám existuje důkaz o původním vývozu z EU.</t>
        </is>
      </c>
    </row>
    <row r="11">
      <c r="A11" s="25" t="inlineStr"/>
    </row>
    <row r="12">
      <c r="A12" s="23">
        <f>== CBAM — POZOR, PŘÍJEMCE NENÍ V REGISTRU POD VLASTNÍM JMÉNEM ===</f>
        <v/>
      </c>
    </row>
    <row r="13">
      <c r="A13" s="25" t="inlineStr">
        <is>
          <t>Dotčený HS kód: 7616999099 – ostatní výrobky z hliníku (STANZ 2-ROD BUZZ BAR, 20 ks, původ CHINA).</t>
        </is>
      </c>
    </row>
    <row r="14">
      <c r="A14" s="25" t="inlineStr">
        <is>
          <t>Kapitola 76 (hliník) je v příloze I nařízení (EU) 2023/956 → CBAM zboží.</t>
        </is>
      </c>
    </row>
    <row r="15">
      <c r="A15" s="25" t="inlineStr">
        <is>
          <t>Čistá hmotnost CBAM zboží v zásilce: 6,670 kg (dle T1) – hluboko pod limitem 50 t/rok.</t>
        </is>
      </c>
    </row>
    <row r="16">
      <c r="A16" s="25" t="inlineStr"/>
    </row>
    <row r="17">
      <c r="A17" s="26" t="inlineStr">
        <is>
          <t>VÝSLEDEK VYHLEDÁNÍ v reference/CBAM_receivers_CZ.xlsx (list List1):</t>
        </is>
      </c>
    </row>
    <row r="18">
      <c r="A18" s="24" t="inlineStr">
        <is>
          <t>Příjemce „Sonik Czech Logistics“ NENÍ uveden ve sloupci „Firma“ – nemá v registru vlastní řádek,</t>
        </is>
      </c>
    </row>
    <row r="19">
      <c r="A19" s="24" t="inlineStr">
        <is>
          <t>tzn. nemá vlastní Y KÓD, povolení ani podanou žádost.</t>
        </is>
      </c>
    </row>
    <row r="20">
      <c r="A20" s="25" t="inlineStr"/>
    </row>
    <row r="21">
      <c r="A21" s="24" t="inlineStr">
        <is>
          <t>ALE: jeho EORI CZ00015236976 v souboru JE – na řádku 7 ve sloupci J, v pravém bloku</t>
        </is>
      </c>
    </row>
    <row r="22">
      <c r="A22" s="25" t="inlineStr">
        <is>
          <t>„společnosti mimo EU, které používají náš účet CBAM-CZ-2025-QGM67089385721“,</t>
        </is>
      </c>
    </row>
    <row r="23">
      <c r="A23" s="25" t="inlineStr">
        <is>
          <t>kde je uvedeno pod názvem „Sonik Sports Limited“ (tj. pod jménem britského ODESÍLATELE).</t>
        </is>
      </c>
    </row>
    <row r="24">
      <c r="A24" s="25" t="inlineStr"/>
    </row>
    <row r="25">
      <c r="A25" s="26" t="inlineStr">
        <is>
          <t>→ Zásilka tedy podle registru spadá pod SDÍLENÝ ÚČET CBAM-CZ-2025-QGM67089385721.</t>
        </is>
      </c>
    </row>
    <row r="26">
      <c r="A26" s="25" t="inlineStr">
        <is>
          <t xml:space="preserve">   Sdílený účet je povolení (povolení → kód Y128), samotný pravý blok však Y kód neuvádí.</t>
        </is>
      </c>
    </row>
    <row r="27">
      <c r="A27" s="25" t="inlineStr"/>
    </row>
    <row r="28">
      <c r="A28" s="24" t="inlineStr">
        <is>
          <t>NESROVNALOST K OVĚŘENÍ PŘED PODÁNÍM JSD:</t>
        </is>
      </c>
    </row>
    <row r="29">
      <c r="A29" s="25" t="inlineStr">
        <is>
          <t>V registru je EORI CZ00015236976 (české EORI příjemce Sonik Czech Logistics) přiřazeno k názvu</t>
        </is>
      </c>
    </row>
    <row r="30">
      <c r="A30" s="25" t="inlineStr">
        <is>
          <t>„Sonik Sports Limited“, což je britská firma s EORI GB923608624000. Název a EORI si neodpovídají.</t>
        </is>
      </c>
    </row>
    <row r="31">
      <c r="A31" s="25" t="inlineStr">
        <is>
          <t>→ Potvrdit, která ze společností sdílený účet skutečně používá, a doplnit/opravit záznam v registru.</t>
        </is>
      </c>
    </row>
    <row r="32">
      <c r="A32" s="25" t="inlineStr">
        <is>
          <t>→ Teprve poté potvrdit Y kód pro JSD (Y128 při použití sdíleného povolení, nebo Y137 při de minimis).</t>
        </is>
      </c>
    </row>
    <row r="33">
      <c r="A33" s="25" t="inlineStr">
        <is>
          <t>Pozn.: Řádek 7 patří ve sloupci „Firma“ společnosti STRONG HAND EUROPE s.r.o. (CZ01933965, Y137) –</t>
        </is>
      </c>
    </row>
    <row r="34">
      <c r="A34" s="25" t="inlineStr">
        <is>
          <t>to je samostatný záznam, se Sonikem nesouvisí, pravý blok je na listu veden nezávisle.</t>
        </is>
      </c>
    </row>
    <row r="35">
      <c r="A35" s="25" t="inlineStr"/>
    </row>
    <row r="36">
      <c r="A36" s="23">
        <f>== ANTIDUMPING ===</f>
        <v/>
      </c>
    </row>
    <row r="37">
      <c r="A37" s="25" t="inlineStr">
        <is>
          <t>Nebyla identifikována žádná položka s platným antidumpingovým clem.</t>
        </is>
      </c>
    </row>
    <row r="38">
      <c r="A38" s="25" t="inlineStr">
        <is>
          <t>K OVĚŘENÍ v TARIC při podání: 7616999099, původ CHINA (hliník).</t>
        </is>
      </c>
    </row>
    <row r="39">
      <c r="A39" s="25" t="inlineStr">
        <is>
          <t>Antidumpingové clo na hliníkové profily z ČLR (nař. (EU) 2021/546) se vztahuje na kódy 7604, 7608 10 00,</t>
        </is>
      </c>
    </row>
    <row r="40">
      <c r="A40" s="25" t="inlineStr">
        <is>
          <t>7608 20 81, 7608 20 89 a 7610 90 90 – kód 7616 99 90 v něm uveden NENÍ, opatření by se tedy uplatnit nemělo.</t>
        </is>
      </c>
    </row>
    <row r="41">
      <c r="A41" s="25" t="inlineStr">
        <is>
          <t>Vzhledem k množství opatření na hliník z ČLR přesto doporučuji ověřit TARIC k datu propuštění.</t>
        </is>
      </c>
    </row>
    <row r="42">
      <c r="A42" s="25" t="inlineStr"/>
    </row>
    <row r="43">
      <c r="A43" s="23">
        <f>== INCOTERM ===</f>
        <v/>
      </c>
    </row>
    <row r="44">
      <c r="A44" s="24" t="inlineStr">
        <is>
          <t>Faktura uvádí pouze „INCOTERMS: DDP“ – BEZ jmenovaného místa / města.</t>
        </is>
      </c>
    </row>
    <row r="45">
      <c r="A45" s="25" t="inlineStr">
        <is>
          <t>DDP musí být vždy doplněno místem určení (např. „DDP Osov“).</t>
        </is>
      </c>
    </row>
    <row r="46">
      <c r="A46" s="25" t="inlineStr">
        <is>
          <t>→ Vyžádat od Sonik Sports doplnění před podáním JSD. Do souhrnu zatím uvedeno jako „DDP (místo neuvedeno)“.</t>
        </is>
      </c>
    </row>
    <row r="47">
      <c r="A47" s="25" t="inlineStr"/>
    </row>
    <row r="48">
      <c r="A48" s="23">
        <f>== HMOTNOSTI ===</f>
        <v/>
      </c>
    </row>
    <row r="49">
      <c r="A49" s="25" t="inlineStr">
        <is>
          <t>Čistá hmotnost po HS kódech: převzata z T1 MRN 26GB000246VDJPT1J8, pol. [18 01] Net mass, po HS6.</t>
        </is>
      </c>
    </row>
    <row r="50">
      <c r="A50" s="25" t="inlineStr">
        <is>
          <t>Celková hrubá hmotnost dle T1 [18 04]: 2 284,000 kg (uvedena souhrnně u položky 1, tak jak T1 vyžaduje).</t>
        </is>
      </c>
    </row>
    <row r="51">
      <c r="A51" s="24" t="inlineStr">
        <is>
          <t>POZOR: součet čistých hmotností v T1 je rovněž 2 284,000 kg – deklarant tedy zadal čistou = hrubé.</t>
        </is>
      </c>
    </row>
    <row r="52">
      <c r="A52" s="25" t="inlineStr">
        <is>
          <t>Ve zdrojových dokladech proto NEEXISTUJE samostatné rozdělení netto/brutto po položkách.</t>
        </is>
      </c>
    </row>
    <row r="53">
      <c r="A53" s="25" t="inlineStr">
        <is>
          <t>Sloupec „Hrubá hmotnost“ je z tohoto důvodu vyplněn shodně s čistou hmotností dle T1.</t>
        </is>
      </c>
    </row>
    <row r="54">
      <c r="A54" s="25" t="inlineStr">
        <is>
          <t>Kontrola: součet hmotností palet z Warehouse Template (řádek „Pallet Weight KG“, 10 palet)</t>
        </is>
      </c>
    </row>
    <row r="55">
      <c r="A55" s="25">
        <f> 2 284,000 kg, tedy přesně souhlasí s hrubou hmotností v T1. ✓</f>
        <v/>
      </c>
    </row>
    <row r="56">
      <c r="A56" s="25" t="inlineStr">
        <is>
          <t>→ Pokud celní úřad bude vyžadovat skutečné netto (bez obalů), je nutné vyžádat od odesílatele</t>
        </is>
      </c>
    </row>
    <row r="57">
      <c r="A57" s="25" t="inlineStr">
        <is>
          <t xml:space="preserve">   packing list s hmotnostmi po položkách.</t>
        </is>
      </c>
    </row>
    <row r="58">
      <c r="A58" s="25" t="inlineStr"/>
    </row>
    <row r="59">
      <c r="A59" s="23">
        <f>== MNOŽSTVÍ A HODNOTY ===</f>
        <v/>
      </c>
    </row>
    <row r="60">
      <c r="A60" s="25" t="inlineStr">
        <is>
          <t>Faktura TOCZ.UK0826: 64 řádků, 5 563 ks, 19 349,59 GBP – součet řádků přesně souhlasí se souhrnem faktury. ✓</t>
        </is>
      </c>
    </row>
    <row r="61">
      <c r="A61" s="25" t="inlineStr">
        <is>
          <t>Sleva: na faktuře NENÍ uvedena žádná obchodní sleva (součet řádků = deklarovaný součet),</t>
        </is>
      </c>
    </row>
    <row r="62">
      <c r="A62" s="25" t="inlineStr">
        <is>
          <t>proporcionální rozpouštění slevy se proto neuplatňuje.</t>
        </is>
      </c>
    </row>
    <row r="63">
      <c r="A63" s="25" t="inlineStr">
        <is>
          <t>Doplňkové MJ v T1 u 6203423500: 26 ks = 10 + 4 + 12 ks dle faktury. ✓</t>
        </is>
      </c>
    </row>
    <row r="64">
      <c r="A64" s="25" t="inlineStr"/>
    </row>
    <row r="65">
      <c r="A65" s="26" t="inlineStr">
        <is>
          <t>POLOŽKA S NULOVÝM MNOŽSTVÍM:</t>
        </is>
      </c>
    </row>
    <row r="66">
      <c r="A66" s="24" t="inlineStr">
        <is>
          <t>6505003000 – SONIK MULTICAM/MESH CAP (NC0015): na faktuře 0 ks / 0,00 GBP, v T1 vůbec není.</t>
        </is>
      </c>
    </row>
    <row r="67">
      <c r="A67" s="25" t="inlineStr">
        <is>
          <t>Ve Warehouse Template má „Trns UK to CZ“ = 100 ks, ale žádná paleta, Total 0, Variance 100 → neodesláno.</t>
        </is>
      </c>
    </row>
    <row r="68">
      <c r="A68" s="25" t="inlineStr">
        <is>
          <t>→ Ponecháno v přehledu s nulou pro úplnost; do JSD NEuvádět. Doporučuji odstranit z faktury.</t>
        </is>
      </c>
    </row>
    <row r="69">
      <c r="A69" s="25" t="inlineStr"/>
    </row>
    <row r="70">
      <c r="A70" s="23">
        <f>== ROZDÍLY MEZI WAREHOUSE TEMPLATE A FAKTUROU (variance) ===</f>
        <v/>
      </c>
    </row>
    <row r="71">
      <c r="A71" s="25" t="inlineStr">
        <is>
          <t>Položky, kde odesláno méně, než bylo plánováno (sloupec Variance v Warehouse Template):</t>
        </is>
      </c>
    </row>
    <row r="72">
      <c r="A72" s="25" t="inlineStr">
        <is>
          <t>RC0044 SUBSONIK INVISICAM 12LB – plán 24 ks, odesláno 14 ks (variance 10)</t>
        </is>
      </c>
    </row>
    <row r="73">
      <c r="A73" s="25" t="inlineStr">
        <is>
          <t>RC0045 SUBSONIK INVISICAM 15LB – plán 24 ks, odesláno 0 ks (variance 24) – na faktuře 0 ks</t>
        </is>
      </c>
    </row>
    <row r="74">
      <c r="A74" s="25" t="inlineStr">
        <is>
          <t>NC0083 SONIK GREEN FLEECE SHORTS M – plán 11 ks, odesláno 10 ks (variance 1)</t>
        </is>
      </c>
    </row>
    <row r="75">
      <c r="A75" s="25" t="inlineStr">
        <is>
          <t>NC0084 SONIK GREEN FLEECE SHORTS L – plán 18 ks, odesláno 4 ks (variance 14)</t>
        </is>
      </c>
    </row>
    <row r="76">
      <c r="A76" s="25" t="inlineStr">
        <is>
          <t>NC0015 SONIK MULTICAM/MESH CAP – plán 100 ks, odesláno 0 ks (variance 100)</t>
        </is>
      </c>
    </row>
    <row r="77">
      <c r="A77" s="25" t="inlineStr">
        <is>
          <t>Faktura odpovídá SKUTEČNĚ odeslanému množství (sloupec Total), nikoli plánu. ✓ Pro JSD je rozhodná faktura.</t>
        </is>
      </c>
    </row>
    <row r="78">
      <c r="A78" s="25" t="inlineStr"/>
    </row>
    <row r="79">
      <c r="A79" s="23">
        <f>== KLASIFIKACE ===</f>
        <v/>
      </c>
    </row>
    <row r="80">
      <c r="A80" s="25" t="inlineStr">
        <is>
          <t>Zásilka má jediného odesílatele (Sonik Sports Limited, GB), proto všechny HS kódy spadají pod jednu skupinu.</t>
        </is>
      </c>
    </row>
    <row r="81">
      <c r="A81" s="25" t="inlineStr">
        <is>
          <t>Delamode Anglia figuruje na T1 jako držitel tranzitního režimu / deklarant, nikoli jako odesílatel zboží.</t>
        </is>
      </c>
    </row>
    <row r="82">
      <c r="A82" s="25" t="inlineStr">
        <is>
          <t>Řádky jsou sloučeny na unikátní HS kód (10místný dle faktury); 64 řádků faktury → 12 HS kódů.</t>
        </is>
      </c>
    </row>
    <row r="83">
      <c r="A83" s="25" t="inlineStr">
        <is>
          <t>Vazba na T1 je 1:1 na úrovni HS6 (11 položek T1 + 6505003000 s nulovým množstvím, které v T1 není).</t>
        </is>
      </c>
    </row>
    <row r="84">
      <c r="A84" s="25" t="inlineStr"/>
    </row>
    <row r="85">
      <c r="A85" s="26" t="inlineStr">
        <is>
          <t>POZOR – smíšený původ v rámci jednoho HS kódu:</t>
        </is>
      </c>
    </row>
    <row r="86">
      <c r="A86" s="24" t="inlineStr">
        <is>
          <t>5404190090 obsahuje zboží původu HUNGARY i CHINA → pro JSD nutno rozdělit na dvě položky dle původu.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2026-09-10T09:15:54Z</dcterms:created>
  <dcterms:modified xsi:type="dcterms:W3CDTF">2026-09-10T09:15:54Z</dcterms:modified>
</cp:coreProperties>
</file>