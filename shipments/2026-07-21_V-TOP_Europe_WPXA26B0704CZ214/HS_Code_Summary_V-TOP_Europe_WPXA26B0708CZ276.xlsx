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3" fontId="3" fillId="3" borderId="1" applyAlignment="1" pivotButton="0" quotePrefix="0" xfId="0">
      <alignment horizontal="right" vertical="top"/>
    </xf>
    <xf numFmtId="4" fontId="3" fillId="3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center"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3" fontId="3" fillId="4" borderId="1" applyAlignment="1" pivotButton="0" quotePrefix="0" xfId="0">
      <alignment horizontal="right" vertical="top"/>
    </xf>
    <xf numFmtId="4" fontId="3" fillId="4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center"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3" fontId="3" fillId="0" borderId="1" applyAlignment="1" pivotButton="0" quotePrefix="0" xfId="0">
      <alignment horizontal="right" vertical="top"/>
    </xf>
    <xf numFmtId="4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/>
    </xf>
    <xf numFmtId="3" fontId="2" fillId="5" borderId="1" applyAlignment="1" pivotButton="0" quotePrefix="0" xfId="0">
      <alignment horizontal="right" vertical="top"/>
    </xf>
    <xf numFmtId="4" fontId="2" fillId="5" borderId="1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0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50" customWidth="1" min="9" max="9"/>
  </cols>
  <sheetData>
    <row r="1">
      <c r="A1" s="1" t="inlineStr">
        <is>
          <t>HS Code Summary – V-TOP Europe s.r.o., zásilka WPXA26B0708CZ276 (showroom)</t>
        </is>
      </c>
    </row>
    <row r="2">
      <c r="A2" s="2" t="inlineStr">
        <is>
          <t>Job / spis č.:</t>
        </is>
      </c>
      <c r="B2" s="3" t="inlineStr">
        <is>
          <t>CZ26010820 (třetí zásilka; samostatná JSD / samostatný souhrn)</t>
        </is>
      </c>
    </row>
    <row r="3">
      <c r="A3" s="2" t="inlineStr">
        <is>
          <t>Klient / dovozce:</t>
        </is>
      </c>
      <c r="B3" s="3" t="inlineStr">
        <is>
          <t>V-TOP EUROPE s.r.o., Františka Diviše 1012/64, Praha 22 – Uhříněves, 104 00 (IČ 257 95 040, DIČ CZ25795040)</t>
        </is>
      </c>
    </row>
    <row r="4">
      <c r="A4" s="2" t="inlineStr">
        <is>
          <t>Odesílatel / vývozce:</t>
        </is>
      </c>
      <c r="B4" s="3" t="inlineStr">
        <is>
          <t>HANGZHOU ONTIME I.T. CO., LTD., Hangzhou, China (jediný odesílatel)</t>
        </is>
      </c>
    </row>
    <row r="5">
      <c r="A5" s="2" t="inlineStr">
        <is>
          <t>Faktura / Packing list:</t>
        </is>
      </c>
      <c r="B5" s="3" t="inlineStr">
        <is>
          <t>MARKETING20260626, ze dne 26.6.2026 – vybavení showroomu</t>
        </is>
      </c>
    </row>
    <row r="6">
      <c r="A6" s="2" t="inlineStr">
        <is>
          <t>Přepravní doklad / kontejner:</t>
        </is>
      </c>
      <c r="B6" s="3" t="inlineStr">
        <is>
          <t>WPXA26B0708CZ276 / OVLU2107345 (40HC), 4 balíky</t>
        </is>
      </c>
    </row>
    <row r="7">
      <c r="A7" s="2" t="inlineStr">
        <is>
          <t>Země původu (COO):</t>
        </is>
      </c>
      <c r="B7" s="3" t="inlineStr">
        <is>
          <t>Čína (CN) – všechny položky (Made in China)</t>
        </is>
      </c>
    </row>
    <row r="8">
      <c r="A8" s="2" t="inlineStr">
        <is>
          <t>Dodací podmínka (Incoterm):</t>
        </is>
      </c>
      <c r="B8" s="3" t="inlineStr">
        <is>
          <t>CFR Praha (faktura: CFR PRAGUE; freight prepaid, CFS-CFS)</t>
        </is>
      </c>
    </row>
    <row r="9">
      <c r="A9" s="2" t="inlineStr">
        <is>
          <t>Měna:</t>
        </is>
      </c>
      <c r="B9" s="3" t="inlineStr">
        <is>
          <t>USD – POZOR: faktura v USD (na rozdíl od CZ214/CZ215 v EUR). Uvedeno 'NO COMMERCIAL VALUE'.</t>
        </is>
      </c>
    </row>
    <row r="11">
      <c r="A11" s="4" t="inlineStr">
        <is>
          <t>HS kód</t>
        </is>
      </c>
      <c r="B11" s="4" t="inlineStr">
        <is>
          <t>Popis zboží (CZ)</t>
        </is>
      </c>
      <c r="C11" s="4" t="inlineStr">
        <is>
          <t>Země původu (COO)</t>
        </is>
      </c>
      <c r="D11" s="4" t="inlineStr">
        <is>
          <t>Celkové množství (ks)</t>
        </is>
      </c>
      <c r="E11" s="4" t="inlineStr">
        <is>
          <t>Čistá hmotnost (kg)</t>
        </is>
      </c>
      <c r="F11" s="4" t="inlineStr">
        <is>
          <t>Hrubá hmotnost (kg)</t>
        </is>
      </c>
      <c r="G11" s="4" t="inlineStr">
        <is>
          <t>Celní hodnota (USD)</t>
        </is>
      </c>
      <c r="H11" s="4" t="inlineStr">
        <is>
          <t>Příznak</t>
        </is>
      </c>
      <c r="I11" s="4" t="inlineStr">
        <is>
          <t>TARIC / poznámka / CBAM / Antidumping</t>
        </is>
      </c>
    </row>
    <row r="12">
      <c r="A12" s="5" t="inlineStr">
        <is>
          <t>7308900000</t>
        </is>
      </c>
      <c r="B12" s="6" t="inlineStr">
        <is>
          <t>Konstrukce a části konstrukcí ze železa nebo oceli – regál (SHELF) a instalační lišta (INSTALLATION RAIL).</t>
        </is>
      </c>
      <c r="C12" s="7" t="inlineStr">
        <is>
          <t>CN</t>
        </is>
      </c>
      <c r="D12" s="8" t="n">
        <v>8</v>
      </c>
      <c r="E12" s="9" t="n">
        <v>311</v>
      </c>
      <c r="F12" s="9" t="n">
        <v>372.11</v>
      </c>
      <c r="G12" s="9" t="n">
        <v>592</v>
      </c>
      <c r="H12" s="10" t="inlineStr">
        <is>
          <t>CBAM / OCEL-RUS!</t>
        </is>
      </c>
      <c r="I12" s="6" t="inlineStr">
        <is>
          <t>Kapitola 73 (ocel). CBAM zboží (Příloha I). Prohlášení odesílatele o nepůvodu z Ruska (kap. 72/73) u této zásilky CHYBÍ – nutno vyžádat od odesílatele před podáním. Bez preferenčního původu → třetizemní clo.</t>
        </is>
      </c>
    </row>
    <row r="13">
      <c r="A13" s="5" t="inlineStr">
        <is>
          <t>7326909000</t>
        </is>
      </c>
      <c r="B13" s="6" t="inlineStr">
        <is>
          <t>Ostatní výrobky ze železa nebo oceli – instalační sloup (POLE), nástěnný držák TV (TV WALL MOUNT), skříň (CABINET).</t>
        </is>
      </c>
      <c r="C13" s="7" t="inlineStr">
        <is>
          <t>CN</t>
        </is>
      </c>
      <c r="D13" s="8" t="n">
        <v>5</v>
      </c>
      <c r="E13" s="9" t="n">
        <v>24.5</v>
      </c>
      <c r="F13" s="9" t="n">
        <v>29.31</v>
      </c>
      <c r="G13" s="9" t="n">
        <v>90</v>
      </c>
      <c r="H13" s="10" t="inlineStr">
        <is>
          <t>CBAM / OCEL-RUS!</t>
        </is>
      </c>
      <c r="I13" s="6" t="inlineStr">
        <is>
          <t>Kapitola 73 (ocel). CBAM zboží (Příloha I). Prohlášení odesílatele o nepůvodu z Ruska (kap. 72/73) u této zásilky CHYBÍ – nutno vyžádat od odesílatele před podáním. Bez preferenčního původu → třetizemní clo.</t>
        </is>
      </c>
    </row>
    <row r="14">
      <c r="A14" s="11" t="inlineStr">
        <is>
          <t>8531209590</t>
        </is>
      </c>
      <c r="B14" s="12" t="inlineStr">
        <is>
          <t>Indikační panely s LCD (LCD obrazovka / LCD panel).</t>
        </is>
      </c>
      <c r="C14" s="13" t="inlineStr">
        <is>
          <t>CN</t>
        </is>
      </c>
      <c r="D14" s="14" t="n">
        <v>4</v>
      </c>
      <c r="E14" s="15" t="n">
        <v>5</v>
      </c>
      <c r="F14" s="15" t="n">
        <v>5.98</v>
      </c>
      <c r="G14" s="15" t="n">
        <v>130</v>
      </c>
      <c r="H14" s="16" t="inlineStr">
        <is>
          <t>KÓD OPRAVEN</t>
        </is>
      </c>
      <c r="I14" s="12" t="inlineStr">
        <is>
          <t>HS kód opraven z čínské faktury (8531 20 00 00) na 8531 20 95 90 dle pokynu V-TOP (LCD panely / LCS screens).</t>
        </is>
      </c>
    </row>
    <row r="15">
      <c r="A15" s="11" t="inlineStr">
        <is>
          <t>8531807000</t>
        </is>
      </c>
      <c r="B15" s="12" t="inlineStr">
        <is>
          <t>Elektronické regálové cenovky (ESL / electronic shelf labels).</t>
        </is>
      </c>
      <c r="C15" s="13" t="inlineStr">
        <is>
          <t>CN</t>
        </is>
      </c>
      <c r="D15" s="14" t="n">
        <v>15</v>
      </c>
      <c r="E15" s="15" t="n">
        <v>1</v>
      </c>
      <c r="F15" s="15" t="n">
        <v>1.2</v>
      </c>
      <c r="G15" s="15" t="n">
        <v>45</v>
      </c>
      <c r="H15" s="16" t="inlineStr">
        <is>
          <t>KÓD OPRAVEN</t>
        </is>
      </c>
      <c r="I15" s="12" t="inlineStr">
        <is>
          <t>HS kód opraven z čínské faktury (8531 80 90 00) na 8531 80 70 dle pokynu V-TOP (ESL vyclíváno pod 85318070).</t>
        </is>
      </c>
    </row>
    <row r="16">
      <c r="A16" s="17" t="inlineStr">
        <is>
          <t>8539399090</t>
        </is>
      </c>
      <c r="B16" s="18" t="inlineStr">
        <is>
          <t>LED trubice / zářivky (LED light tubes) – osvětlení.</t>
        </is>
      </c>
      <c r="C16" s="19" t="inlineStr">
        <is>
          <t>CN</t>
        </is>
      </c>
      <c r="D16" s="20" t="n">
        <v>21</v>
      </c>
      <c r="E16" s="21" t="n">
        <v>2</v>
      </c>
      <c r="F16" s="21" t="n">
        <v>2.4</v>
      </c>
      <c r="G16" s="21" t="n">
        <v>21</v>
      </c>
      <c r="H16" s="22" t="inlineStr"/>
      <c r="I16" s="18" t="inlineStr"/>
    </row>
    <row r="17">
      <c r="A17" s="23" t="inlineStr">
        <is>
          <t>CELKEM</t>
        </is>
      </c>
      <c r="B17" s="23" t="n"/>
      <c r="C17" s="23" t="n"/>
      <c r="D17" s="24" t="n">
        <v>53</v>
      </c>
      <c r="E17" s="25" t="n">
        <v>343.5</v>
      </c>
      <c r="F17" s="25" t="n">
        <v>411</v>
      </c>
      <c r="G17" s="25" t="n">
        <v>878</v>
      </c>
      <c r="H17" s="23" t="n"/>
      <c r="I17" s="23" t="n"/>
    </row>
    <row r="19">
      <c r="A19" s="2" t="inlineStr">
        <is>
          <t>Legenda / poznámky:</t>
        </is>
      </c>
    </row>
    <row r="20">
      <c r="A20" s="2" t="inlineStr">
        <is>
          <t>🟠 CBAM / OCEL-RUS!</t>
        </is>
      </c>
      <c r="B20" s="3" t="inlineStr">
        <is>
          <t>Ocel kap. 73 (7308, 7326) = CBAM zboží. Prohlášení o nepůvodu z Ruska u této zásilky CHYBÍ – vyžádat! (U CZ214/CZ215 přiloženo, zde ne.)</t>
        </is>
      </c>
    </row>
    <row r="21">
      <c r="A21" s="2" t="inlineStr">
        <is>
          <t>🟡 KÓD OPRAVEN</t>
        </is>
      </c>
      <c r="B21" s="3" t="inlineStr">
        <is>
          <t>HS kód z čínské faktury opraven dle pokynu V-TOP: ESL → 8531 80 70; LCD panel → 8531 20 95 90.</t>
        </is>
      </c>
    </row>
    <row r="22">
      <c r="A22" s="2" t="inlineStr">
        <is>
          <t>Měna</t>
        </is>
      </c>
      <c r="B22" s="3" t="inlineStr">
        <is>
          <t>Faktura v USD (US$ 878,00), nikoli EUR. Uvedeno 'NO COMMERCIAL VALUE' – vybavení showroomu; hodnoty jsou nominální pro celní účely.</t>
        </is>
      </c>
    </row>
    <row r="23">
      <c r="A23" s="2" t="inlineStr">
        <is>
          <t>CBAM</t>
        </is>
      </c>
      <c r="B23" s="3" t="inlineStr">
        <is>
          <t>Dotčené HS: 7308 90 00 (net 311 kg) a 7326 90 00 (net 24,5 kg) – celkem ~335,5 kg. Hluboko pod limitem – zvážit výjimku de minimis (kód Y137) jako u předchozích JSD; ověřit.</t>
        </is>
      </c>
    </row>
    <row r="24">
      <c r="A24" s="2" t="inlineStr">
        <is>
          <t>Preferenční původ</t>
        </is>
      </c>
      <c r="B24" s="3" t="inlineStr">
        <is>
          <t>V dokladech NENÍ preferenční věta (origin CN, bez FTA) → standardní třetizemní clo (MFN, erga omnes).</t>
        </is>
      </c>
    </row>
    <row r="25">
      <c r="A25" s="2" t="inlineStr">
        <is>
          <t>Antidumping</t>
        </is>
      </c>
      <c r="B25" s="3" t="inlineStr">
        <is>
          <t>Nezjištěna žádná položka podléhající antidumpingovému clu – ověřit v TARIC.</t>
        </is>
      </c>
    </row>
    <row r="26">
      <c r="A26" s="2" t="inlineStr">
        <is>
          <t>Hrubá hmotnost</t>
        </is>
      </c>
      <c r="B26" s="3" t="inlineStr">
        <is>
          <t>PL uvádí hrubou jen souhrnně (411 kg). Rozděleno na HS proporcionálně dle čisté hmotnosti (faktor 411,00/343,50 = 1,19651).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6">
        <f>== ZÁSILKA (3. JSD) ===</f>
        <v/>
      </c>
    </row>
    <row r="2">
      <c r="A2" s="27" t="inlineStr">
        <is>
          <t>Job/spis č. CZ26010820 – třetí ze tří vlakových zásilek. SAMOSTATNÁ JSD a samostatný souhrn.</t>
        </is>
      </c>
    </row>
    <row r="3">
      <c r="A3" s="27" t="inlineStr">
        <is>
          <t>Netradiční zásilka: VYBAVENÍ SHOWROOMU (regál, LED osvětlení, LCD obrazovky, ESL cenovky, držáky, skříň).</t>
        </is>
      </c>
    </row>
    <row r="4">
      <c r="A4" s="27" t="inlineStr">
        <is>
          <t>Klient/dovozce: V-TOP EUROPE s.r.o. (IČ 257 95 040, DIČ CZ25795040). Odesílatel: HANGZHOU ONTIME I.T. CO., LTD., Čína (jediný odesílatel).</t>
        </is>
      </c>
    </row>
    <row r="5">
      <c r="A5" s="27" t="inlineStr">
        <is>
          <t>Faktura MARKETING20260626, 26.6.2026. Waybill WPXA26B0708CZ276, kontejner OVLU2107345 (40HC), 4 balíky.</t>
        </is>
      </c>
    </row>
    <row r="6">
      <c r="A6" s="27" t="inlineStr">
        <is>
          <t>Celkem: 53 ks | čistá 343,50 kg | hrubá 411,00 kg | celní hodnota US$ 878,00.</t>
        </is>
      </c>
    </row>
    <row r="7">
      <c r="A7" s="27" t="inlineStr"/>
    </row>
    <row r="8">
      <c r="A8" s="26">
        <f>== MĚNA / HODNOTA – DŮLEŽITÉ ===</f>
        <v/>
      </c>
    </row>
    <row r="9">
      <c r="A9" s="27" t="inlineStr">
        <is>
          <t>Faktura je v USD (US$ 878,00), na rozdíl od CZ214/CZ215 (EUR). Pro JSD přepočíst celním kurzem USD platným pro období.</t>
        </is>
      </c>
    </row>
    <row r="10">
      <c r="A10" s="27" t="inlineStr">
        <is>
          <t>Na faktuře uvedeno 'NO COMMERCIAL VALUE' – jde o vybavení vlastního showroomu, nikoli zboží na prodej. Uvedené ceny jsou nominální; pro celní hodnotu je nutné doložit/uvést reálnou hodnotu (i showroom vybavení má celní hodnotu).</t>
        </is>
      </c>
    </row>
    <row r="11">
      <c r="A11" s="27" t="inlineStr"/>
    </row>
    <row r="12">
      <c r="A12" s="26">
        <f>== HS KÓDY – OPRAVY DLE POKYNU V-TOP (e-mail J. Suváková, 20.7.2026) ===</f>
        <v/>
      </c>
    </row>
    <row r="13">
      <c r="A13" s="27" t="inlineStr">
        <is>
          <t>HS kódy uvedla Čína na faktuře. Dle pokynu klienta opraveny dva kódy:</t>
        </is>
      </c>
    </row>
    <row r="14">
      <c r="A14" s="27" t="inlineStr">
        <is>
          <t xml:space="preserve">  • ELECTRONIC SHELF LABEL: faktura 8531 80 90 00 → clít pod 8531 80 70 (praxe V-TOP pro ESL cenovky).</t>
        </is>
      </c>
    </row>
    <row r="15">
      <c r="A15" s="27" t="inlineStr">
        <is>
          <t xml:space="preserve">  • LCD SCREEN: faktura 8531 20 00 00 → clít pod 8531 20 95 90 (praxe V-TOP pro LCD panely / LCS screens).</t>
        </is>
      </c>
    </row>
    <row r="16">
      <c r="A16" s="27" t="inlineStr">
        <is>
          <t>Ostatní kódy převzaty z faktury: SHELF a INSTALLATION RAIL 7308 90 00 00; INSTALLATION POLE, TV WALL MOUNT, CABINET 7326 90 00 00; LED LIGHT TUBES 8539 39 90 90.</t>
        </is>
      </c>
    </row>
    <row r="17">
      <c r="A17" s="27" t="inlineStr">
        <is>
          <t>Klientka nabídla doplnění detailů, pokud čínské kódy nebudou stačit.</t>
        </is>
      </c>
    </row>
    <row r="18">
      <c r="A18" s="27" t="inlineStr"/>
    </row>
    <row r="19">
      <c r="A19" s="26">
        <f>== PROHLÁŠENÍ O NEPŮVODU Z RUSKA (ocel, kap. 72/73) – CHYBÍ! ===</f>
        <v/>
      </c>
    </row>
    <row r="20">
      <c r="A20" s="27" t="inlineStr">
        <is>
          <t>POZOR: Zásilka obsahuje ocelové zboží kap. 73 – 7308 90 00 (konstrukce) a 7326 90 00 (ostatní výrobky z oceli).</t>
        </is>
      </c>
    </row>
    <row r="21">
      <c r="A21" s="27" t="inlineStr">
        <is>
          <t>Na rozdíl od CZ214 a CZ215 zde NENÍ přiloženo prohlášení odesílatele o nepůvodu oceli z Ruska (nařízení EU 833/2014).</t>
        </is>
      </c>
    </row>
    <row r="22">
      <c r="A22" s="27" t="inlineStr">
        <is>
          <t>→ Před podáním JSD VYŽÁDAT od Hangzhou Ontime prohlášení pro waybill WPXA26B0708CZ276, jinak hrozí problém při proclení oceli.</t>
        </is>
      </c>
    </row>
    <row r="23">
      <c r="A23" s="27" t="inlineStr"/>
    </row>
    <row r="24">
      <c r="A24" s="26">
        <f>== CBAM ===</f>
        <v/>
      </c>
    </row>
    <row r="25">
      <c r="A25" s="27" t="inlineStr">
        <is>
          <t>Na rozdíl od CZ214/CZ215 tato zásilka OBSAHUJE CBAM zboží: 7308 90 00 a 7326 90 00 jsou v Příloze I nařízení CBAM (2023/956).</t>
        </is>
      </c>
    </row>
    <row r="26">
      <c r="A26" s="27" t="inlineStr">
        <is>
          <t>Čistá hmotnost CBAM zboží: 7308 = 311 kg, 7326 = 24,5 kg → celkem ~335,5 kg. Hluboko pod ročním limitem.</t>
        </is>
      </c>
    </row>
    <row r="27">
      <c r="A27" s="27" t="inlineStr">
        <is>
          <t>→ Zvážit uplatnění výjimky de minimis (kód Y137) jako u dřívějších JSD klienta; ověřit aktuální pravidla a rozhodnout při podání.</t>
        </is>
      </c>
    </row>
    <row r="28">
      <c r="A28" s="27" t="inlineStr"/>
    </row>
    <row r="29">
      <c r="A29" s="26">
        <f>== PŮVOD ZBOŽÍ (COO) ===</f>
        <v/>
      </c>
    </row>
    <row r="30">
      <c r="A30" s="27" t="inlineStr">
        <is>
          <t>V dokladech NENÍ preferenční věta. Původ Čína; EU–Čína bez preferenční dohody → standardní třetizemní clo (MFN / erga omnes).</t>
        </is>
      </c>
    </row>
    <row r="31">
      <c r="A31" s="27" t="inlineStr"/>
    </row>
    <row r="32">
      <c r="A32" s="26">
        <f>== INCOTERM ===</f>
        <v/>
      </c>
    </row>
    <row r="33">
      <c r="A33" s="27" t="inlineStr">
        <is>
          <t>CFR Praha (faktura, TERMS: 'CFR PRAGUE'). Přepravní doklad: FREIGHT PREPAID, CFS-CFS.</t>
        </is>
      </c>
    </row>
    <row r="34">
      <c r="A34" s="27" t="inlineStr"/>
    </row>
    <row r="35">
      <c r="A35" s="26">
        <f>== ANTIDUMPING ===</f>
        <v/>
      </c>
    </row>
    <row r="36">
      <c r="A36" s="27" t="inlineStr">
        <is>
          <t>U žádného z HS kódů (7308 90, 7326 90, 8531 20, 8531 80, 8539 39) nezjištěno antidumpingové clo. Ověřit v TARIC při podání.</t>
        </is>
      </c>
    </row>
    <row r="37">
      <c r="A37" s="27" t="inlineStr"/>
    </row>
    <row r="38">
      <c r="A38" s="26">
        <f>== HMOTNOSTI ===</f>
        <v/>
      </c>
    </row>
    <row r="39">
      <c r="A39" s="27" t="inlineStr">
        <is>
          <t>Packing list uvádí hrubou hmotnost jen souhrnně (411,00 kg / 4 balíky). Čistá po položkách (součet 343,50 kg).</t>
        </is>
      </c>
    </row>
    <row r="40">
      <c r="A40" s="27" t="inlineStr">
        <is>
          <t>Hrubá na úrovni HS kódu: proporcionální rozpočet dle čisté hmotnosti, faktor 1,19651.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2026-07-21T12:08:18Z</dcterms:created>
  <dcterms:modified xsi:type="dcterms:W3CDTF">2026-07-21T12:08:18Z</dcterms:modified>
</cp:coreProperties>
</file>