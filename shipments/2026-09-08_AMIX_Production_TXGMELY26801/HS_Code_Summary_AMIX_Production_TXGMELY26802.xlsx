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0" pivotButton="0" quotePrefix="0" xfId="0"/>
    <xf numFmtId="3" fontId="3" fillId="4" borderId="0" pivotButton="0" quotePrefix="0" xfId="0"/>
    <xf numFmtId="4" fontId="3" fillId="4" borderId="0" pivotButton="0" quotePrefix="0" xfId="0"/>
    <xf numFmtId="0" fontId="3" fillId="5" borderId="0" pivotButton="0" quotePrefix="0" xfId="0"/>
    <xf numFmtId="0" fontId="3" fillId="3" borderId="0" pivotButton="0" quotePrefix="0" xfId="0"/>
    <xf numFmtId="0" fontId="3" fillId="6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0" customWidth="1" min="4" max="4"/>
    <col width="13" customWidth="1" min="5" max="5"/>
    <col width="15" customWidth="1" min="6" max="6"/>
    <col width="15" customWidth="1" min="7" max="7"/>
    <col width="14" customWidth="1" min="8" max="8"/>
    <col width="30" customWidth="1" min="9" max="9"/>
    <col width="30" customWidth="1" min="10" max="10"/>
    <col width="14" customWidth="1" min="11" max="11"/>
    <col width="70" customWidth="1" min="12" max="12"/>
  </cols>
  <sheetData>
    <row r="1">
      <c r="A1" s="1" t="inlineStr">
        <is>
          <t>JSD 2 – HBL TXGMELY26802  |  MRSU6332354 / 40'HQ  |  faktura VP26073102 ze dne 31.07.2026</t>
        </is>
      </c>
    </row>
    <row r="3" ht="34" customHeight="1">
      <c r="A3" s="2" t="inlineStr">
        <is>
          <t>HS kód</t>
        </is>
      </c>
      <c r="B3" s="2" t="inlineStr">
        <is>
          <t>Popis zboží</t>
        </is>
      </c>
      <c r="C3" s="2" t="inlineStr">
        <is>
          <t>Popis (CZ)</t>
        </is>
      </c>
      <c r="D3" s="2" t="inlineStr">
        <is>
          <t>Země původu (COO)</t>
        </is>
      </c>
      <c r="E3" s="2" t="inlineStr">
        <is>
          <t>Množství (ks)</t>
        </is>
      </c>
      <c r="F3" s="2" t="inlineStr">
        <is>
          <t>Čistá hmotnost (kg)</t>
        </is>
      </c>
      <c r="G3" s="2" t="inlineStr">
        <is>
          <t>Hrubá hmotnost (kg)</t>
        </is>
      </c>
      <c r="H3" s="2" t="inlineStr">
        <is>
          <t>Hodnota (USD)</t>
        </is>
      </c>
      <c r="I3" s="2" t="inlineStr">
        <is>
          <t>Incoterm</t>
        </is>
      </c>
      <c r="J3" s="2" t="inlineStr">
        <is>
          <t>Odesílatel</t>
        </is>
      </c>
      <c r="K3" s="2" t="inlineStr">
        <is>
          <t>Příznak</t>
        </is>
      </c>
      <c r="L3" s="2" t="inlineStr">
        <is>
          <t>TARIC / poznámka / CBAM / Antidumping</t>
        </is>
      </c>
    </row>
    <row r="4" ht="60" customHeight="1">
      <c r="A4" s="3" t="inlineStr">
        <is>
          <t>3923.30</t>
        </is>
      </c>
      <c r="B4" s="3" t="inlineStr">
        <is>
          <t>PET PREFORM ψ110mm 155g/RED</t>
        </is>
      </c>
      <c r="C4" s="3" t="inlineStr">
        <is>
          <t>Předlisky (preformy) z PET, průměr 110 mm, 155 g, červené</t>
        </is>
      </c>
      <c r="D4" s="3" t="inlineStr">
        <is>
          <t>TW</t>
        </is>
      </c>
      <c r="E4" s="4" t="n">
        <v>96000</v>
      </c>
      <c r="F4" s="5" t="n">
        <v>14880</v>
      </c>
      <c r="G4" s="5" t="n">
        <v>15840</v>
      </c>
      <c r="H4" s="5" t="n">
        <v>47539.2</v>
      </c>
      <c r="I4" s="3" t="inlineStr">
        <is>
          <t>FOB Taiwan (přístav nalodění: Taichung)</t>
        </is>
      </c>
      <c r="J4" s="3" t="inlineStr">
        <is>
          <t>VPET Plastic Industrial Co., Ltd.</t>
        </is>
      </c>
      <c r="K4" s="6" t="inlineStr">
        <is>
          <t>OVĚŘIT CN</t>
        </is>
      </c>
      <c r="L4" s="3" t="inlineStr">
        <is>
          <t>Na HBL uveden pouze 6místný kód 3923.30. Pro JSD doplňte 8místný CN kód: 3923 30 10 (obsah ≤ 2 l) nebo 3923 30 90 (&gt; 2 l) podle objemu výsledné lahve – v dokladech neuveden. Smluvní clo erga omnes je u obou podpoložek 6,5 %.</t>
        </is>
      </c>
    </row>
    <row r="5">
      <c r="A5" s="7" t="inlineStr">
        <is>
          <t>CELKEM</t>
        </is>
      </c>
      <c r="B5" s="7" t="n"/>
      <c r="C5" s="7" t="n"/>
      <c r="D5" s="7" t="n"/>
      <c r="E5" s="8" t="n">
        <v>96000</v>
      </c>
      <c r="F5" s="9" t="n">
        <v>14880</v>
      </c>
      <c r="G5" s="9" t="n">
        <v>15840</v>
      </c>
      <c r="H5" s="9" t="n">
        <v>47539.2</v>
      </c>
      <c r="I5" s="7" t="n"/>
      <c r="J5" s="7" t="n"/>
      <c r="K5" s="7" t="n"/>
      <c r="L5" s="7" t="n"/>
    </row>
    <row r="8">
      <c r="A8" s="10" t="inlineStr">
        <is>
          <t>⚠️ POZOR</t>
        </is>
      </c>
      <c r="B8" t="inlineStr">
        <is>
          <t>Rozdělení na 2 JSD NENÍ podle odesílatele – odesílatel je u obou stejný (VPET Plastic Industrial Co., Ltd.). Dělí se podle HBL / kontejneru / faktury.</t>
        </is>
      </c>
    </row>
    <row r="9">
      <c r="A9" s="10" t="inlineStr">
        <is>
          <t>⚠️ PREF. VĚTA</t>
        </is>
      </c>
      <c r="B9" t="inlineStr">
        <is>
          <t>Preferenční věta v dokladech NENÍ. Původ Taiwan, EU s Tchaj-wanem nemá FTA → plné třetizemní clo 6,5 %.</t>
        </is>
      </c>
    </row>
    <row r="10">
      <c r="A10" s="11" t="inlineStr">
        <is>
          <t>⚠️ CELNÍ HODNOTA</t>
        </is>
      </c>
      <c r="B10" t="inlineStr">
        <is>
          <t>Hodnota je FOB. Pro celní hodnotu připočíst přepravné + pojištění do hranice EU (freight collect, částka v dokladech není).</t>
        </is>
      </c>
    </row>
    <row r="11">
      <c r="A11" s="11" t="inlineStr">
        <is>
          <t>🟡 CN KÓD</t>
        </is>
      </c>
      <c r="B11" t="inlineStr">
        <is>
          <t>Doplnit 8místný CN kód: 3923 30 10 (≤ 2 l) nebo 3923 30 90 (&gt; 2 l). Clo u obou 6,5 %.</t>
        </is>
      </c>
    </row>
    <row r="12">
      <c r="A12" s="12" t="inlineStr">
        <is>
          <t>CBAM</t>
        </is>
      </c>
      <c r="B12" t="inlineStr">
        <is>
          <t>Neuplatní se – 3923.30 (plasty) není CBAM zboží. AMIX Production s.r.o. není v CBAM registru, pro tuto zásilku bez dopadu.</t>
        </is>
      </c>
    </row>
    <row r="13">
      <c r="A13" s="12" t="inlineStr">
        <is>
          <t>ANTIDUMPING</t>
        </is>
      </c>
      <c r="B13" t="inlineStr">
        <is>
          <t>Pro 3923 30 / původ TW nebyla identifikována antidumpingová opatření. Ověřit v TARIC k datu propuštění.</t>
        </is>
      </c>
    </row>
    <row r="14">
      <c r="A14" s="13" t="inlineStr">
        <is>
          <t>SLEVA</t>
        </is>
      </c>
      <c r="B14" t="inlineStr">
        <is>
          <t>Žádná obchodní sleva na fakturách – poměrné rozpouštění se neuplatňuje.</t>
        </is>
      </c>
    </row>
    <row r="15">
      <c r="A15" s="13" t="inlineStr">
        <is>
          <t>POPIS</t>
        </is>
      </c>
      <c r="B15" t="inlineStr">
        <is>
          <t>Český popis v dokladech není (vše anglicky); sloupec 'Popis (CZ)' je pracovní překlad.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3">
        <f>== IDENTIFIKACE ZÁSILKY ===</f>
        <v/>
      </c>
    </row>
    <row r="2">
      <c r="A2" t="inlineStr">
        <is>
          <t>Odesílatel (shipper): VPET PLASTIC INDUSTRIAL CO., LTD., No. 22, Nanhuan Rd., Caonan Vil., Wuqi Dist., Taichung City 43541, Taiwan (R.O.C.)</t>
        </is>
      </c>
    </row>
    <row r="3">
      <c r="A3" t="inlineStr">
        <is>
          <t>Příjemce (consignee) / CZ dovozce: AMIX PRODUCTION S.R.O., Vesecko 495, 511 01 Turnov, Česká republika, VAT CZ 26007851</t>
        </is>
      </c>
    </row>
    <row r="4">
      <c r="A4" t="inlineStr">
        <is>
          <t>Notify: SAME AS CONSIGNEE. Zástupce v ČR na HBL: Maurice Ward &amp; Co. s.r.o., CTPark Prague Airport, Na Staré silnici 185, 252 68 Kněževes, VAT CZ62908227</t>
        </is>
      </c>
    </row>
    <row r="5">
      <c r="A5" t="inlineStr">
        <is>
          <t>Faktura: VP26073102 ze dne 31.07.2026</t>
        </is>
      </c>
    </row>
    <row r="6">
      <c r="A6" t="inlineStr">
        <is>
          <t>HBL: TXGMELY26802 (S/O G067)  |  Kontejner: MRSU6332354 / 40'HQ</t>
        </is>
      </c>
    </row>
    <row r="7">
      <c r="A7" t="inlineStr">
        <is>
          <t>LOT: 20260731-Q2604021808  |  20 PLT / 480 CTNS (à 200 PCE, à 31,00 kg NW / 33,00 kg GW)  |  65,000 CBM</t>
        </is>
      </c>
    </row>
    <row r="8">
      <c r="A8" t="inlineStr">
        <is>
          <t>Plavidlo: IRENES REWARD V-632S. Nalodění (shipped on board): 06.08.2026, Taichung, Taiwan.</t>
        </is>
      </c>
    </row>
    <row r="9">
      <c r="A9" t="inlineStr">
        <is>
          <t>Trasa: Taichung, Taiwan → Bremerhaven, Německo (přístav vylodění) → Mělník, ČR (místo dodání). CY-CY. Přepravné: FREIGHT COLLECT. B/L SURRENDERED.</t>
        </is>
      </c>
    </row>
    <row r="10">
      <c r="A10" t="inlineStr"/>
    </row>
    <row r="11">
      <c r="A11" s="13">
        <f>== ⚠️ ROZDĚLENÍ NA 2 JSD – POZOR, NENÍ PODLE ODESÍLATELE ===</f>
        <v/>
      </c>
    </row>
    <row r="12">
      <c r="A12" t="inlineStr">
        <is>
          <t>V celé zásilce je pouze JEDEN odesílatel: VPET Plastic Industrial Co., Ltd. Obě faktury i oba HBL mají stejného odesílatele i stejného příjemce.</t>
        </is>
      </c>
    </row>
    <row r="13">
      <c r="A13" t="inlineStr">
        <is>
          <t>Rozdělení na dvě JSD tedy NENÍ per odesílatel, ale per HBL / kontejner / faktura:</t>
        </is>
      </c>
    </row>
    <row r="14">
      <c r="A14" t="inlineStr">
        <is>
          <t xml:space="preserve">   JSD 1 = HBL TXGMELY26801, kont. MRKU4712326, faktura VP26073101, LOT ...1819, PET preform ø120 mm 280 g ČERNÉ</t>
        </is>
      </c>
    </row>
    <row r="15">
      <c r="A15" t="inlineStr">
        <is>
          <t xml:space="preserve">   JSD 2 = HBL TXGMELY26802, kont. MRSU6332354, faktura VP26073102, LOT ...1808, PET preform ø110 mm 155 g ČERVENÉ</t>
        </is>
      </c>
    </row>
    <row r="16">
      <c r="A16" t="inlineStr">
        <is>
          <t>Obě položky mají navíc stejný HS kód (3923.30), takže sloučení do jedné JSD by nešlo rozlišit ani podle HS kódu – rozlišovacím znakem je doklad/kontejner.</t>
        </is>
      </c>
    </row>
    <row r="17">
      <c r="A17" t="inlineStr"/>
    </row>
    <row r="18">
      <c r="A18" s="13">
        <f>== ⚠️ PREFERENČNÍ PŮVOD (COO) – PREFERENČNÍ VĚTA NENÍ ===</f>
        <v/>
      </c>
    </row>
    <row r="19">
      <c r="A19" t="inlineStr">
        <is>
          <t>V žádném z dokladů (obchodní faktura, packing list, HBL) NENÍ uvedena preferenční věta / prohlášení o preferenčním původu.</t>
        </is>
      </c>
    </row>
    <row r="20">
      <c r="A20" t="inlineStr">
        <is>
          <t>Původ zboží: TAIWAN (na fakturách i HBL uvedeno 'MADE IN TAIWAN').</t>
        </is>
      </c>
    </row>
    <row r="21">
      <c r="A21" t="inlineStr">
        <is>
          <t>EU nemá s Tchaj-wanem uzavřenu dohodu o volném obchodu – preferenční sazební zacházení tedy NELZE uplatnit ani kdyby prohlášení bylo dodáno.</t>
        </is>
      </c>
    </row>
    <row r="22">
      <c r="A22" s="14" t="inlineStr">
        <is>
          <t>→ Uplatní se plné třetizemní (erga omnes) clo: u položky 3923 30 sazba 6,5 %.</t>
        </is>
      </c>
    </row>
    <row r="23">
      <c r="A23" t="inlineStr"/>
    </row>
    <row r="24">
      <c r="A24" s="13">
        <f>== INCOTERM ===</f>
        <v/>
      </c>
    </row>
    <row r="25">
      <c r="A25" t="inlineStr">
        <is>
          <t>Na obou fakturách je uvedeno pouze 'FOB TAIWAN' – dodací doložka bez konkrétního města.</t>
        </is>
      </c>
    </row>
    <row r="26">
      <c r="A26" s="14" t="inlineStr">
        <is>
          <t>⚠️ Město / jmenované místo není na faktuře uvedeno. Přístav nalodění dle HBL je TAICHUNG, TAIWAN, takže věcně jde o 'FOB Taichung'.</t>
        </is>
      </c>
    </row>
    <row r="27">
      <c r="A27" s="14" t="inlineStr">
        <is>
          <t>→ Doporučuji nechat si od odesílatele nebo od AMIXu písemně potvrdit znění 'FOB Taichung' před podáním JSD.</t>
        </is>
      </c>
    </row>
    <row r="28">
      <c r="A28" t="inlineStr"/>
    </row>
    <row r="29">
      <c r="A29" s="13">
        <f>== ⚠️ CELNÍ HODNOTA – FOB NENÍ CELNÍ HODNOTA ===</f>
        <v/>
      </c>
    </row>
    <row r="30">
      <c r="A30" t="inlineStr">
        <is>
          <t>Fakturovaná hodnota USD 47 539.20 je na bázi FOB Taiwan.</t>
        </is>
      </c>
    </row>
    <row r="31">
      <c r="A31" t="inlineStr">
        <is>
          <t>Pro stanovení celní hodnoty (CIF na hranici EU) je nutné připočíst námořní přepravné a pojištění do Bremerhavenu, případně další náklady dle čl. 71 UCC.</t>
        </is>
      </c>
    </row>
    <row r="32">
      <c r="A32" t="inlineStr">
        <is>
          <t>Přepravné je FREIGHT COLLECT a jeho výše NENÍ v předaných dokladech uvedena. → Vyžádat fakturu za přepravu / sazbu od Maurice Ward.</t>
        </is>
      </c>
    </row>
    <row r="33">
      <c r="A33" t="inlineStr">
        <is>
          <t>Kurz USD→CZK/EUR: použít celní kurz platný pro měsíc podání JSD.</t>
        </is>
      </c>
    </row>
    <row r="34">
      <c r="A34" t="inlineStr"/>
    </row>
    <row r="35">
      <c r="A35" s="13">
        <f>== CBAM ===</f>
        <v/>
      </c>
    </row>
    <row r="36">
      <c r="A36" t="inlineStr">
        <is>
          <t>HS 3923.30 (výrobky z plastů) NENÍ zboží spadající do působnosti CBAM (CBAM pokrývá železo a ocel, hliník, cement, hnojiva, elektřinu a vodík).</t>
        </is>
      </c>
    </row>
    <row r="37">
      <c r="A37" s="14" t="inlineStr">
        <is>
          <t>→ Pro tuto zásilku se CBAM neuplatní a kód Y128/Y238/Y137 se v JSD neuvádí.</t>
        </is>
      </c>
    </row>
    <row r="38">
      <c r="A38" t="inlineStr">
        <is>
          <t>Poznámka pro registr: příjemce AMIX PRODUCTION S.R.O. (VAT CZ 26007851) NENÍ uveden v reference/CBAM_receivers_CZ.xlsx. Pro tuto zásilku to nevadí, ale pokud bude AMIX někdy dovážet CBAM zboží, je třeba jeho status zjistit a do registru doplnit.</t>
        </is>
      </c>
    </row>
    <row r="39">
      <c r="A39" t="inlineStr"/>
    </row>
    <row r="40">
      <c r="A40" s="13">
        <f>== ANTIDUMPING ===</f>
        <v/>
      </c>
    </row>
    <row r="41">
      <c r="A41" t="inlineStr">
        <is>
          <t>Pro položku 3923 30 (předlisky/preformy z PET) s původem Tchaj-wan nebyla identifikována žádná platná antidumpingová opatření.</t>
        </is>
      </c>
    </row>
    <row r="42">
      <c r="A42" s="14" t="inlineStr">
        <is>
          <t>⚠️ Nezaměňovat s antidumpingovými opatřeními na PET GRANULÁT (PET resin, položky 3907 61 / 3907 69) – ta na tuto zásilku nedopadají, protože se dováží hotové preformy, nikoli granulát.</t>
        </is>
      </c>
    </row>
    <row r="43">
      <c r="A43" s="14" t="inlineStr">
        <is>
          <t>→ Před podáním JSD ověřit aktuální stav v TARIC k datu propuštění.</t>
        </is>
      </c>
    </row>
    <row r="44">
      <c r="A44" t="inlineStr"/>
    </row>
    <row r="45">
      <c r="A45" s="13">
        <f>== JAZYK POPISU ZBOŽÍ ===</f>
        <v/>
      </c>
    </row>
    <row r="46">
      <c r="A46" t="inlineStr">
        <is>
          <t>V předaných dokladech NENÍ k dispozici český popis zboží – všechny doklady jsou v angličtině.</t>
        </is>
      </c>
    </row>
    <row r="47">
      <c r="A47" t="inlineStr">
        <is>
          <t>Sloupec 'Popis zboží' proto obsahuje originální anglický text z faktury; sloupec 'Popis (CZ)' je pracovní překlad pro potřeby JSD.</t>
        </is>
      </c>
    </row>
    <row r="48">
      <c r="A48" t="inlineStr"/>
    </row>
    <row r="49">
      <c r="A49" s="13">
        <f>== OBCHODNÍ SLEVA ===</f>
        <v/>
      </c>
    </row>
    <row r="50">
      <c r="A50" t="inlineStr">
        <is>
          <t>Na fakturách není uvedena žádná obchodní sleva – poměrné rozpouštění slevy se neuplatňuje. Fakturovaná hodnota = jednotková cena × množství (ověřeno).</t>
        </is>
      </c>
    </row>
    <row r="51">
      <c r="A51" t="inlineStr"/>
    </row>
    <row r="52">
      <c r="A52" s="13">
        <f>== KONTROLA HMOTNOSTÍ ===</f>
        <v/>
      </c>
    </row>
    <row r="53">
      <c r="A53" t="inlineStr">
        <is>
          <t>Hrubá hmotnost na packing listu souhlasí s hmotností uvedenou na HBL (15 840.00 kg) – bez rozdílu.</t>
        </is>
      </c>
    </row>
    <row r="54">
      <c r="A54" t="inlineStr">
        <is>
          <t>Čistá hmotnost dle packing listu: 14 880.00 kg. Hmotnost obalů (rozdíl GW-NW): 960.00 kg.</t>
        </is>
      </c>
    </row>
    <row r="55">
      <c r="A55" t="inlineStr">
        <is>
          <t>Protože je v každé JSD jen jedna položka / jeden HS kód, hmotnosti se nerozpočítávají poměrem – přebírají se přímo z packing listu.</t>
        </is>
      </c>
    </row>
    <row r="56">
      <c r="A56" t="inlineStr"/>
    </row>
    <row r="57">
      <c r="A57" s="13">
        <f>== CO JEŠTĚ CHYBÍ / K DOŘEŠENÍ ===</f>
        <v/>
      </c>
    </row>
    <row r="58">
      <c r="A58" t="inlineStr">
        <is>
          <t>1) 8místný CN kód (3923 30 10 vs. 3923 30 90) – podle objemu výsledné lahve. Clo je u obou 6,5 %, ale kód musí být správný.</t>
        </is>
      </c>
    </row>
    <row r="59">
      <c r="A59" t="inlineStr">
        <is>
          <t>2) Náklady na přepravu a pojištění pro dopočet celní hodnoty (FOB → CIF).</t>
        </is>
      </c>
    </row>
    <row r="60">
      <c r="A60" t="inlineStr">
        <is>
          <t>3) Písemné potvrzení jmenovaného místa u doložky FOB (Taichung).</t>
        </is>
      </c>
    </row>
    <row r="61">
      <c r="A61" t="inlineStr">
        <is>
          <t>4) Plná moc k zastupování AMIX PRODUCTION S.R.O. – v předaných dokladech není.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2026-09-08T13:01:59Z</dcterms:created>
  <dcterms:modified xsi:type="dcterms:W3CDTF">2026-09-08T13:01:59Z</dcterms:modified>
</cp:coreProperties>
</file>