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etail položek" sheetId="2" state="visible" r:id="rId2"/>
    <sheet name="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pivotButton="0" quotePrefix="0" xfId="0"/>
    <xf numFmtId="4" fontId="2" fillId="3" borderId="1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46" customWidth="1" min="3" max="3"/>
    <col width="10" customWidth="1" min="4" max="4"/>
    <col width="12" customWidth="1" min="5" max="5"/>
    <col width="15" customWidth="1" min="6" max="6"/>
    <col width="16" customWidth="1" min="7" max="7"/>
    <col width="14" customWidth="1" min="8" max="8"/>
    <col width="15" customWidth="1" min="9" max="9"/>
    <col width="60" customWidth="1" min="10" max="10"/>
  </cols>
  <sheetData>
    <row r="1">
      <c r="A1" s="1" t="inlineStr">
        <is>
          <t>SOUHRN HS KÓDŮ — Rebate Retail OÜ, faktura EEC-12</t>
        </is>
      </c>
    </row>
    <row r="3">
      <c r="A3" s="2" t="inlineStr">
        <is>
          <t>Vývozce / odesílatel:</t>
        </is>
      </c>
      <c r="B3" t="inlineStr">
        <is>
          <t>REBATE RETAIL OÜ, Roseni 13, 10111 Tallinn, Estonsko — EORI EE14725190, VAT EE102160071</t>
        </is>
      </c>
    </row>
    <row r="4">
      <c r="A4" s="2" t="inlineStr">
        <is>
          <t>Příjemce / kupující:</t>
        </is>
      </c>
      <c r="B4" t="inlineStr">
        <is>
          <t>Foret Group Limited, 7/F, MW Tower, 111 Bonham Strand, Sheung Wan, Hong Kong — Reg. č. 76645200</t>
        </is>
      </c>
    </row>
    <row r="5">
      <c r="A5" s="2" t="inlineStr">
        <is>
          <t>Faktura:</t>
        </is>
      </c>
      <c r="B5" t="inlineStr">
        <is>
          <t>EEC-12 ze dne 21.08.2026</t>
        </is>
      </c>
    </row>
    <row r="6">
      <c r="A6" s="2" t="inlineStr">
        <is>
          <t>Dodací podmínka (Incoterm):</t>
        </is>
      </c>
      <c r="B6" t="inlineStr">
        <is>
          <t>EXW BIAŁYSTOK (Bialystok, Polsko)</t>
        </is>
      </c>
    </row>
    <row r="7">
      <c r="A7" s="2" t="inlineStr">
        <is>
          <t>Platební podmínka:</t>
        </is>
      </c>
      <c r="B7" t="inlineStr">
        <is>
          <t>100 %, 30 kalendářních dnů od data odeslání zboží</t>
        </is>
      </c>
    </row>
    <row r="8">
      <c r="A8" s="2" t="inlineStr">
        <is>
          <t>Měna:</t>
        </is>
      </c>
      <c r="B8" t="inlineStr">
        <is>
          <t>EUR</t>
        </is>
      </c>
    </row>
    <row r="9">
      <c r="A9" s="2" t="inlineStr">
        <is>
          <t>Celková fakturovaná hodnota:</t>
        </is>
      </c>
      <c r="B9" t="inlineStr">
        <is>
          <t>35 600,96 EUR</t>
        </is>
      </c>
    </row>
    <row r="10">
      <c r="A10" s="2" t="inlineStr">
        <is>
          <t>Typ operace:</t>
        </is>
      </c>
      <c r="B10" t="inlineStr">
        <is>
          <t>VÝVOZ (export) — dovozní agenda (CBAM, preferenční věta / COO) se neuplatní, dle zadání vynecháno</t>
        </is>
      </c>
    </row>
    <row r="11">
      <c r="A11" s="2" t="inlineStr">
        <is>
          <t>Obchodní sleva:</t>
        </is>
      </c>
      <c r="B11" t="inlineStr">
        <is>
          <t>Neuplatněna — na faktuře ani ve specifikaci není uvedena žádná sleva</t>
        </is>
      </c>
    </row>
    <row r="13" ht="32" customHeight="1">
      <c r="A13" s="3" t="inlineStr">
        <is>
          <t>HS kód</t>
        </is>
      </c>
      <c r="B13" s="3" t="inlineStr">
        <is>
          <t>Popis zboží (EN – dle faktury)</t>
        </is>
      </c>
      <c r="C13" s="3" t="inlineStr">
        <is>
          <t>Popis zboží (CZ – návrh)</t>
        </is>
      </c>
      <c r="D13" s="3" t="inlineStr">
        <is>
          <t>Počet položek</t>
        </is>
      </c>
      <c r="E13" s="3" t="inlineStr">
        <is>
          <t>Množství (ks)</t>
        </is>
      </c>
      <c r="F13" s="3" t="inlineStr">
        <is>
          <t>Čistá hmotnost (kg)</t>
        </is>
      </c>
      <c r="G13" s="3" t="inlineStr">
        <is>
          <t>Hrubá hmotnost (kg)</t>
        </is>
      </c>
      <c r="H13" s="3" t="inlineStr">
        <is>
          <t>Hodnota (EUR)</t>
        </is>
      </c>
      <c r="I13" s="3" t="inlineStr">
        <is>
          <t>Incoterm</t>
        </is>
      </c>
      <c r="J13" s="3" t="inlineStr">
        <is>
          <t>Poznámka</t>
        </is>
      </c>
    </row>
    <row r="14">
      <c r="A14" s="4" t="inlineStr">
        <is>
          <t>85389099</t>
        </is>
      </c>
      <c r="B14" s="4" t="inlineStr">
        <is>
          <t>Parts for electrical switching apparatus (push-button/switch heads, auxiliary contacts, contactors, relays, safety switches, connectors, control modules)</t>
        </is>
      </c>
      <c r="C14" s="4" t="inlineStr">
        <is>
          <t>Části a součásti elektrických přístrojů k zapínání/vypínání – ovládací hlavice, kontakty, stykače, relé, bezpečnostní spínače, konektory, řídicí moduly</t>
        </is>
      </c>
      <c r="D14" s="4" t="n">
        <v>28</v>
      </c>
      <c r="E14" s="4" t="n">
        <v>294</v>
      </c>
      <c r="F14" s="5" t="n">
        <v>33.48</v>
      </c>
      <c r="G14" s="5" t="n">
        <v>62.2</v>
      </c>
      <c r="H14" s="6" t="n">
        <v>25312.25</v>
      </c>
      <c r="I14" s="4" t="inlineStr">
        <is>
          <t>EXW Białystok</t>
        </is>
      </c>
      <c r="J14" s="4" t="inlineStr">
        <is>
          <t>Sběrná položka. Obsahuje i zboží, které patrně patří jinam: CJ2H-CPU66-EIP (PLC), FHV7X FH Smart Camera, 6GK5224 SCALANCE switch, CE924/CE920 KVM extender, S8BA-B120L UPS. Ověřit před podáním.</t>
        </is>
      </c>
    </row>
    <row r="15">
      <c r="A15" s="4" t="inlineStr">
        <is>
          <t>90329000</t>
        </is>
      </c>
      <c r="B15" s="4" t="inlineStr">
        <is>
          <t>Parts of automatic regulating or controlling instruments (inductive and photoelectric sensors, temperature controllers, temperature sensors)</t>
        </is>
      </c>
      <c r="C15" s="4" t="inlineStr">
        <is>
          <t>Části a součásti automatických regulačních a kontrolních přístrojů – indukční a optická čidla, regulátory teploty, teplotní snímače</t>
        </is>
      </c>
      <c r="D15" s="4" t="n">
        <v>19</v>
      </c>
      <c r="E15" s="4" t="n">
        <v>186</v>
      </c>
      <c r="F15" s="5" t="n">
        <v>16.57</v>
      </c>
      <c r="G15" s="5" t="n">
        <v>24</v>
      </c>
      <c r="H15" s="6" t="n">
        <v>9229.780000000001</v>
      </c>
      <c r="I15" s="4" t="inlineStr">
        <is>
          <t>EXW Białystok</t>
        </is>
      </c>
      <c r="J15" s="4" t="inlineStr"/>
    </row>
    <row r="16">
      <c r="A16" s="4" t="inlineStr">
        <is>
          <t>85014020</t>
        </is>
      </c>
      <c r="B16" s="4" t="inlineStr">
        <is>
          <t>Frequency inverters (AC drives) – as declared in the supplier specification</t>
        </is>
      </c>
      <c r="C16" s="4" t="inlineStr">
        <is>
          <t>Frekvenční měniče – dle specifikace dodavatele</t>
        </is>
      </c>
      <c r="D16" s="4" t="n">
        <v>2</v>
      </c>
      <c r="E16" s="4" t="n">
        <v>5</v>
      </c>
      <c r="F16" s="5" t="n">
        <v>7.6</v>
      </c>
      <c r="G16" s="5" t="n">
        <v>10.1</v>
      </c>
      <c r="H16" s="6" t="n">
        <v>844.25</v>
      </c>
      <c r="I16" s="4" t="inlineStr">
        <is>
          <t>EXW Białystok</t>
        </is>
      </c>
      <c r="J16" s="4" t="inlineStr">
        <is>
          <t>Kód dle specifikace dodavatele. POZOR: 8501 40 20 = střídavé motory jednofázové; frekvenční měnič je statický měnič (8504 40). Před podáním ověřit.</t>
        </is>
      </c>
    </row>
    <row r="17">
      <c r="A17" s="4" t="inlineStr">
        <is>
          <t>85444290</t>
        </is>
      </c>
      <c r="B17" s="4" t="inlineStr">
        <is>
          <t>Electric conductors fitted with connectors, for a voltage not exceeding 1 000 V (cable with connectors)</t>
        </is>
      </c>
      <c r="C17" s="4" t="inlineStr">
        <is>
          <t>Elektrické vodiče opatřené konektory, pro napětí nepřesahující 1 000 V (kabel s konektory)</t>
        </is>
      </c>
      <c r="D17" s="4" t="n">
        <v>1</v>
      </c>
      <c r="E17" s="4" t="n">
        <v>3</v>
      </c>
      <c r="F17" s="5" t="n">
        <v>1.2</v>
      </c>
      <c r="G17" s="5" t="n">
        <v>1.7</v>
      </c>
      <c r="H17" s="6" t="n">
        <v>214.68</v>
      </c>
      <c r="I17" s="4" t="inlineStr">
        <is>
          <t>EXW Białystok</t>
        </is>
      </c>
      <c r="J17" s="4" t="inlineStr"/>
    </row>
    <row r="18">
      <c r="A18" s="7" t="inlineStr">
        <is>
          <t>CELKEM</t>
        </is>
      </c>
      <c r="B18" s="7" t="inlineStr"/>
      <c r="C18" s="7" t="inlineStr"/>
      <c r="D18" s="7" t="n">
        <v>50</v>
      </c>
      <c r="E18" s="7" t="n">
        <v>488</v>
      </c>
      <c r="F18" s="8" t="n">
        <v>58.85</v>
      </c>
      <c r="G18" s="8" t="n">
        <v>98</v>
      </c>
      <c r="H18" s="9" t="n">
        <v>35600.96</v>
      </c>
      <c r="I18" s="7" t="inlineStr"/>
      <c r="J18" s="7" t="inlineStr"/>
    </row>
    <row r="20">
      <c r="A20" s="10" t="inlineStr">
        <is>
          <t>Popis: ve zdrojových dokladech (faktura EEC-12, Spec_Reb_12) NENÍ český popis zboží — anglický popis je převzat z faktury, český sloupec je náš návrh pro JSD.</t>
        </is>
      </c>
    </row>
    <row r="21">
      <c r="A21" s="10" t="inlineStr">
        <is>
          <t>Hmotnosti a hodnoty jsou součtem řádků specifikace sloučených na unikátní HS kód. Kontrolní součet hodnot = 35 600,96 EUR (souhlasí s fakturou).</t>
        </is>
      </c>
    </row>
    <row r="22">
      <c r="A22" s="10" t="inlineStr">
        <is>
          <t>Jeden odesílatel (Rebate Retail OÜ) → jedna sada řádků, každý HS kód právě jednou.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  <col width="40" customWidth="1" min="4" max="4"/>
    <col width="13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HS kód</t>
        </is>
      </c>
      <c r="B1" s="11" t="inlineStr">
        <is>
          <t>Č. položky</t>
        </is>
      </c>
      <c r="C1" s="11" t="inlineStr">
        <is>
          <t>Article</t>
        </is>
      </c>
      <c r="D1" s="11" t="inlineStr">
        <is>
          <t>Description (EN)</t>
        </is>
      </c>
      <c r="E1" s="11" t="inlineStr">
        <is>
          <t>Množství (ks)</t>
        </is>
      </c>
      <c r="F1" s="11" t="inlineStr">
        <is>
          <t>Čistá hm. (kg)</t>
        </is>
      </c>
      <c r="G1" s="11" t="inlineStr">
        <is>
          <t>Hrubá hm. (kg)</t>
        </is>
      </c>
      <c r="H1" s="11" t="inlineStr">
        <is>
          <t>Hodnota (EUR)</t>
        </is>
      </c>
    </row>
    <row r="2">
      <c r="A2" s="12" t="inlineStr">
        <is>
          <t>85389099</t>
        </is>
      </c>
      <c r="B2" s="12" t="n">
        <v>1</v>
      </c>
      <c r="C2" s="12" t="inlineStr">
        <is>
          <t>A165E-S</t>
        </is>
      </c>
      <c r="D2" s="12" t="inlineStr">
        <is>
          <t>Button element</t>
        </is>
      </c>
      <c r="E2" s="12" t="n">
        <v>20</v>
      </c>
      <c r="F2" s="13" t="n">
        <v>0.33</v>
      </c>
      <c r="G2" s="13" t="n">
        <v>0.5</v>
      </c>
      <c r="H2" s="14" t="n">
        <v>396.4</v>
      </c>
    </row>
    <row r="3">
      <c r="A3" s="12" t="inlineStr">
        <is>
          <t>85389099</t>
        </is>
      </c>
      <c r="B3" s="12" t="n">
        <v>2</v>
      </c>
      <c r="C3" s="12" t="inlineStr">
        <is>
          <t>A22NZ-3BR-TGA</t>
        </is>
      </c>
      <c r="D3" s="12" t="inlineStr">
        <is>
          <t>Switch head</t>
        </is>
      </c>
      <c r="E3" s="12" t="n">
        <v>7</v>
      </c>
      <c r="F3" s="13" t="n">
        <v>0.12</v>
      </c>
      <c r="G3" s="13" t="n">
        <v>0.3</v>
      </c>
      <c r="H3" s="14" t="n">
        <v>30.8</v>
      </c>
    </row>
    <row r="4">
      <c r="A4" s="12" t="inlineStr">
        <is>
          <t>85389099</t>
        </is>
      </c>
      <c r="B4" s="12" t="n">
        <v>3</v>
      </c>
      <c r="C4" s="12" t="inlineStr">
        <is>
          <t>A22NZ-S-P2C</t>
        </is>
      </c>
      <c r="D4" s="12" t="inlineStr">
        <is>
          <t>Auxiliary contact</t>
        </is>
      </c>
      <c r="E4" s="12" t="n">
        <v>3</v>
      </c>
      <c r="F4" s="13" t="n">
        <v>0.1</v>
      </c>
      <c r="G4" s="13" t="n">
        <v>0.3</v>
      </c>
      <c r="H4" s="14" t="n">
        <v>19.35</v>
      </c>
    </row>
    <row r="5">
      <c r="A5" s="12" t="inlineStr">
        <is>
          <t>85389099</t>
        </is>
      </c>
      <c r="B5" s="12" t="n">
        <v>4</v>
      </c>
      <c r="C5" s="12" t="inlineStr">
        <is>
          <t>XS2G-D4S2</t>
        </is>
      </c>
      <c r="D5" s="12" t="inlineStr">
        <is>
          <t>Connector</t>
        </is>
      </c>
      <c r="E5" s="12" t="n">
        <v>78</v>
      </c>
      <c r="F5" s="13" t="n">
        <v>1.5</v>
      </c>
      <c r="G5" s="13" t="n">
        <v>2</v>
      </c>
      <c r="H5" s="14" t="n">
        <v>446.94</v>
      </c>
    </row>
    <row r="6">
      <c r="A6" s="12" t="inlineStr">
        <is>
          <t>85389099</t>
        </is>
      </c>
      <c r="B6" s="12" t="n">
        <v>5</v>
      </c>
      <c r="C6" s="12" t="inlineStr">
        <is>
          <t>WLCA32-43G-N</t>
        </is>
      </c>
      <c r="D6" s="12" t="inlineStr">
        <is>
          <t>Switch</t>
        </is>
      </c>
      <c r="E6" s="12" t="n">
        <v>10</v>
      </c>
      <c r="F6" s="13" t="n">
        <v>2.7</v>
      </c>
      <c r="G6" s="13" t="n">
        <v>3.7</v>
      </c>
      <c r="H6" s="14" t="n">
        <v>528.4</v>
      </c>
    </row>
    <row r="7">
      <c r="A7" s="12" t="inlineStr">
        <is>
          <t>85389099</t>
        </is>
      </c>
      <c r="B7" s="12" t="n">
        <v>7</v>
      </c>
      <c r="C7" s="12" t="inlineStr">
        <is>
          <t>J7KNA-AR-22 24D</t>
        </is>
      </c>
      <c r="D7" s="12" t="inlineStr">
        <is>
          <t>4-pole contact relay</t>
        </is>
      </c>
      <c r="E7" s="12" t="n">
        <v>2</v>
      </c>
      <c r="F7" s="13" t="n">
        <v>0.3</v>
      </c>
      <c r="G7" s="13" t="n">
        <v>0.5</v>
      </c>
      <c r="H7" s="14" t="n">
        <v>41</v>
      </c>
    </row>
    <row r="8">
      <c r="A8" s="12" t="inlineStr">
        <is>
          <t>85389099</t>
        </is>
      </c>
      <c r="B8" s="12" t="n">
        <v>10</v>
      </c>
      <c r="C8" s="12" t="inlineStr">
        <is>
          <t>A22Z-3466-1</t>
        </is>
      </c>
      <c r="D8" s="12" t="inlineStr">
        <is>
          <t>Plate</t>
        </is>
      </c>
      <c r="E8" s="12" t="n">
        <v>10</v>
      </c>
      <c r="F8" s="13" t="n">
        <v>0.03</v>
      </c>
      <c r="G8" s="13" t="n">
        <v>0.2</v>
      </c>
      <c r="H8" s="14" t="n">
        <v>27.6</v>
      </c>
    </row>
    <row r="9">
      <c r="A9" s="12" t="inlineStr">
        <is>
          <t>85389099</t>
        </is>
      </c>
      <c r="B9" s="12" t="n">
        <v>12</v>
      </c>
      <c r="C9" s="12" t="inlineStr">
        <is>
          <t>J7KN-22D-10 110</t>
        </is>
      </c>
      <c r="D9" s="12" t="inlineStr">
        <is>
          <t>Motor Contactor</t>
        </is>
      </c>
      <c r="E9" s="12" t="n">
        <v>16</v>
      </c>
      <c r="F9" s="13" t="n">
        <v>3.4</v>
      </c>
      <c r="G9" s="13" t="n">
        <v>4.9</v>
      </c>
      <c r="H9" s="14" t="n">
        <v>528.48</v>
      </c>
    </row>
    <row r="10">
      <c r="A10" s="12" t="inlineStr">
        <is>
          <t>85389099</t>
        </is>
      </c>
      <c r="B10" s="12" t="n">
        <v>13</v>
      </c>
      <c r="C10" s="12" t="inlineStr">
        <is>
          <t>CJ2H-CPU66-EIP</t>
        </is>
      </c>
      <c r="D10" s="12" t="inlineStr">
        <is>
          <t>CJ2 Controller CPU Module</t>
        </is>
      </c>
      <c r="E10" s="12" t="n">
        <v>2</v>
      </c>
      <c r="F10" s="13" t="n">
        <v>0.7</v>
      </c>
      <c r="G10" s="13" t="n">
        <v>0.9</v>
      </c>
      <c r="H10" s="14" t="n">
        <v>3478.84</v>
      </c>
    </row>
    <row r="11">
      <c r="A11" s="12" t="inlineStr">
        <is>
          <t>85389099</t>
        </is>
      </c>
      <c r="B11" s="12" t="n">
        <v>19</v>
      </c>
      <c r="C11" s="12" t="inlineStr">
        <is>
          <t>F3S-TGR-NLPC-21-05</t>
        </is>
      </c>
      <c r="D11" s="12" t="inlineStr">
        <is>
          <t>Proximity Safety Switch</t>
        </is>
      </c>
      <c r="E11" s="12" t="n">
        <v>10</v>
      </c>
      <c r="F11" s="13" t="n">
        <v>4</v>
      </c>
      <c r="G11" s="13" t="n">
        <v>6</v>
      </c>
      <c r="H11" s="14" t="n">
        <v>814.7</v>
      </c>
    </row>
    <row r="12">
      <c r="A12" s="12" t="inlineStr">
        <is>
          <t>85389099</t>
        </is>
      </c>
      <c r="B12" s="12" t="n">
        <v>20</v>
      </c>
      <c r="C12" s="12" t="inlineStr">
        <is>
          <t>F3S-TGR-NSMC-21-05</t>
        </is>
      </c>
      <c r="D12" s="12" t="inlineStr">
        <is>
          <t>Proximity Safety Switch</t>
        </is>
      </c>
      <c r="E12" s="12" t="n">
        <v>3</v>
      </c>
      <c r="F12" s="13" t="n">
        <v>1.2</v>
      </c>
      <c r="G12" s="13" t="n">
        <v>1.7</v>
      </c>
      <c r="H12" s="14" t="n">
        <v>363.3</v>
      </c>
    </row>
    <row r="13">
      <c r="A13" s="12" t="inlineStr">
        <is>
          <t>85389099</t>
        </is>
      </c>
      <c r="B13" s="12" t="n">
        <v>22</v>
      </c>
      <c r="C13" s="12" t="inlineStr">
        <is>
          <t>J7KN-32 24</t>
        </is>
      </c>
      <c r="D13" s="12" t="inlineStr">
        <is>
          <t>Motor Contactor</t>
        </is>
      </c>
      <c r="E13" s="12" t="n">
        <v>2</v>
      </c>
      <c r="F13" s="13" t="n">
        <v>1</v>
      </c>
      <c r="G13" s="13" t="n">
        <v>1.5</v>
      </c>
      <c r="H13" s="14" t="n">
        <v>88.08</v>
      </c>
    </row>
    <row r="14">
      <c r="A14" s="12" t="inlineStr">
        <is>
          <t>85389099</t>
        </is>
      </c>
      <c r="B14" s="12" t="n">
        <v>23</v>
      </c>
      <c r="C14" s="12" t="inlineStr">
        <is>
          <t>G3RV-202S DC24</t>
        </is>
      </c>
      <c r="D14" s="12" t="inlineStr">
        <is>
          <t>Solid-State Relay</t>
        </is>
      </c>
      <c r="E14" s="12" t="n">
        <v>12</v>
      </c>
      <c r="F14" s="13" t="n">
        <v>0.1</v>
      </c>
      <c r="G14" s="13" t="n">
        <v>0.3</v>
      </c>
      <c r="H14" s="14" t="n">
        <v>211.32</v>
      </c>
    </row>
    <row r="15">
      <c r="A15" s="12" t="inlineStr">
        <is>
          <t>85389099</t>
        </is>
      </c>
      <c r="B15" s="12" t="n">
        <v>25</v>
      </c>
      <c r="C15" s="12" t="inlineStr">
        <is>
          <t>A22NZ-2BM-NBA</t>
        </is>
      </c>
      <c r="D15" s="12" t="inlineStr">
        <is>
          <t>Switch Head</t>
        </is>
      </c>
      <c r="E15" s="12" t="n">
        <v>20</v>
      </c>
      <c r="F15" s="13" t="n">
        <v>0.35</v>
      </c>
      <c r="G15" s="13" t="n">
        <v>0.5</v>
      </c>
      <c r="H15" s="14" t="n">
        <v>66</v>
      </c>
    </row>
    <row r="16">
      <c r="A16" s="12" t="inlineStr">
        <is>
          <t>85389099</t>
        </is>
      </c>
      <c r="B16" s="12" t="n">
        <v>26</v>
      </c>
      <c r="C16" s="12" t="inlineStr">
        <is>
          <t>A22NZ-BNM-NBA</t>
        </is>
      </c>
      <c r="D16" s="12" t="inlineStr">
        <is>
          <t>Pushbutton Head</t>
        </is>
      </c>
      <c r="E16" s="12" t="n">
        <v>20</v>
      </c>
      <c r="F16" s="13" t="n">
        <v>0.4</v>
      </c>
      <c r="G16" s="13" t="n">
        <v>0.6</v>
      </c>
      <c r="H16" s="14" t="n">
        <v>55.2</v>
      </c>
    </row>
    <row r="17">
      <c r="A17" s="12" t="inlineStr">
        <is>
          <t>85389099</t>
        </is>
      </c>
      <c r="B17" s="12" t="n">
        <v>27</v>
      </c>
      <c r="C17" s="12" t="inlineStr">
        <is>
          <t>G9SB-301-D AC/DC24</t>
        </is>
      </c>
      <c r="D17" s="12" t="inlineStr">
        <is>
          <t>Safety Relay Module</t>
        </is>
      </c>
      <c r="E17" s="12" t="n">
        <v>5</v>
      </c>
      <c r="F17" s="13" t="n">
        <v>0.6</v>
      </c>
      <c r="G17" s="13" t="n">
        <v>0.8</v>
      </c>
      <c r="H17" s="14" t="n">
        <v>440.35</v>
      </c>
    </row>
    <row r="18">
      <c r="A18" s="12" t="inlineStr">
        <is>
          <t>85389099</t>
        </is>
      </c>
      <c r="B18" s="12" t="n">
        <v>30</v>
      </c>
      <c r="C18" s="12" t="inlineStr">
        <is>
          <t>S8BA-B120L</t>
        </is>
      </c>
      <c r="D18" s="12" t="inlineStr">
        <is>
          <t>UPS Power Module</t>
        </is>
      </c>
      <c r="E18" s="12" t="n">
        <v>2</v>
      </c>
      <c r="F18" s="13" t="n">
        <v>0.3</v>
      </c>
      <c r="G18" s="13" t="n">
        <v>0.5</v>
      </c>
      <c r="H18" s="14" t="n">
        <v>572.46</v>
      </c>
    </row>
    <row r="19">
      <c r="A19" s="12" t="inlineStr">
        <is>
          <t>85389099</t>
        </is>
      </c>
      <c r="B19" s="12" t="n">
        <v>32</v>
      </c>
      <c r="C19" s="12" t="inlineStr">
        <is>
          <t>FHV7X-M063R-C</t>
        </is>
      </c>
      <c r="D19" s="12" t="inlineStr">
        <is>
          <t>FH Smart Camera</t>
        </is>
      </c>
      <c r="E19" s="12" t="n">
        <v>1</v>
      </c>
      <c r="F19" s="13" t="n">
        <v>0.6</v>
      </c>
      <c r="G19" s="13" t="n">
        <v>0.8</v>
      </c>
      <c r="H19" s="14" t="n">
        <v>4312.5</v>
      </c>
    </row>
    <row r="20">
      <c r="A20" s="12" t="inlineStr">
        <is>
          <t>85389099</t>
        </is>
      </c>
      <c r="B20" s="12" t="n">
        <v>35</v>
      </c>
      <c r="C20" s="12" t="inlineStr">
        <is>
          <t>E32-ET16WR-1 2M</t>
        </is>
      </c>
      <c r="D20" s="12" t="inlineStr">
        <is>
          <t>Fiber optic sensor head</t>
        </is>
      </c>
      <c r="E20" s="12" t="n">
        <v>1</v>
      </c>
      <c r="F20" s="13" t="n">
        <v>0.25</v>
      </c>
      <c r="G20" s="13" t="n">
        <v>0.4</v>
      </c>
      <c r="H20" s="14" t="n">
        <v>550.45</v>
      </c>
    </row>
    <row r="21">
      <c r="A21" s="12" t="inlineStr">
        <is>
          <t>85389099</t>
        </is>
      </c>
      <c r="B21" s="12" t="n">
        <v>36</v>
      </c>
      <c r="C21" s="12" t="inlineStr">
        <is>
          <t>E32-ET16WR-2 2M</t>
        </is>
      </c>
      <c r="D21" s="12" t="inlineStr">
        <is>
          <t>Fiber optic sensor head</t>
        </is>
      </c>
      <c r="E21" s="12" t="n">
        <v>2</v>
      </c>
      <c r="F21" s="13" t="n">
        <v>0.4</v>
      </c>
      <c r="G21" s="13" t="n">
        <v>0.6</v>
      </c>
      <c r="H21" s="14" t="n">
        <v>1028.24</v>
      </c>
    </row>
    <row r="22">
      <c r="A22" s="12" t="inlineStr">
        <is>
          <t>85389099</t>
        </is>
      </c>
      <c r="B22" s="12" t="n">
        <v>38</v>
      </c>
      <c r="C22" s="12" t="inlineStr">
        <is>
          <t>G2RV-1-S-AP-G DC21</t>
        </is>
      </c>
      <c r="D22" s="12" t="inlineStr">
        <is>
          <t>Relay</t>
        </is>
      </c>
      <c r="E22" s="12" t="n">
        <v>10</v>
      </c>
      <c r="F22" s="13" t="n">
        <v>0.1</v>
      </c>
      <c r="G22" s="13" t="n">
        <v>0.3</v>
      </c>
      <c r="H22" s="14" t="n">
        <v>58</v>
      </c>
    </row>
    <row r="23">
      <c r="A23" s="12" t="inlineStr">
        <is>
          <t>85389099</t>
        </is>
      </c>
      <c r="B23" s="12" t="n">
        <v>41</v>
      </c>
      <c r="C23" s="12" t="inlineStr">
        <is>
          <t>F3S-TGR-NMPC-21-05</t>
        </is>
      </c>
      <c r="D23" s="12" t="inlineStr">
        <is>
          <t>Contactless safety switch</t>
        </is>
      </c>
      <c r="E23" s="12" t="n">
        <v>2</v>
      </c>
      <c r="F23" s="13" t="n">
        <v>0.7</v>
      </c>
      <c r="G23" s="13" t="n">
        <v>0.9</v>
      </c>
      <c r="H23" s="14" t="n">
        <v>154.12</v>
      </c>
    </row>
    <row r="24">
      <c r="A24" s="12" t="inlineStr">
        <is>
          <t>85389099</t>
        </is>
      </c>
      <c r="B24" s="12" t="n">
        <v>42</v>
      </c>
      <c r="C24" s="12" t="inlineStr">
        <is>
          <t>FQ-XF1</t>
        </is>
      </c>
      <c r="D24" s="12" t="inlineStr">
        <is>
          <t>Polarizing filter</t>
        </is>
      </c>
      <c r="E24" s="12" t="n">
        <v>5</v>
      </c>
      <c r="F24" s="13" t="n">
        <v>0.1</v>
      </c>
      <c r="G24" s="13" t="n">
        <v>0.3</v>
      </c>
      <c r="H24" s="14" t="n">
        <v>1073.4</v>
      </c>
    </row>
    <row r="25">
      <c r="A25" s="12" t="inlineStr">
        <is>
          <t>85389099</t>
        </is>
      </c>
      <c r="B25" s="12" t="n">
        <v>44</v>
      </c>
      <c r="C25" s="12" t="inlineStr">
        <is>
          <t>D4BS-15FS</t>
        </is>
      </c>
      <c r="D25" s="12" t="inlineStr">
        <is>
          <t>Safety limit switch</t>
        </is>
      </c>
      <c r="E25" s="12" t="n">
        <v>3</v>
      </c>
      <c r="F25" s="13" t="n">
        <v>0.8</v>
      </c>
      <c r="G25" s="13" t="n">
        <v>1</v>
      </c>
      <c r="H25" s="14" t="n">
        <v>99.09</v>
      </c>
    </row>
    <row r="26">
      <c r="A26" s="12" t="inlineStr">
        <is>
          <t>85389099</t>
        </is>
      </c>
      <c r="B26" s="12" t="n">
        <v>47</v>
      </c>
      <c r="C26" s="12" t="inlineStr">
        <is>
          <t>6GK5224-4GS00-2FC2</t>
        </is>
      </c>
      <c r="D26" s="12" t="inlineStr">
        <is>
          <t>Industrial switch, type SCALANCE X</t>
        </is>
      </c>
      <c r="E26" s="12" t="n">
        <v>1</v>
      </c>
      <c r="F26" s="13" t="n">
        <v>0.5</v>
      </c>
      <c r="G26" s="13" t="n">
        <v>1</v>
      </c>
      <c r="H26" s="14" t="n">
        <v>2108.19</v>
      </c>
    </row>
    <row r="27">
      <c r="A27" s="12" t="inlineStr">
        <is>
          <t>85389099</t>
        </is>
      </c>
      <c r="B27" s="12" t="n">
        <v>48</v>
      </c>
      <c r="C27" s="12" t="inlineStr">
        <is>
          <t>2966265</t>
        </is>
      </c>
      <c r="D27" s="12" t="inlineStr">
        <is>
          <t>PLC-RSC- 24DC/21AU Relay module</t>
        </is>
      </c>
      <c r="E27" s="12" t="n">
        <v>40</v>
      </c>
      <c r="F27" s="13" t="n">
        <v>1.4</v>
      </c>
      <c r="G27" s="13" t="n">
        <v>1.9</v>
      </c>
      <c r="H27" s="14" t="n">
        <v>477.6</v>
      </c>
    </row>
    <row r="28">
      <c r="A28" s="12" t="inlineStr">
        <is>
          <t>85389099</t>
        </is>
      </c>
      <c r="B28" s="12" t="n">
        <v>49</v>
      </c>
      <c r="C28" s="12" t="inlineStr">
        <is>
          <t>CE924-AT-G</t>
        </is>
      </c>
      <c r="D28" s="12" t="inlineStr">
        <is>
          <t>KVM signal extender module</t>
        </is>
      </c>
      <c r="E28" s="12" t="n">
        <v>6</v>
      </c>
      <c r="F28" s="13" t="n">
        <v>10.2</v>
      </c>
      <c r="G28" s="13" t="n">
        <v>25.6</v>
      </c>
      <c r="H28" s="14" t="n">
        <v>6665.94</v>
      </c>
    </row>
    <row r="29">
      <c r="A29" s="12" t="inlineStr">
        <is>
          <t>85389099</t>
        </is>
      </c>
      <c r="B29" s="12" t="n">
        <v>50</v>
      </c>
      <c r="C29" s="12" t="inlineStr">
        <is>
          <t>CE920-AT-G</t>
        </is>
      </c>
      <c r="D29" s="12" t="inlineStr">
        <is>
          <t>KVM signal extender module</t>
        </is>
      </c>
      <c r="E29" s="12" t="n">
        <v>1</v>
      </c>
      <c r="F29" s="13" t="n">
        <v>1.3</v>
      </c>
      <c r="G29" s="13" t="n">
        <v>4.2</v>
      </c>
      <c r="H29" s="14" t="n">
        <v>675.5</v>
      </c>
    </row>
    <row r="30">
      <c r="A30" s="12" t="inlineStr">
        <is>
          <t>90329000</t>
        </is>
      </c>
      <c r="B30" s="12" t="n">
        <v>8</v>
      </c>
      <c r="C30" s="12" t="inlineStr">
        <is>
          <t>E2E-X2B2L8 2M</t>
        </is>
      </c>
      <c r="D30" s="12" t="inlineStr">
        <is>
          <t>Inductive sensor</t>
        </is>
      </c>
      <c r="E30" s="12" t="n">
        <v>20</v>
      </c>
      <c r="F30" s="13" t="n">
        <v>1.4</v>
      </c>
      <c r="G30" s="13" t="n">
        <v>1.9</v>
      </c>
      <c r="H30" s="14" t="n">
        <v>528.4</v>
      </c>
    </row>
    <row r="31">
      <c r="A31" s="12" t="inlineStr">
        <is>
          <t>90329000</t>
        </is>
      </c>
      <c r="B31" s="12" t="n">
        <v>9</v>
      </c>
      <c r="C31" s="12" t="inlineStr">
        <is>
          <t>E2E-X8MD15 2M</t>
        </is>
      </c>
      <c r="D31" s="12" t="inlineStr">
        <is>
          <t>Inductive sensor</t>
        </is>
      </c>
      <c r="E31" s="12" t="n">
        <v>6</v>
      </c>
      <c r="F31" s="13" t="n">
        <v>0.5</v>
      </c>
      <c r="G31" s="13" t="n">
        <v>0.7</v>
      </c>
      <c r="H31" s="14" t="n">
        <v>277.44</v>
      </c>
    </row>
    <row r="32">
      <c r="A32" s="12" t="inlineStr">
        <is>
          <t>90329000</t>
        </is>
      </c>
      <c r="B32" s="12" t="n">
        <v>11</v>
      </c>
      <c r="C32" s="12" t="inlineStr">
        <is>
          <t>E5CC-CX3A5M-004</t>
        </is>
      </c>
      <c r="D32" s="12" t="inlineStr">
        <is>
          <t>Digital Temperature Controller</t>
        </is>
      </c>
      <c r="E32" s="12" t="n">
        <v>20</v>
      </c>
      <c r="F32" s="13" t="n">
        <v>2.25</v>
      </c>
      <c r="G32" s="13" t="n">
        <v>3.3</v>
      </c>
      <c r="H32" s="14" t="n">
        <v>3082.6</v>
      </c>
    </row>
    <row r="33">
      <c r="A33" s="12" t="inlineStr">
        <is>
          <t>90329000</t>
        </is>
      </c>
      <c r="B33" s="12" t="n">
        <v>14</v>
      </c>
      <c r="C33" s="12" t="inlineStr">
        <is>
          <t>E2E-X15B1TL30-M1</t>
        </is>
      </c>
      <c r="D33" s="12" t="inlineStr">
        <is>
          <t>Inductive Sensor</t>
        </is>
      </c>
      <c r="E33" s="12" t="n">
        <v>10</v>
      </c>
      <c r="F33" s="13" t="n">
        <v>1.8</v>
      </c>
      <c r="G33" s="13" t="n">
        <v>2.3</v>
      </c>
      <c r="H33" s="14" t="n">
        <v>308.3</v>
      </c>
    </row>
    <row r="34">
      <c r="A34" s="12" t="inlineStr">
        <is>
          <t>90329000</t>
        </is>
      </c>
      <c r="B34" s="12" t="n">
        <v>15</v>
      </c>
      <c r="C34" s="12" t="inlineStr">
        <is>
          <t>E2E-X2B1TL8 2M</t>
        </is>
      </c>
      <c r="D34" s="12" t="inlineStr">
        <is>
          <t>Inductive Sensor</t>
        </is>
      </c>
      <c r="E34" s="12" t="n">
        <v>6</v>
      </c>
      <c r="F34" s="13" t="n">
        <v>0.4</v>
      </c>
      <c r="G34" s="13" t="n">
        <v>0.6</v>
      </c>
      <c r="H34" s="14" t="n">
        <v>158.52</v>
      </c>
    </row>
    <row r="35">
      <c r="A35" s="12" t="inlineStr">
        <is>
          <t>90329000</t>
        </is>
      </c>
      <c r="B35" s="12" t="n">
        <v>16</v>
      </c>
      <c r="C35" s="12" t="inlineStr">
        <is>
          <t>E2E-X8MC112 2M</t>
        </is>
      </c>
      <c r="D35" s="12" t="inlineStr">
        <is>
          <t>Inductive Sensor</t>
        </is>
      </c>
      <c r="E35" s="12" t="n">
        <v>10</v>
      </c>
      <c r="F35" s="13" t="n">
        <v>1.2</v>
      </c>
      <c r="G35" s="13" t="n">
        <v>1.7</v>
      </c>
      <c r="H35" s="14" t="n">
        <v>264.2</v>
      </c>
    </row>
    <row r="36">
      <c r="A36" s="12" t="inlineStr">
        <is>
          <t>90329000</t>
        </is>
      </c>
      <c r="B36" s="12" t="n">
        <v>17</v>
      </c>
      <c r="C36" s="12" t="inlineStr">
        <is>
          <t>E2E-X15B1T30-M1</t>
        </is>
      </c>
      <c r="D36" s="12" t="inlineStr">
        <is>
          <t>Inductive Sensor</t>
        </is>
      </c>
      <c r="E36" s="12" t="n">
        <v>10</v>
      </c>
      <c r="F36" s="13" t="n">
        <v>1.4</v>
      </c>
      <c r="G36" s="13" t="n">
        <v>1.9</v>
      </c>
      <c r="H36" s="14" t="n">
        <v>308.3</v>
      </c>
    </row>
    <row r="37">
      <c r="A37" s="12" t="inlineStr">
        <is>
          <t>90329000</t>
        </is>
      </c>
      <c r="B37" s="12" t="n">
        <v>18</v>
      </c>
      <c r="C37" s="12" t="inlineStr">
        <is>
          <t>E2Q5-N20E1-M1</t>
        </is>
      </c>
      <c r="D37" s="12" t="inlineStr">
        <is>
          <t>Rectangular Inductive Sensor</t>
        </is>
      </c>
      <c r="E37" s="12" t="n">
        <v>2</v>
      </c>
      <c r="F37" s="13" t="n">
        <v>0.25</v>
      </c>
      <c r="G37" s="13" t="n">
        <v>0.5</v>
      </c>
      <c r="H37" s="14" t="n">
        <v>96.88</v>
      </c>
    </row>
    <row r="38">
      <c r="A38" s="12" t="inlineStr">
        <is>
          <t>90329000</t>
        </is>
      </c>
      <c r="B38" s="12" t="n">
        <v>21</v>
      </c>
      <c r="C38" s="12" t="inlineStr">
        <is>
          <t>E3RB-TP21</t>
        </is>
      </c>
      <c r="D38" s="12" t="inlineStr">
        <is>
          <t>Cylindrical Photoelectric Sensor</t>
        </is>
      </c>
      <c r="E38" s="12" t="n">
        <v>10</v>
      </c>
      <c r="F38" s="13" t="n">
        <v>0.5</v>
      </c>
      <c r="G38" s="13" t="n">
        <v>0.7</v>
      </c>
      <c r="H38" s="14" t="n">
        <v>550.5</v>
      </c>
    </row>
    <row r="39">
      <c r="A39" s="12" t="inlineStr">
        <is>
          <t>90329000</t>
        </is>
      </c>
      <c r="B39" s="12" t="n">
        <v>24</v>
      </c>
      <c r="C39" s="12" t="inlineStr">
        <is>
          <t>E3ZM-B86</t>
        </is>
      </c>
      <c r="D39" s="12" t="inlineStr">
        <is>
          <t>Photoelectric Sensor</t>
        </is>
      </c>
      <c r="E39" s="12" t="n">
        <v>10</v>
      </c>
      <c r="F39" s="13" t="n">
        <v>0.3</v>
      </c>
      <c r="G39" s="13" t="n">
        <v>0.5</v>
      </c>
      <c r="H39" s="14" t="n">
        <v>880.7</v>
      </c>
    </row>
    <row r="40">
      <c r="A40" s="12" t="inlineStr">
        <is>
          <t>90329000</t>
        </is>
      </c>
      <c r="B40" s="12" t="n">
        <v>28</v>
      </c>
      <c r="C40" s="12" t="inlineStr">
        <is>
          <t>E2E-X8B1T18-M1</t>
        </is>
      </c>
      <c r="D40" s="12" t="inlineStr">
        <is>
          <t>Inductive Sensor</t>
        </is>
      </c>
      <c r="E40" s="12" t="n">
        <v>30</v>
      </c>
      <c r="F40" s="13" t="n">
        <v>1.5</v>
      </c>
      <c r="G40" s="13" t="n">
        <v>2</v>
      </c>
      <c r="H40" s="14" t="n">
        <v>858.6</v>
      </c>
    </row>
    <row r="41">
      <c r="A41" s="12" t="inlineStr">
        <is>
          <t>90329000</t>
        </is>
      </c>
      <c r="B41" s="12" t="n">
        <v>29</v>
      </c>
      <c r="C41" s="12" t="inlineStr">
        <is>
          <t>E3RB-DP22</t>
        </is>
      </c>
      <c r="D41" s="12" t="inlineStr">
        <is>
          <t>Cylindrical Photoelectric Sensor</t>
        </is>
      </c>
      <c r="E41" s="12" t="n">
        <v>2</v>
      </c>
      <c r="F41" s="13" t="n">
        <v>0.1</v>
      </c>
      <c r="G41" s="13" t="n">
        <v>0.3</v>
      </c>
      <c r="H41" s="14" t="n">
        <v>66.06</v>
      </c>
    </row>
    <row r="42">
      <c r="A42" s="12" t="inlineStr">
        <is>
          <t>90329000</t>
        </is>
      </c>
      <c r="B42" s="12" t="n">
        <v>31</v>
      </c>
      <c r="C42" s="12" t="inlineStr">
        <is>
          <t>E3RB-RP21</t>
        </is>
      </c>
      <c r="D42" s="12" t="inlineStr">
        <is>
          <t>Cylindrical photoelectric sensor</t>
        </is>
      </c>
      <c r="E42" s="12" t="n">
        <v>10</v>
      </c>
      <c r="F42" s="13" t="n">
        <v>0.2</v>
      </c>
      <c r="G42" s="13" t="n">
        <v>0.4</v>
      </c>
      <c r="H42" s="14" t="n">
        <v>330.3</v>
      </c>
    </row>
    <row r="43">
      <c r="A43" s="12" t="inlineStr">
        <is>
          <t>90329000</t>
        </is>
      </c>
      <c r="B43" s="12" t="n">
        <v>33</v>
      </c>
      <c r="C43" s="12" t="inlineStr">
        <is>
          <t>E2E-X15B3DL30 5M</t>
        </is>
      </c>
      <c r="D43" s="12" t="inlineStr">
        <is>
          <t>Inductive sensor</t>
        </is>
      </c>
      <c r="E43" s="12" t="n">
        <v>10</v>
      </c>
      <c r="F43" s="13" t="n">
        <v>3.5</v>
      </c>
      <c r="G43" s="13" t="n">
        <v>5</v>
      </c>
      <c r="H43" s="14" t="n">
        <v>374.3</v>
      </c>
    </row>
    <row r="44">
      <c r="A44" s="12" t="inlineStr">
        <is>
          <t>90329000</t>
        </is>
      </c>
      <c r="B44" s="12" t="n">
        <v>34</v>
      </c>
      <c r="C44" s="12" t="inlineStr">
        <is>
          <t>E5CC-CX3A5M-004</t>
        </is>
      </c>
      <c r="D44" s="12" t="inlineStr">
        <is>
          <t>Temperature controller</t>
        </is>
      </c>
      <c r="E44" s="12" t="n">
        <v>2</v>
      </c>
      <c r="F44" s="13" t="n">
        <v>0.22</v>
      </c>
      <c r="G44" s="13" t="n">
        <v>0.4</v>
      </c>
      <c r="H44" s="14" t="n">
        <v>308.26</v>
      </c>
    </row>
    <row r="45">
      <c r="A45" s="12" t="inlineStr">
        <is>
          <t>90329000</t>
        </is>
      </c>
      <c r="B45" s="12" t="n">
        <v>39</v>
      </c>
      <c r="C45" s="12" t="inlineStr">
        <is>
          <t>E3S-AD32</t>
        </is>
      </c>
      <c r="D45" s="12" t="inlineStr">
        <is>
          <t>Photoelectric sensor</t>
        </is>
      </c>
      <c r="E45" s="12" t="n">
        <v>1</v>
      </c>
      <c r="F45" s="13" t="n">
        <v>0.1</v>
      </c>
      <c r="G45" s="13" t="n">
        <v>0.3</v>
      </c>
      <c r="H45" s="14" t="n">
        <v>77.06</v>
      </c>
    </row>
    <row r="46">
      <c r="A46" s="12" t="inlineStr">
        <is>
          <t>90329000</t>
        </is>
      </c>
      <c r="B46" s="12" t="n">
        <v>40</v>
      </c>
      <c r="C46" s="12" t="inlineStr">
        <is>
          <t>E2E-X4B3D12-M1</t>
        </is>
      </c>
      <c r="D46" s="12" t="inlineStr">
        <is>
          <t>Inductive sensor</t>
        </is>
      </c>
      <c r="E46" s="12" t="n">
        <v>20</v>
      </c>
      <c r="F46" s="13" t="n">
        <v>0.6</v>
      </c>
      <c r="G46" s="13" t="n">
        <v>0.8</v>
      </c>
      <c r="H46" s="14" t="n">
        <v>528.4</v>
      </c>
    </row>
    <row r="47">
      <c r="A47" s="12" t="inlineStr">
        <is>
          <t>90329000</t>
        </is>
      </c>
      <c r="B47" s="12" t="n">
        <v>43</v>
      </c>
      <c r="C47" s="12" t="inlineStr">
        <is>
          <t>E2E-X2B28-M1</t>
        </is>
      </c>
      <c r="D47" s="12" t="inlineStr">
        <is>
          <t>Inductive sensor</t>
        </is>
      </c>
      <c r="E47" s="12" t="n">
        <v>5</v>
      </c>
      <c r="F47" s="13" t="n">
        <v>0.15</v>
      </c>
      <c r="G47" s="13" t="n">
        <v>0.3</v>
      </c>
      <c r="H47" s="14" t="n">
        <v>132.1</v>
      </c>
    </row>
    <row r="48">
      <c r="A48" s="12" t="inlineStr">
        <is>
          <t>90329000</t>
        </is>
      </c>
      <c r="B48" s="12" t="n">
        <v>45</v>
      </c>
      <c r="C48" s="12" t="inlineStr">
        <is>
          <t>E52-ETK1-100-2-A</t>
        </is>
      </c>
      <c r="D48" s="12" t="inlineStr">
        <is>
          <t>Temperature sensor</t>
        </is>
      </c>
      <c r="E48" s="12" t="n">
        <v>2</v>
      </c>
      <c r="F48" s="13" t="n">
        <v>0.2</v>
      </c>
      <c r="G48" s="13" t="n">
        <v>0.4</v>
      </c>
      <c r="H48" s="14" t="n">
        <v>98.86</v>
      </c>
    </row>
    <row r="49">
      <c r="A49" s="12" t="inlineStr">
        <is>
          <t>85014020</t>
        </is>
      </c>
      <c r="B49" s="12" t="n">
        <v>37</v>
      </c>
      <c r="C49" s="12" t="inlineStr">
        <is>
          <t>VZA22P2BAA</t>
        </is>
      </c>
      <c r="D49" s="12" t="inlineStr">
        <is>
          <t>Frequency inverter 2.2/3 kW</t>
        </is>
      </c>
      <c r="E49" s="12" t="n">
        <v>2</v>
      </c>
      <c r="F49" s="13" t="n">
        <v>2.8</v>
      </c>
      <c r="G49" s="13" t="n">
        <v>4.3</v>
      </c>
      <c r="H49" s="14" t="n">
        <v>282.8</v>
      </c>
    </row>
    <row r="50">
      <c r="A50" s="12" t="inlineStr">
        <is>
          <t>85014020</t>
        </is>
      </c>
      <c r="B50" s="12" t="n">
        <v>46</v>
      </c>
      <c r="C50" s="12" t="inlineStr">
        <is>
          <t>3G3MX2-AB007-EV2</t>
        </is>
      </c>
      <c r="D50" s="12" t="inlineStr">
        <is>
          <t>Frequency inverter</t>
        </is>
      </c>
      <c r="E50" s="12" t="n">
        <v>3</v>
      </c>
      <c r="F50" s="13" t="n">
        <v>4.8</v>
      </c>
      <c r="G50" s="13" t="n">
        <v>5.8</v>
      </c>
      <c r="H50" s="14" t="n">
        <v>561.45</v>
      </c>
    </row>
    <row r="51">
      <c r="A51" s="12" t="inlineStr">
        <is>
          <t>85444290</t>
        </is>
      </c>
      <c r="B51" s="12" t="n">
        <v>6</v>
      </c>
      <c r="C51" s="12" t="inlineStr">
        <is>
          <t>XW2Z-300B</t>
        </is>
      </c>
      <c r="D51" s="12" t="inlineStr">
        <is>
          <t>Cable with connectors</t>
        </is>
      </c>
      <c r="E51" s="12" t="n">
        <v>3</v>
      </c>
      <c r="F51" s="13" t="n">
        <v>1.2</v>
      </c>
      <c r="G51" s="13" t="n">
        <v>1.7</v>
      </c>
      <c r="H51" s="14" t="n">
        <v>214.68</v>
      </c>
    </row>
    <row r="52">
      <c r="A52" s="7" t="inlineStr">
        <is>
          <t>CELKEM</t>
        </is>
      </c>
      <c r="B52" s="7" t="inlineStr"/>
      <c r="C52" s="7" t="inlineStr"/>
      <c r="D52" s="7" t="inlineStr"/>
      <c r="E52" s="7" t="n">
        <v>488</v>
      </c>
      <c r="F52" s="8" t="n">
        <v>58.85</v>
      </c>
      <c r="G52" s="8" t="n">
        <v>98</v>
      </c>
      <c r="H52" s="9" t="n">
        <v>35600.96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>
        <f>== ZÁKLADNÍ ÚDAJE ===</f>
        <v/>
      </c>
    </row>
    <row r="2">
      <c r="A2" t="inlineStr">
        <is>
          <t>Vývozce: REBATE RETAIL OÜ, Roseni 13, 10111 Tallinn, Estonsko (EORI EE14725190, VAT EE102160071)</t>
        </is>
      </c>
    </row>
    <row r="3">
      <c r="A3" t="inlineStr">
        <is>
          <t>Kupující: Foret Group Limited, Hong Kong (Reg. 76645200)</t>
        </is>
      </c>
    </row>
    <row r="4">
      <c r="A4" t="inlineStr">
        <is>
          <t>Faktura EEC-12 ze dne 21.08.2026, celkem 35 600,96 EUR</t>
        </is>
      </c>
    </row>
    <row r="5">
      <c r="A5" t="inlineStr">
        <is>
          <t>Specifikace: Spec_Reb_12.xlsx — 50 řádků, sloučeno na 4 unikátní HS kódy (jeden odesílatel).</t>
        </is>
      </c>
    </row>
    <row r="6">
      <c r="A6" t="inlineStr"/>
    </row>
    <row r="7">
      <c r="A7" s="2">
        <f>== INCOTERM ===</f>
        <v/>
      </c>
    </row>
    <row r="8">
      <c r="A8" t="inlineStr">
        <is>
          <t>EXW BIAŁYSTOK (Bialystok, Polsko) — termín i místo dle faktury, str. 1 „Delivery terms“.</t>
        </is>
      </c>
    </row>
    <row r="9">
      <c r="A9" t="inlineStr">
        <is>
          <t>Zboží se tedy vyváží z Polska; vývozní celní prohlášení podle místa odeslání.</t>
        </is>
      </c>
    </row>
    <row r="10">
      <c r="A10" t="inlineStr"/>
    </row>
    <row r="11">
      <c r="A11" s="2">
        <f>== VÝVOZ — CO SE NEUPLATNÍ ===</f>
        <v/>
      </c>
    </row>
    <row r="12">
      <c r="A12" t="inlineStr">
        <is>
          <t>Dle zadání: jde o VÝVOZ, proto se neřeší dovozní agenda —</t>
        </is>
      </c>
    </row>
    <row r="13">
      <c r="A13" t="inlineStr">
        <is>
          <t>• CBAM (registr příjemců v ČR) — netýká se, příjemce je v Hong Kongu, nejde o dovoz do EU.</t>
        </is>
      </c>
    </row>
    <row r="14">
      <c r="A14" t="inlineStr">
        <is>
          <t>• Preferenční věta / COO pro preferenční sazbu při dovozu — neposuzováno.</t>
        </is>
      </c>
    </row>
    <row r="15">
      <c r="A15" t="inlineStr"/>
    </row>
    <row r="16">
      <c r="A16" s="2">
        <f>== SLEVA ===</f>
        <v/>
      </c>
    </row>
    <row r="17">
      <c r="A17" t="inlineStr">
        <is>
          <t>Na faktuře ani ve specifikaci není uvedena žádná obchodní sleva. Poměrné rozpouštění slevy se neuplatnilo.</t>
        </is>
      </c>
    </row>
    <row r="18">
      <c r="A18" t="inlineStr">
        <is>
          <t>Součet hodnot řádků = 35 600,96 EUR = celková částka faktury (bez rozdílu).</t>
        </is>
      </c>
    </row>
    <row r="19">
      <c r="A19" t="inlineStr"/>
    </row>
    <row r="20">
      <c r="A20" s="2">
        <f>== POPIS ZBOŽÍ — JAZYK ===</f>
        <v/>
      </c>
    </row>
    <row r="21">
      <c r="A21" t="inlineStr">
        <is>
          <t>Ve zdrojových dokladech NENÍ český popis zboží (faktura i specifikace jsou v angličtině).</t>
        </is>
      </c>
    </row>
    <row r="22">
      <c r="A22" t="inlineStr">
        <is>
          <t>Sloupec „Popis zboží (EN)“ je doslovný popis z faktury; „Popis zboží (CZ – návrh)“ je náš návrh znění pro JSD — před podáním prosím potvrdit.</t>
        </is>
      </c>
    </row>
    <row r="23">
      <c r="A23" t="inlineStr"/>
    </row>
    <row r="24">
      <c r="A24" s="2">
        <f>== HS KÓDY K OVĚŘENÍ (převzaty ze specifikace, NEMĚNĚNY) ===</f>
        <v/>
      </c>
    </row>
    <row r="25">
      <c r="A25" t="inlineStr">
        <is>
          <t>8501 40 20 — pol. 37 VZA22P2BAA a 46 3G3MX2-AB007-EV2 (frekvenční měniče).</t>
        </is>
      </c>
    </row>
    <row r="26">
      <c r="A26" t="inlineStr">
        <is>
          <t xml:space="preserve">   8501 40 20 = střídavé jednofázové MOTORY. Frekvenční měnič je statický měnič → 8504 40. Doporučuji ověřit.</t>
        </is>
      </c>
    </row>
    <row r="27">
      <c r="A27" t="inlineStr">
        <is>
          <t>8538 90 99 — sběrná položka (28 řádků). Obsahuje i zboží, které pravděpodobně patří jinam:</t>
        </is>
      </c>
    </row>
    <row r="28">
      <c r="A28" t="inlineStr">
        <is>
          <t xml:space="preserve">   • pol. 13 CJ2H-CPU66-EIP — PLC / řídicí jednotka</t>
        </is>
      </c>
    </row>
    <row r="29">
      <c r="A29" t="inlineStr">
        <is>
          <t xml:space="preserve">   • pol. 30 S8BA-B120L — UPS (statický měnič, 8504)</t>
        </is>
      </c>
    </row>
    <row r="30">
      <c r="A30" t="inlineStr">
        <is>
          <t xml:space="preserve">   • pol. 32 FHV7X-M063R-C — FH Smart Camera (kamera, 8525)</t>
        </is>
      </c>
    </row>
    <row r="31">
      <c r="A31" t="inlineStr">
        <is>
          <t xml:space="preserve">   • pol. 47 6GK5224-4GS00-2FC2 — SCALANCE průmyslový switch (8517 62)</t>
        </is>
      </c>
    </row>
    <row r="32">
      <c r="A32" t="inlineStr">
        <is>
          <t xml:space="preserve">   • pol. 49/50 CE924-AT-G / CE920-AT-G — KVM extender (8517 62)</t>
        </is>
      </c>
    </row>
    <row r="33">
      <c r="A33" t="inlineStr">
        <is>
          <t xml:space="preserve">   Ponecháno dle specifikace dodavatele — prosím potvrdit, zda se má překlasifikovat.</t>
        </is>
      </c>
    </row>
    <row r="34">
      <c r="A34" t="inlineStr">
        <is>
          <t>9032 90 00 a 8544 42 90 — bez výhrad.</t>
        </is>
      </c>
    </row>
    <row r="35">
      <c r="A35" t="inlineStr"/>
    </row>
    <row r="36">
      <c r="A36" s="2">
        <f>== ANTIDUMPING ===</f>
        <v/>
      </c>
    </row>
    <row r="37">
      <c r="A37" t="inlineStr">
        <is>
          <t>U žádného z uvedených HS kódů (8538 90 99, 9032 90 00, 8544 42 90, 8501 40 20) není známo antidumpingové clo pro tuto relaci.</t>
        </is>
      </c>
    </row>
    <row r="38">
      <c r="A38" t="inlineStr">
        <is>
          <t>Při vývozu se navíc antidumpingová cla EU neuplatňují.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2026-09-01T09:36:13Z</dcterms:created>
  <dcterms:modified xsi:type="dcterms:W3CDTF">2026-09-01T09:36:13Z</dcterms:modified>
</cp:coreProperties>
</file>