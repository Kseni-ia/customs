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HS" sheetId="1" state="visible" r:id="rId1"/>
    <sheet name="Rozpad ce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#,##0.000;(#,##0.000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i val="1"/>
      <color rgb="00C0000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sz val="10"/>
    </font>
    <font>
      <name val="Arial"/>
      <i val="1"/>
      <sz val="11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4" borderId="0" pivotButton="0" quotePrefix="0" xfId="0"/>
    <xf numFmtId="165" fontId="6" fillId="0" borderId="1" pivotButton="0" quotePrefix="0" xfId="0"/>
    <xf numFmtId="0" fontId="7" fillId="0" borderId="0" pivotButton="0" quotePrefix="0" xfId="0"/>
    <xf numFmtId="165" fontId="6" fillId="5" borderId="1" pivotButton="0" quotePrefix="0" xfId="0"/>
    <xf numFmtId="164" fontId="6" fillId="5" borderId="1" pivotButton="0" quotePrefix="0" xfId="0"/>
    <xf numFmtId="164" fontId="5" fillId="0" borderId="1" pivotButton="0" quotePrefix="0" xfId="0"/>
    <xf numFmtId="0" fontId="0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0" fillId="3" borderId="1" pivotButton="0" quotePrefix="0" xfId="0"/>
    <xf numFmtId="0" fontId="8" fillId="3" borderId="1" pivotButton="0" quotePrefix="0" xfId="0"/>
    <xf numFmtId="165" fontId="8" fillId="3" borderId="1" pivotButton="0" quotePrefix="0" xfId="0"/>
    <xf numFmtId="164" fontId="8" fillId="3" borderId="1" pivotButton="0" quotePrefix="0" xfId="0"/>
    <xf numFmtId="0" fontId="5" fillId="0" borderId="0" pivotButton="0" quotePrefix="0" xfId="0"/>
    <xf numFmtId="164" fontId="8" fillId="0" borderId="1" pivotButton="0" quotePrefix="0" xfId="0"/>
    <xf numFmtId="0" fontId="8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8" fillId="4" borderId="1" pivotButton="0" quotePrefix="0" xfId="0"/>
    <xf numFmtId="164" fontId="8" fillId="4" borderId="1" pivotButton="0" quotePrefix="0" xfId="0"/>
    <xf numFmtId="164" fontId="6" fillId="4" borderId="1" pivotButton="0" quotePrefix="0" xfId="0"/>
    <xf numFmtId="0" fontId="0" fillId="5" borderId="1" pivotButton="0" quotePrefix="0" xfId="0"/>
    <xf numFmtId="164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Customs</author>
  </authors>
  <commentList>
    <comment ref="C26" authorId="0" shapeId="0">
      <text>
        <t>POZOR: položka „Quick fast valve“ (400 USD) NEMÁ v tabulce sazebního zařazení od tarifního oddělení vyplněný HS kód. Zde je zařazena k 8431 43 00 90, protože dle popisu i dle e-mailu Karla Fleyberka (12.05.2026) jde o integrované ovládání namontované na hlavě: „Je to teď součást hlavy“. NUTNO POTVRDIT tarifním oddělením – alternativa je zařazení jako samostatný ventil do 8481.</t>
      </text>
    </comment>
    <comment ref="I33" authorId="0" shapeId="0">
      <text>
        <t>Fakturovaná cena je 0 USD (zboží zdarma). Pro celní účely se deklaruje 1 USD dle pokynu příjemce. Příjemce zároveň preferoval uvést zboží jako součást vrtné hlavy – pokud by se tak postupovalo, druhé (FOC) JSD by odpadlo.</t>
      </text>
    </comment>
  </commentList>
</comments>
</file>

<file path=xl/comments/comment2.xml><?xml version="1.0" encoding="utf-8"?>
<comments xmlns="http://schemas.openxmlformats.org/spreadsheetml/2006/main">
  <authors>
    <author>Customs</author>
  </authors>
  <commentList>
    <comment ref="G11" authorId="0" shapeId="0">
      <text>
        <t>Zboží je dle dodavatele zdarma (FOC). Pro celní účely se deklaruje 1 USD dle pokynu příjemce (e-mail Kamila Levová, 30.06.2026): „pokud to nepůjde jinak dejte tam částku 1 dolar (toto zboží je zdarma)“.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11" customWidth="1" min="4" max="4"/>
    <col width="13" customWidth="1" min="5" max="5"/>
    <col width="13" customWidth="1" min="6" max="6"/>
    <col width="14" customWidth="1" min="7" max="7"/>
    <col width="14" customWidth="1" min="8" max="8"/>
    <col width="16" customWidth="1" min="9" max="9"/>
    <col width="8" customWidth="1" min="10" max="10"/>
    <col width="24" customWidth="1" min="11" max="11"/>
  </cols>
  <sheetData>
    <row r="1">
      <c r="A1" s="1" t="inlineStr">
        <is>
          <t>SOUHRN HS KÓDŮ – Kovář, zásilka 576188</t>
        </is>
      </c>
    </row>
    <row r="2">
      <c r="A2" s="2" t="inlineStr">
        <is>
          <t>Dvě celní prohlášení: JSD 1 (běžné) a JSD 2 (FOC – HS 4016 93 00 90)</t>
        </is>
      </c>
    </row>
    <row r="4">
      <c r="A4" s="3" t="inlineStr">
        <is>
          <t>Klient / příjemce</t>
        </is>
      </c>
      <c r="B4" s="4" t="inlineStr">
        <is>
          <t>STUDNAŘSTVÍ KOVÁŘ s.r.o., Jaurisova 515/4, Michle (Praha 4), 140 00 Praha – EORI CZ29153824</t>
        </is>
      </c>
    </row>
    <row r="5">
      <c r="A5" s="3" t="inlineStr">
        <is>
          <t>Odesílatel (dodavatel)</t>
        </is>
      </c>
      <c r="B5" s="4" t="inlineStr">
        <is>
          <t>HENAN RANCHENG MACHINERY CO., LTD, No. 33 Jinsuo Road, High-tech zone, Zhengzhou, Henan, Čína</t>
        </is>
      </c>
    </row>
    <row r="6">
      <c r="A6" s="3" t="inlineStr">
        <is>
          <t>Číslo zásilky / reference</t>
        </is>
      </c>
      <c r="B6" s="4" t="inlineStr">
        <is>
          <t>576188 (OR / CZ26008893)</t>
        </is>
      </c>
    </row>
    <row r="7">
      <c r="A7" s="3" t="inlineStr">
        <is>
          <t>Faktura</t>
        </is>
      </c>
      <c r="B7" s="4" t="inlineStr">
        <is>
          <t>RCJX-2026041605A ze dne 14.05.2026</t>
        </is>
      </c>
    </row>
    <row r="8">
      <c r="A8" s="3" t="inlineStr">
        <is>
          <t>B/L</t>
        </is>
      </c>
      <c r="B8" s="4" t="inlineStr">
        <is>
          <t>PDYWM2605186 (Telex release), plavidlo MSC NAPOLI GL621W, Qingdao → Praha</t>
        </is>
      </c>
    </row>
    <row r="9">
      <c r="A9" s="3" t="inlineStr">
        <is>
          <t>Předchozí doklad (T1)</t>
        </is>
      </c>
      <c r="B9" s="4" t="inlineStr">
        <is>
          <t>MRN 26DE245296473362J8, Bremerhaven → Praha Uhříněves (A1-TRANSPORT&amp;LOGISTIC, CFS „CPS“)</t>
        </is>
      </c>
    </row>
    <row r="10">
      <c r="A10" s="3" t="inlineStr">
        <is>
          <t>Dodací doložka (Incoterm)</t>
        </is>
      </c>
      <c r="B10" s="4" t="inlineStr">
        <is>
          <t>CIF Praha (dle faktury a packing listu; pojistka DIC kryje trasu Qingdao → Praha)</t>
        </is>
      </c>
    </row>
    <row r="11">
      <c r="A11" s="3" t="inlineStr">
        <is>
          <t>Země původu</t>
        </is>
      </c>
      <c r="B11" s="4" t="inlineStr">
        <is>
          <t>Čína (CN) – MADE IN CHINA</t>
        </is>
      </c>
    </row>
    <row r="12">
      <c r="A12" s="3" t="inlineStr">
        <is>
          <t>Měna</t>
        </is>
      </c>
      <c r="B12" s="4" t="inlineStr">
        <is>
          <t>USD</t>
        </is>
      </c>
    </row>
    <row r="13">
      <c r="A13" s="3" t="inlineStr">
        <is>
          <t>Počet kusů / balení</t>
        </is>
      </c>
      <c r="B13" s="4" t="inlineStr">
        <is>
          <t>2 balení (PACKAGE NO. 1/2, 2/2), 0,62 CBM</t>
        </is>
      </c>
    </row>
    <row r="14">
      <c r="A14" s="3" t="inlineStr">
        <is>
          <t>Hrubá hmotnost celkem</t>
        </is>
      </c>
      <c r="B14" s="4" t="inlineStr">
        <is>
          <t>290 kg</t>
        </is>
      </c>
    </row>
    <row r="15">
      <c r="A15" s="3" t="inlineStr">
        <is>
          <t>Čistá hmotnost celkem</t>
        </is>
      </c>
      <c r="B15" s="4" t="inlineStr">
        <is>
          <t>260 kg</t>
        </is>
      </c>
    </row>
    <row r="17">
      <c r="A17" s="5" t="inlineStr">
        <is>
          <t>VSTUPY / PŘEDPOKLADY (modré = zadané hodnoty, žluté = k potvrzení)</t>
        </is>
      </c>
    </row>
    <row r="18">
      <c r="A18" s="3" t="inlineStr">
        <is>
          <t>Čistá hmotnost celkem dle packing listu (kg)</t>
        </is>
      </c>
      <c r="B18" s="6" t="n">
        <v>260</v>
      </c>
      <c r="C18" s="7" t="inlineStr">
        <is>
          <t>Packing list RCJX-2026041605A: NET WEIGHT 260 KGS</t>
        </is>
      </c>
    </row>
    <row r="19">
      <c r="A19" s="3" t="inlineStr">
        <is>
          <t>Hrubá hmotnost celkem dle packing listu (kg)</t>
        </is>
      </c>
      <c r="B19" s="6" t="n">
        <v>290</v>
      </c>
      <c r="C19" s="7" t="inlineStr">
        <is>
          <t>Packing list RCJX-2026041605A: GROSS WEIGHT 290 KGS</t>
        </is>
      </c>
    </row>
    <row r="20">
      <c r="A20" s="3" t="inlineStr">
        <is>
          <t>Odhad čisté hmotnosti FOC těsnění (kg)</t>
        </is>
      </c>
      <c r="B20" s="8" t="n">
        <v>0.1</v>
      </c>
      <c r="C20" s="7" t="inlineStr">
        <is>
          <t>Odhad Karla Fleyberka v e-mailu 12.05.2026: „To bude tak 10 dkg“ = cca 0,1 kg. K POTVRZENÍ.</t>
        </is>
      </c>
    </row>
    <row r="21">
      <c r="A21" s="3" t="inlineStr">
        <is>
          <t>Deklarovaná celní hodnota FOC položky (USD)</t>
        </is>
      </c>
      <c r="B21" s="9" t="n">
        <v>1</v>
      </c>
      <c r="C21" s="7" t="inlineStr">
        <is>
          <t>Pokyn příjemce přes Kamilu Levovou 30.06.2026: „pokud to nepůjde jinak dejte tam částku 1 dolar (toto zboží je zdarma)“.</t>
        </is>
      </c>
    </row>
    <row r="22">
      <c r="A22" s="3" t="inlineStr">
        <is>
          <t>Náklady na dopravu v ceně faktury (USD)</t>
        </is>
      </c>
      <c r="B22" s="10">
        <f>'Rozpad ceny'!G13</f>
        <v/>
      </c>
      <c r="C22" s="7" t="inlineStr">
        <is>
          <t>Přebírá se z listu Rozpad ceny.</t>
        </is>
      </c>
    </row>
    <row r="24">
      <c r="A24" s="5" t="inlineStr">
        <is>
          <t>JSD 1 – BĚŽNÉ CELNÍ PROHLÁŠENÍ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2" t="inlineStr">
        <is>
          <t>Odesílatel</t>
        </is>
      </c>
      <c r="B25" s="12" t="inlineStr">
        <is>
          <t>HS kód</t>
        </is>
      </c>
      <c r="C25" s="12" t="inlineStr">
        <is>
          <t>Popis (CZ)</t>
        </is>
      </c>
      <c r="D25" s="12" t="inlineStr">
        <is>
          <t>Množství</t>
        </is>
      </c>
      <c r="E25" s="12" t="inlineStr">
        <is>
          <t>Čistá hm. (kg)</t>
        </is>
      </c>
      <c r="F25" s="12" t="inlineStr">
        <is>
          <t>Hrubá hm. (kg)</t>
        </is>
      </c>
      <c r="G25" s="12" t="inlineStr">
        <is>
          <t>Cena zboží (USD)</t>
        </is>
      </c>
      <c r="H25" s="12" t="inlineStr">
        <is>
          <t>Podíl dopravy (USD)</t>
        </is>
      </c>
      <c r="I25" s="12" t="inlineStr">
        <is>
          <t>Celní hodnota (USD)</t>
        </is>
      </c>
      <c r="J25" s="12" t="inlineStr">
        <is>
          <t>CBAM</t>
        </is>
      </c>
      <c r="K25" s="12" t="inlineStr">
        <is>
          <t>Antidumping</t>
        </is>
      </c>
    </row>
    <row r="26">
      <c r="A26" s="13" t="inlineStr">
        <is>
          <t>Henan Rancheng Machinery Co., Ltd</t>
        </is>
      </c>
      <c r="B26" s="13" t="inlineStr">
        <is>
          <t>8431 43 00 90</t>
        </is>
      </c>
      <c r="C26" s="13" t="inlineStr">
        <is>
          <t>Části a součásti vrtacích nebo hloubicích strojů – vrtná hlava, integrované ovládání hlavy (rychloventil), adaptéry / ocel</t>
        </is>
      </c>
      <c r="D26" s="13">
        <f>SUMIFS('Rozpad ceny'!$D$6:$D$11,'Rozpad ceny'!$H$6:$H$11,$B26)</f>
        <v/>
      </c>
      <c r="E26" s="14">
        <f>ROUND(($B$18-$B$20)*$G26/SUM($G$26:$G$28),3)</f>
        <v/>
      </c>
      <c r="F26" s="14">
        <f>ROUND(($B$19-$B$20)*$G26/SUM($G$26:$G$28),3)</f>
        <v/>
      </c>
      <c r="G26" s="15">
        <f>SUMIFS('Rozpad ceny'!$G$6:$G$11,'Rozpad ceny'!$H$6:$H$11,$B26)</f>
        <v/>
      </c>
      <c r="H26" s="15">
        <f>ROUND($B$22*$G26/SUM($G$26:$G$28),2)</f>
        <v/>
      </c>
      <c r="I26" s="15">
        <f>$G26+$H26</f>
        <v/>
      </c>
      <c r="J26" s="13" t="inlineStr">
        <is>
          <t>Ne</t>
        </is>
      </c>
      <c r="K26" s="13" t="inlineStr">
        <is>
          <t>Neuplatňuje se – prověřit v TARIC</t>
        </is>
      </c>
    </row>
    <row r="27">
      <c r="A27" s="13" t="inlineStr">
        <is>
          <t>Henan Rancheng Machinery Co., Ltd</t>
        </is>
      </c>
      <c r="B27" s="13" t="inlineStr">
        <is>
          <t>8207 19 90 00</t>
        </is>
      </c>
      <c r="C27" s="13" t="inlineStr">
        <is>
          <t>Vyměnitelné nástroje na vrtání nebo sondáž při zemních pracích – reverzní kladivo, vnější průměr 220 mm / ocel</t>
        </is>
      </c>
      <c r="D27" s="13">
        <f>SUMIFS('Rozpad ceny'!$D$6:$D$11,'Rozpad ceny'!$H$6:$H$11,$B27)</f>
        <v/>
      </c>
      <c r="E27" s="14">
        <f>ROUND(($B$18-$B$20)*$G27/SUM($G$26:$G$28),3)</f>
        <v/>
      </c>
      <c r="F27" s="14">
        <f>ROUND(($B$19-$B$20)*$G27/SUM($G$26:$G$28),3)</f>
        <v/>
      </c>
      <c r="G27" s="15">
        <f>SUMIFS('Rozpad ceny'!$G$6:$G$11,'Rozpad ceny'!$H$6:$H$11,$B27)</f>
        <v/>
      </c>
      <c r="H27" s="15">
        <f>ROUND($B$22*$G27/SUM($G$26:$G$28),2)</f>
        <v/>
      </c>
      <c r="I27" s="15">
        <f>$G27+$H27</f>
        <v/>
      </c>
      <c r="J27" s="13" t="inlineStr">
        <is>
          <t>Ne</t>
        </is>
      </c>
      <c r="K27" s="13" t="inlineStr">
        <is>
          <t>Neuplatňuje se – prověřit v TARIC</t>
        </is>
      </c>
    </row>
    <row r="28">
      <c r="A28" s="13" t="inlineStr">
        <is>
          <t>Henan Rancheng Machinery Co., Ltd</t>
        </is>
      </c>
      <c r="B28" s="13" t="inlineStr">
        <is>
          <t>8481 30 91 99</t>
        </is>
      </c>
      <c r="C28" s="13" t="inlineStr">
        <is>
          <t>Zpětné ventily (klapky) z oceli</t>
        </is>
      </c>
      <c r="D28" s="13">
        <f>SUMIFS('Rozpad ceny'!$D$6:$D$11,'Rozpad ceny'!$H$6:$H$11,$B28)</f>
        <v/>
      </c>
      <c r="E28" s="14">
        <f>ROUND(($B$18-$B$20)*$G28/SUM($G$26:$G$28),3)</f>
        <v/>
      </c>
      <c r="F28" s="14">
        <f>ROUND(($B$19-$B$20)*$G28/SUM($G$26:$G$28),3)</f>
        <v/>
      </c>
      <c r="G28" s="15">
        <f>SUMIFS('Rozpad ceny'!$G$6:$G$11,'Rozpad ceny'!$H$6:$H$11,$B28)</f>
        <v/>
      </c>
      <c r="H28" s="15">
        <f>ROUND($B$22*$G28/SUM($G$26:$G$28),2)</f>
        <v/>
      </c>
      <c r="I28" s="15">
        <f>$G28+$H28</f>
        <v/>
      </c>
      <c r="J28" s="13" t="inlineStr">
        <is>
          <t>Ne</t>
        </is>
      </c>
      <c r="K28" s="13" t="inlineStr">
        <is>
          <t>Neuplatňuje se – prověřit v TARIC</t>
        </is>
      </c>
    </row>
    <row r="29">
      <c r="A29" s="16" t="n"/>
      <c r="B29" s="16" t="n"/>
      <c r="C29" s="17" t="inlineStr">
        <is>
          <t>JSD 1 CELKEM</t>
        </is>
      </c>
      <c r="D29" s="17">
        <f>SUM(D26:D28)</f>
        <v/>
      </c>
      <c r="E29" s="18">
        <f>SUM(E26:E28)</f>
        <v/>
      </c>
      <c r="F29" s="18">
        <f>SUM(F26:F28)</f>
        <v/>
      </c>
      <c r="G29" s="19">
        <f>SUM(G26:G28)</f>
        <v/>
      </c>
      <c r="H29" s="19">
        <f>SUM(H26:H28)</f>
        <v/>
      </c>
      <c r="I29" s="19">
        <f>SUM(I26:I28)</f>
        <v/>
      </c>
      <c r="J29" s="16" t="n"/>
      <c r="K29" s="16" t="n"/>
    </row>
    <row r="31">
      <c r="A31" s="5" t="inlineStr">
        <is>
          <t>JSD 2 – FOC (zboží zdarma)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2" t="inlineStr">
        <is>
          <t>Odesílatel</t>
        </is>
      </c>
      <c r="B32" s="12" t="inlineStr">
        <is>
          <t>HS kód</t>
        </is>
      </c>
      <c r="C32" s="12" t="inlineStr">
        <is>
          <t>Popis (CZ)</t>
        </is>
      </c>
      <c r="D32" s="12" t="inlineStr">
        <is>
          <t>Množství</t>
        </is>
      </c>
      <c r="E32" s="12" t="inlineStr">
        <is>
          <t>Čistá hm. (kg)</t>
        </is>
      </c>
      <c r="F32" s="12" t="inlineStr">
        <is>
          <t>Hrubá hm. (kg)</t>
        </is>
      </c>
      <c r="G32" s="12" t="inlineStr">
        <is>
          <t>Cena zboží (USD)</t>
        </is>
      </c>
      <c r="H32" s="12" t="inlineStr">
        <is>
          <t>Podíl dopravy (USD)</t>
        </is>
      </c>
      <c r="I32" s="12" t="inlineStr">
        <is>
          <t>Celní hodnota (USD)</t>
        </is>
      </c>
      <c r="J32" s="12" t="inlineStr">
        <is>
          <t>CBAM</t>
        </is>
      </c>
      <c r="K32" s="12" t="inlineStr">
        <is>
          <t>Antidumping</t>
        </is>
      </c>
    </row>
    <row r="33">
      <c r="A33" s="13" t="inlineStr">
        <is>
          <t>Henan Rancheng Machinery Co., Ltd</t>
        </is>
      </c>
      <c r="B33" s="13" t="inlineStr">
        <is>
          <t>4016 93 00 90</t>
        </is>
      </c>
      <c r="C33" s="13" t="inlineStr">
        <is>
          <t>Plochá těsnění, podložky a jiná těsnění z vulkanizovaného kaučuku – sada těsnění k vrtné hlavě (FOC)</t>
        </is>
      </c>
      <c r="D33" s="13">
        <f>SUMIFS('Rozpad ceny'!$D$6:$D$11,'Rozpad ceny'!$H$6:$H$11,$B33)</f>
        <v/>
      </c>
      <c r="E33" s="14">
        <f>$B$20</f>
        <v/>
      </c>
      <c r="F33" s="14">
        <f>$B$20</f>
        <v/>
      </c>
      <c r="G33" s="15">
        <f>SUMIFS('Rozpad ceny'!$G$6:$G$11,'Rozpad ceny'!$H$6:$H$11,$B33)</f>
        <v/>
      </c>
      <c r="H33" s="15" t="n">
        <v>0</v>
      </c>
      <c r="I33" s="15">
        <f>$B$21</f>
        <v/>
      </c>
      <c r="J33" s="13" t="inlineStr">
        <is>
          <t>Ne</t>
        </is>
      </c>
      <c r="K33" s="13" t="inlineStr">
        <is>
          <t>Neuplatňuje se – prověřit v TARIC</t>
        </is>
      </c>
    </row>
    <row r="34">
      <c r="A34" s="16" t="n"/>
      <c r="B34" s="16" t="n"/>
      <c r="C34" s="17" t="inlineStr">
        <is>
          <t>JSD 2 CELKEM</t>
        </is>
      </c>
      <c r="D34" s="17">
        <f>D33</f>
        <v/>
      </c>
      <c r="E34" s="18">
        <f>E33</f>
        <v/>
      </c>
      <c r="F34" s="18">
        <f>F33</f>
        <v/>
      </c>
      <c r="G34" s="19">
        <f>G33</f>
        <v/>
      </c>
      <c r="H34" s="19">
        <f>H33</f>
        <v/>
      </c>
      <c r="I34" s="19">
        <f>I33</f>
        <v/>
      </c>
      <c r="J34" s="16" t="n"/>
      <c r="K34" s="16" t="n"/>
    </row>
    <row r="36">
      <c r="A36" s="5" t="inlineStr">
        <is>
          <t>KONTROLA CELKOVÉ ČÁSTKY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20" t="inlineStr">
        <is>
          <t>Zboží + doprava dle rozpadu (JSD 1)</t>
        </is>
      </c>
      <c r="D37" s="21">
        <f>I29</f>
        <v/>
      </c>
    </row>
    <row r="38">
      <c r="A38" s="20" t="inlineStr">
        <is>
          <t>FOC položka – fakturovaná hodnota (0 USD)</t>
        </is>
      </c>
      <c r="D38" s="21">
        <f>G33</f>
        <v/>
      </c>
    </row>
    <row r="39">
      <c r="A39" s="3" t="inlineStr">
        <is>
          <t>Celkem fakturovaná hodnota zásilky (USD)</t>
        </is>
      </c>
      <c r="D39" s="21">
        <f>I29+G33</f>
        <v/>
      </c>
    </row>
    <row r="40">
      <c r="A40" s="20" t="inlineStr">
        <is>
          <t>Obchodní faktura RCJX-2026041605A (USD)</t>
        </is>
      </c>
      <c r="D40" s="21">
        <f>'Rozpad ceny'!G15</f>
        <v/>
      </c>
    </row>
    <row r="41">
      <c r="A41" s="3" t="inlineStr">
        <is>
          <t>Rozdíl</t>
        </is>
      </c>
      <c r="D41" s="21">
        <f>(I29+G33)-'Rozpad ceny'!G15</f>
        <v/>
      </c>
    </row>
    <row r="42">
      <c r="A42" s="3" t="inlineStr">
        <is>
          <t>VÝSLEDEK KONTROLY</t>
        </is>
      </c>
      <c r="D42" s="22">
        <f>IF(ROUND(D41,2)=0,"OK – součet položek přesně odpovídá faktuře USD 3 960","NESOUHLASÍ – prověřit")</f>
        <v/>
      </c>
      <c r="E42" s="23" t="n"/>
      <c r="F42" s="23" t="n"/>
      <c r="G42" s="23" t="n"/>
      <c r="H42" s="23" t="n"/>
      <c r="I42" s="24" t="n"/>
    </row>
    <row r="43">
      <c r="A43" s="7" t="inlineStr">
        <is>
          <t>Kontrolní součet pojistky (DIC): USD 4 356 = 110 % z USD 3 960</t>
        </is>
      </c>
      <c r="D43" s="10">
        <f>ROUND('Rozpad ceny'!G15*1.1,2)</f>
        <v/>
      </c>
    </row>
    <row r="45">
      <c r="A45" s="5" t="inlineStr">
        <is>
          <t>DŮLEŽITÉ POZNÁMKY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 ht="46" customHeight="1">
      <c r="A46" s="25" t="inlineStr">
        <is>
          <t>PREFERENČNÍ PŮVOD – preferenční věta NENALEZENA</t>
        </is>
      </c>
      <c r="B46" s="4" t="inlineStr">
        <is>
          <t>V obchodní faktuře, packing listu ani v e-mailové komunikaci NENÍ uvedena preferenční věta (prohlášení o preferenčním původu). Země původu je Čína – EU nemá s Čínou preferenční dohodu, preferenční sazba tedy nepřichází v úvahu. Uplatní se standardní třetizemní (erga omnes) celní sazba. Sazby ověřit v TARIC k datu propuštění.</t>
        </is>
      </c>
    </row>
    <row r="47" ht="46" customHeight="1">
      <c r="A47" s="25" t="inlineStr">
        <is>
          <t>Chybějící HS kód – Quick fast valve</t>
        </is>
      </c>
      <c r="B47" s="4" t="inlineStr">
        <is>
          <t>Tabulka sazebního zařazení od tarifního oddělení (Markéta Navrátilová, 13.05.2026) NEMÁ u položky 2 „Quick fast valve“ (400 USD) vyplněný HS kód. Zde zařazeno k 8431 43 00 90 jako součást hlavy. NUTNO POTVRDIT před podáním JSD.</t>
        </is>
      </c>
    </row>
    <row r="48" ht="46" customHeight="1">
      <c r="A48" s="25" t="inlineStr">
        <is>
          <t>Rozpad hmotností je odhad</t>
        </is>
      </c>
      <c r="B48" s="4" t="inlineStr">
        <is>
          <t>Packing list uvádí pouze součtové hmotnosti (260 kg net / 290 kg gross). Per-item hmotnosti nikdo nedodal – Eva Hralová o ně žádala 19.06.2026, odpověď v komunikaci není. Rozpad na HS kódy je zde proveden POMĚREM K HODNOTĚ ZBOŽÍ, což je pouze provizorní klíč – vrtná hlava je fyzicky výrazně těžší, než odpovídá jejímu podílu na hodnotě. Doporučuji vyžádat skutečné hmotnosti.</t>
        </is>
      </c>
    </row>
    <row r="49" ht="46" customHeight="1">
      <c r="A49" s="3" t="inlineStr">
        <is>
          <t>Doprava v celní hodnotě</t>
        </is>
      </c>
      <c r="B49" s="4" t="inlineStr">
        <is>
          <t>Faktura je CIF Praha, tj. částka 3 960 USD již obsahuje 250 USD za námořní LCL dopravu. Doprava je zde rozpuštěna do celní hodnoty poměrem k hodnotě zboží. Zboží vstoupilo do EU v Bremerhavenu (T1 26DE245296473362J8) – pokud by se uplatňoval odpočet dopravy na území EU, je nutné vyžádat rozpad 250 USD na úsek mimo EU / v EU. Tuzemská doprava MW (5 500 CZK, e-mail K. Fleyberk) se do celní hodnoty nezahrnuje.</t>
        </is>
      </c>
    </row>
    <row r="50" ht="46" customHeight="1">
      <c r="A50" s="3" t="inlineStr">
        <is>
          <t>CBAM</t>
        </is>
      </c>
      <c r="B50" s="4" t="inlineStr">
        <is>
          <t>Neuplatňuje se. Položky spadají do kapitol 40, 82, 84 – ty nejsou uvedeny v příloze I nařízení o CBAM (železo a ocel kap. 72/73, hliník 76, cement, hnojiva, elektřina, vodík).</t>
        </is>
      </c>
    </row>
    <row r="51" ht="46" customHeight="1">
      <c r="A51" s="3" t="inlineStr">
        <is>
          <t>Antidumping</t>
        </is>
      </c>
      <c r="B51" s="4" t="inlineStr">
        <is>
          <t>U kódů 8431 43 00 90, 8207 19 90 00, 8481 30 91 99 ani 4016 93 00 90 nejsou známa antidumpingová opatření vůči Číně. Před podáním JSD ověřit aktuální stav v TARIC (původ CN).</t>
        </is>
      </c>
    </row>
    <row r="52" ht="46" customHeight="1">
      <c r="A52" s="3" t="inlineStr">
        <is>
          <t>Dvě JSD</t>
        </is>
      </c>
      <c r="B52" s="4" t="inlineStr">
        <is>
          <t>Rozdělení potvrzeno Kamilou Levovou 22.06.2026: „potvrzeno, 2x JSD“. FOC položka = HS 4016 93 00 90 (sada těsnění). Alternativa preferovaná příjemcem: uvést těsnění jako součást vrtné hlavy a podat jedno JSD.</t>
        </is>
      </c>
    </row>
  </sheetData>
  <mergeCells count="20">
    <mergeCell ref="B49:K49"/>
    <mergeCell ref="B7:I7"/>
    <mergeCell ref="B51:K51"/>
    <mergeCell ref="B12:I12"/>
    <mergeCell ref="B50:K50"/>
    <mergeCell ref="B11:I11"/>
    <mergeCell ref="B14:I14"/>
    <mergeCell ref="B47:K47"/>
    <mergeCell ref="B8:I8"/>
    <mergeCell ref="B13:I13"/>
    <mergeCell ref="B46:K46"/>
    <mergeCell ref="D42:I42"/>
    <mergeCell ref="B52:K52"/>
    <mergeCell ref="B10:I10"/>
    <mergeCell ref="B48:K48"/>
    <mergeCell ref="B9:I9"/>
    <mergeCell ref="B15:I15"/>
    <mergeCell ref="B6:I6"/>
    <mergeCell ref="B5:I5"/>
    <mergeCell ref="B4:I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9" customWidth="1" min="4" max="4"/>
    <col width="6" customWidth="1" min="5" max="5"/>
    <col width="13" customWidth="1" min="6" max="6"/>
    <col width="15" customWidth="1" min="7" max="7"/>
    <col width="16" customWidth="1" min="8" max="8"/>
    <col width="15" customWidth="1" min="9" max="9"/>
    <col width="58" customWidth="1" min="10" max="10"/>
  </cols>
  <sheetData>
    <row r="1">
      <c r="A1" s="1" t="inlineStr">
        <is>
          <t>Rozpad fakturované částky na jednotlivé položky</t>
        </is>
      </c>
    </row>
    <row r="2">
      <c r="A2" s="26" t="inlineStr">
        <is>
          <t>Kovář (Studnařství Kovář s.r.o.) / zásilka 576188 – faktura RCJX-2026041605A ze dne 14.05.2026</t>
        </is>
      </c>
    </row>
    <row r="3">
      <c r="A3" s="27" t="inlineStr">
        <is>
          <t>Ceny nejsou na faktuře rozepsané (faktura zní na 1 SET / USD 3960). Rozpad níže je převzatý z e-mailové komunikace s dodavatelem (Tina, Henan Rancheng Machinery).</t>
        </is>
      </c>
    </row>
    <row r="5">
      <c r="A5" s="12" t="inlineStr">
        <is>
          <t>#</t>
        </is>
      </c>
      <c r="B5" s="12" t="inlineStr">
        <is>
          <t>Položka dle faktury / e-mailu</t>
        </is>
      </c>
      <c r="C5" s="12" t="inlineStr">
        <is>
          <t>Popis (CZ)</t>
        </is>
      </c>
      <c r="D5" s="12" t="inlineStr">
        <is>
          <t>Množství</t>
        </is>
      </c>
      <c r="E5" s="12" t="inlineStr">
        <is>
          <t>MJ</t>
        </is>
      </c>
      <c r="F5" s="12" t="inlineStr">
        <is>
          <t>Jedn. cena (USD)</t>
        </is>
      </c>
      <c r="G5" s="12" t="inlineStr">
        <is>
          <t>Cena celkem (USD)</t>
        </is>
      </c>
      <c r="H5" s="12" t="inlineStr">
        <is>
          <t>HS kód</t>
        </is>
      </c>
      <c r="I5" s="12" t="inlineStr">
        <is>
          <t>JSD</t>
        </is>
      </c>
      <c r="J5" s="12" t="inlineStr">
        <is>
          <t>Zdroj ceny (e-mail)</t>
        </is>
      </c>
    </row>
    <row r="6">
      <c r="A6" s="13" t="n">
        <v>1</v>
      </c>
      <c r="B6" s="13" t="inlineStr">
        <is>
          <t>Power head</t>
        </is>
      </c>
      <c r="C6" s="13" t="inlineStr">
        <is>
          <t>Vrtná hlava / ocel, pro vrtnou soupravu RCF260C, pro vrtné trubky prům. 89 mm, závit 76-series, připojení 2 3/8 REG</t>
        </is>
      </c>
      <c r="D6" s="28" t="n">
        <v>1</v>
      </c>
      <c r="E6" s="13" t="inlineStr">
        <is>
          <t>ks</t>
        </is>
      </c>
      <c r="F6" s="29" t="n">
        <v>2380</v>
      </c>
      <c r="G6" s="15">
        <f>D6*F6</f>
        <v/>
      </c>
      <c r="H6" s="13" t="inlineStr">
        <is>
          <t>8431 43 00 90</t>
        </is>
      </c>
      <c r="I6" s="13" t="inlineStr">
        <is>
          <t>JSD 1 – běžné</t>
        </is>
      </c>
      <c r="J6" s="30" t="inlineStr">
        <is>
          <t>Tina (Henan Rancheng): „USD2,380 (Power Head)“ / „2 380 USD (Hydraulická hlava)“</t>
        </is>
      </c>
    </row>
    <row r="7">
      <c r="A7" s="13" t="n">
        <v>2</v>
      </c>
      <c r="B7" s="13" t="inlineStr">
        <is>
          <t>Quick fast valve</t>
        </is>
      </c>
      <c r="C7" s="13" t="inlineStr">
        <is>
          <t>Integrované ovládání vrtné hlavy, namontované přímo na hlavě, napojené na hydraulické vedení, určené jen k řízení otáček hydromotoru této hlavy</t>
        </is>
      </c>
      <c r="D7" s="28" t="n">
        <v>1</v>
      </c>
      <c r="E7" s="13" t="inlineStr">
        <is>
          <t>ks</t>
        </is>
      </c>
      <c r="F7" s="29" t="n">
        <v>400</v>
      </c>
      <c r="G7" s="15">
        <f>D7*F7</f>
        <v/>
      </c>
      <c r="H7" s="13" t="inlineStr">
        <is>
          <t>8431 43 00 90</t>
        </is>
      </c>
      <c r="I7" s="13" t="inlineStr">
        <is>
          <t>JSD 1 – běžné</t>
        </is>
      </c>
      <c r="J7" s="30" t="inlineStr">
        <is>
          <t>Tina: „USD400 (Quick Valve)“ / „400 USD (Rychloventil)“</t>
        </is>
      </c>
    </row>
    <row r="8">
      <c r="A8" s="13" t="n">
        <v>3</v>
      </c>
      <c r="B8" s="13" t="inlineStr">
        <is>
          <t>Reverse-Acting Impactor 220 mm</t>
        </is>
      </c>
      <c r="C8" s="13" t="inlineStr">
        <is>
          <t>Reverzní kladivo – při průchodu vzduchu vytváří rázy směrem nahoru, aby se uvolnilo zaseknuté nářadí ze země / ocel</t>
        </is>
      </c>
      <c r="D8" s="28" t="n">
        <v>1</v>
      </c>
      <c r="E8" s="13" t="inlineStr">
        <is>
          <t>ks</t>
        </is>
      </c>
      <c r="F8" s="29" t="n">
        <v>730</v>
      </c>
      <c r="G8" s="15">
        <f>D8*F8</f>
        <v/>
      </c>
      <c r="H8" s="13" t="inlineStr">
        <is>
          <t>8207 19 90 00</t>
        </is>
      </c>
      <c r="I8" s="13" t="inlineStr">
        <is>
          <t>JSD 1 – běžné</t>
        </is>
      </c>
      <c r="J8" s="30" t="inlineStr">
        <is>
          <t>Tina: „USD730 (220mm OD Reverse Circulation Hammer)“; potvrzeno p. Kovářem: „Chtěl bych 220mm (730 usd)“</t>
        </is>
      </c>
    </row>
    <row r="9">
      <c r="A9" s="13" t="n">
        <v>4</v>
      </c>
      <c r="B9" s="13" t="inlineStr">
        <is>
          <t>Check valves</t>
        </is>
      </c>
      <c r="C9" s="13" t="inlineStr">
        <is>
          <t>Zpětný ventil – klapka; propojení ve vrtné sestavě a zabránění zpětnému proudění vzduchu do hlavy / ocel</t>
        </is>
      </c>
      <c r="D9" s="28" t="n">
        <v>2</v>
      </c>
      <c r="E9" s="13" t="inlineStr">
        <is>
          <t>ks</t>
        </is>
      </c>
      <c r="F9" s="29" t="n">
        <v>50</v>
      </c>
      <c r="G9" s="15">
        <f>D9*F9</f>
        <v/>
      </c>
      <c r="H9" s="13" t="inlineStr">
        <is>
          <t>8481 30 91 99</t>
        </is>
      </c>
      <c r="I9" s="13" t="inlineStr">
        <is>
          <t>JSD 1 – běžné</t>
        </is>
      </c>
      <c r="J9" s="30" t="inlineStr">
        <is>
          <t>Tina: „USD100 (2 Check Valves)“ → 50 USD/ks</t>
        </is>
      </c>
    </row>
    <row r="10">
      <c r="A10" s="13" t="n">
        <v>5</v>
      </c>
      <c r="B10" s="13" t="inlineStr">
        <is>
          <t>Adapter</t>
        </is>
      </c>
      <c r="C10" s="13" t="inlineStr">
        <is>
          <t>Prodloužení k vrtné hlavě, aby se opotřebovával vyměnitelný závit v adaptéru a ne závit v hlavě / ocel</t>
        </is>
      </c>
      <c r="D10" s="28" t="n">
        <v>2</v>
      </c>
      <c r="E10" s="13" t="inlineStr">
        <is>
          <t>ks</t>
        </is>
      </c>
      <c r="F10" s="29" t="n">
        <v>50</v>
      </c>
      <c r="G10" s="15">
        <f>D10*F10</f>
        <v/>
      </c>
      <c r="H10" s="13" t="inlineStr">
        <is>
          <t>8431 43 00 90</t>
        </is>
      </c>
      <c r="I10" s="13" t="inlineStr">
        <is>
          <t>JSD 1 – běžné</t>
        </is>
      </c>
      <c r="J10" s="30" t="inlineStr">
        <is>
          <t>Tina: „cena za dva adaptéry je 100 dolarů; cena za jeden adaptér je 50 dolarů … konečná částka se zvýšila na 3 960 dolarů“</t>
        </is>
      </c>
    </row>
    <row r="11">
      <c r="A11" s="13" t="n">
        <v>6</v>
      </c>
      <c r="B11" s="13" t="inlineStr">
        <is>
          <t>One set accessories for power head</t>
        </is>
      </c>
      <c r="C11" s="13" t="inlineStr">
        <is>
          <t>Těsnění, aby netekl olej z hlavy (O-kroužky / gufera) – z vulkanizovaného kaučuku</t>
        </is>
      </c>
      <c r="D11" s="28" t="n">
        <v>1</v>
      </c>
      <c r="E11" s="13" t="inlineStr">
        <is>
          <t>sada</t>
        </is>
      </c>
      <c r="F11" s="29" t="n">
        <v>0</v>
      </c>
      <c r="G11" s="15">
        <f>D11*F11</f>
        <v/>
      </c>
      <c r="H11" s="13" t="inlineStr">
        <is>
          <t>4016 93 00 90</t>
        </is>
      </c>
      <c r="I11" s="13" t="inlineStr">
        <is>
          <t>JSD 2 – FOC</t>
        </is>
      </c>
      <c r="J11" s="30" t="inlineStr">
        <is>
          <t>Tina: „1 Set of Free Power Head Accessories“ – zdarma (FOC)</t>
        </is>
      </c>
    </row>
    <row r="12">
      <c r="A12" s="16" t="n"/>
      <c r="B12" s="17" t="inlineStr">
        <is>
          <t>Zboží celkem</t>
        </is>
      </c>
      <c r="C12" s="16" t="n"/>
      <c r="D12" s="16" t="n"/>
      <c r="E12" s="16" t="n"/>
      <c r="F12" s="16" t="n"/>
      <c r="G12" s="19">
        <f>SUM(G6:G11)</f>
        <v/>
      </c>
      <c r="H12" s="16" t="n"/>
      <c r="I12" s="16" t="n"/>
      <c r="J12" s="16" t="n"/>
    </row>
    <row r="13">
      <c r="A13" s="31" t="n"/>
      <c r="B13" s="13" t="inlineStr">
        <is>
          <t>Doprava (námořní LCL Qingdao → Praha)</t>
        </is>
      </c>
      <c r="C13" s="13" t="inlineStr">
        <is>
          <t>Náklady na dopravu zahrnuté v ceně na faktuře (dodací doložka CIF)</t>
        </is>
      </c>
      <c r="D13" s="31" t="n"/>
      <c r="E13" s="31" t="n"/>
      <c r="F13" s="29" t="n">
        <v>250</v>
      </c>
      <c r="G13" s="15">
        <f>F13</f>
        <v/>
      </c>
      <c r="H13" s="31" t="n"/>
      <c r="I13" s="13" t="inlineStr">
        <is>
          <t>JSD 1 – běžné</t>
        </is>
      </c>
      <c r="J13" s="30" t="inlineStr">
        <is>
          <t>Tina: „USD250 (Shipping Cost)“ – „Ano, 250 USD pokrývá přepravu zboží přepravou LCL … do přístavu Praha“</t>
        </is>
      </c>
    </row>
    <row r="14">
      <c r="A14" s="32" t="n"/>
      <c r="B14" s="33" t="inlineStr">
        <is>
          <t>CELKEM dle rozpadu (USD)</t>
        </is>
      </c>
      <c r="C14" s="32" t="n"/>
      <c r="D14" s="32" t="n"/>
      <c r="E14" s="32" t="n"/>
      <c r="F14" s="32" t="n"/>
      <c r="G14" s="34">
        <f>G12+G13</f>
        <v/>
      </c>
      <c r="H14" s="32" t="n"/>
      <c r="I14" s="32" t="n"/>
      <c r="J14" s="32" t="n"/>
    </row>
    <row r="15">
      <c r="A15" s="32" t="n"/>
      <c r="B15" s="33" t="inlineStr">
        <is>
          <t>CELKEM dle obchodní faktury (USD)</t>
        </is>
      </c>
      <c r="C15" s="32" t="n"/>
      <c r="D15" s="32" t="n"/>
      <c r="E15" s="32" t="n"/>
      <c r="F15" s="32" t="n"/>
      <c r="G15" s="35" t="n">
        <v>3960</v>
      </c>
      <c r="H15" s="32" t="n"/>
      <c r="I15" s="32" t="n"/>
      <c r="J15" s="32" t="n"/>
    </row>
    <row r="16">
      <c r="A16" s="36" t="n"/>
      <c r="B16" s="22" t="inlineStr">
        <is>
          <t>KONTROLA (rozpad vs. faktura)</t>
        </is>
      </c>
      <c r="C16" s="36" t="n"/>
      <c r="D16" s="36" t="n"/>
      <c r="E16" s="36" t="n"/>
      <c r="F16" s="36" t="n"/>
      <c r="G16" s="37">
        <f>G14-G15</f>
        <v/>
      </c>
      <c r="H16" s="22">
        <f>IF(ROUND(G14-G15,2)=0,"OK – rozpad souhlasí s fakturou","NESOUHLASÍ – prověřit")</f>
        <v/>
      </c>
      <c r="I16" s="36" t="n"/>
      <c r="J16" s="36" t="n"/>
    </row>
    <row r="18">
      <c r="A18" s="3" t="inlineStr">
        <is>
          <t>Vývoj ceny v e-mailové komunikaci (doklad, jak se dospělo k částce 3 960 USD):</t>
        </is>
      </c>
    </row>
    <row r="19">
      <c r="A19" t="inlineStr">
        <is>
          <t>•</t>
        </is>
      </c>
      <c r="B19" s="20" t="inlineStr">
        <is>
          <t>USD 2 880 = 2 380 (power head) + 400 (quick valve) + 100 (2 check valves) + 1 sada příslušenství k hlavě zdarma</t>
        </is>
      </c>
    </row>
    <row r="20">
      <c r="A20" t="inlineStr">
        <is>
          <t>•</t>
        </is>
      </c>
      <c r="B20" s="20" t="inlineStr">
        <is>
          <t>USD 3 610 = 2 880 + 730 (reverzní kladivo, vnější průměr 220 mm) – zvoleno p. Kovářem</t>
        </is>
      </c>
    </row>
    <row r="21">
      <c r="A21" t="inlineStr">
        <is>
          <t>•</t>
        </is>
      </c>
      <c r="B21" s="20" t="inlineStr">
        <is>
          <t>USD 3 860 = 3 610 + 250 (námořní LCL doprava do Prahy; expresní varianta byla 2 885 USD)</t>
        </is>
      </c>
    </row>
    <row r="22">
      <c r="A22" t="inlineStr">
        <is>
          <t>•</t>
        </is>
      </c>
      <c r="B22" s="20" t="inlineStr">
        <is>
          <t>USD 3 960 = 3 860 + 100 (2 adaptéry á 50 USD, doobjednané) → částka na obchodní faktuře RCJX-2026041605A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2026-08-10T09:40:14Z</dcterms:created>
  <dcterms:modified xsi:type="dcterms:W3CDTF">2026-08-10T09:40:14Z</dcterms:modified>
</cp:coreProperties>
</file>