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843C0C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843C0C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40" customWidth="1" min="3" max="3"/>
    <col width="14" customWidth="1" min="4" max="4"/>
    <col width="14" customWidth="1" min="5" max="5"/>
    <col width="13" customWidth="1" min="6" max="6"/>
    <col width="16" customWidth="1" min="7" max="7"/>
    <col width="13" customWidth="1" min="8" max="8"/>
    <col width="7" customWidth="1" min="9" max="9"/>
    <col width="11" customWidth="1" min="10" max="10"/>
    <col width="46" customWidth="1" min="11" max="11"/>
  </cols>
  <sheetData>
    <row r="1" ht="26" customHeight="1">
      <c r="A1" s="1" t="inlineStr">
        <is>
          <t>HS CODE SUMMARY — Fine Promo s.r.o. — Shipment FP-02 (OR CZ26008696)</t>
        </is>
      </c>
    </row>
    <row r="2">
      <c r="A2" s="2" t="inlineStr">
        <is>
          <t>Client:</t>
        </is>
      </c>
      <c r="B2" s="3" t="inlineStr">
        <is>
          <t>Fine Promo s.r.o., Na Šťáhlavce 1105/16, 160 00 Praha 6, CZ</t>
        </is>
      </c>
    </row>
    <row r="3">
      <c r="A3" s="2" t="inlineStr">
        <is>
          <t>Shipment / Ref:</t>
        </is>
      </c>
      <c r="B3" s="3" t="inlineStr">
        <is>
          <t>FP-02  ·  OR CZ26008696  ·  Container MRSU3449223 (1×40HQ, CY-CY, consolidated — 3 senders / 3 BOLs)</t>
        </is>
      </c>
    </row>
    <row r="4">
      <c r="A4" s="2" t="inlineStr">
        <is>
          <t>Route:</t>
        </is>
      </c>
      <c r="B4" s="3" t="inlineStr">
        <is>
          <t>Dalian, China → Bremerhaven, Germany (ETA 29/07) → Mělník, CZ  ·  JSD přes Mělník (Maersk)  ·  Freight COLLECT</t>
        </is>
      </c>
    </row>
    <row r="5">
      <c r="A5" s="2" t="inlineStr">
        <is>
          <t>Incoterm:</t>
        </is>
      </c>
      <c r="B5" s="3" t="inlineStr">
        <is>
          <t>FCA / FOB Dalian (all senders ex Dalian; see per-row Incoterm column)</t>
        </is>
      </c>
    </row>
    <row r="6">
      <c r="A6" s="2" t="inlineStr">
        <is>
          <t>Currency:</t>
        </is>
      </c>
      <c r="B6" s="3" t="inlineStr">
        <is>
          <t>USD (all invoices)</t>
        </is>
      </c>
    </row>
    <row r="7">
      <c r="A7" s="2" t="inlineStr">
        <is>
          <t>Country of origin:</t>
        </is>
      </c>
      <c r="B7" s="3" t="inlineStr">
        <is>
          <t>China (all goods) — Made in China</t>
        </is>
      </c>
    </row>
    <row r="8">
      <c r="A8" s="2" t="inlineStr">
        <is>
          <t>Prepared:</t>
        </is>
      </c>
      <c r="B8" s="3" t="inlineStr">
        <is>
          <t>2026-07-22</t>
        </is>
      </c>
    </row>
    <row r="9" ht="44" customHeight="1">
      <c r="A9" s="4" t="inlineStr">
        <is>
          <t>⚠  PREFERENČNÍ VĚTA / PREFERENTIAL ORIGIN — none present. All goods are of Chinese origin; China has no preferential agreement with the EU for these goods, so the STANDARD third-country (MFN/erga omnes) duty applies at clearance. No preferential-origin declaration was found in any invoice — none is expected for CN origin.</t>
        </is>
      </c>
    </row>
    <row r="11" ht="32" customHeight="1">
      <c r="A11" s="5" t="inlineStr">
        <is>
          <t>Sender (odesílatel)</t>
        </is>
      </c>
      <c r="B11" s="5" t="inlineStr">
        <is>
          <t>HS code</t>
        </is>
      </c>
      <c r="C11" s="5" t="inlineStr">
        <is>
          <t>Description (CZ prioritised)</t>
        </is>
      </c>
      <c r="D11" s="5" t="inlineStr">
        <is>
          <t>Net weight (kg)</t>
        </is>
      </c>
      <c r="E11" s="5" t="inlineStr">
        <is>
          <t>Gross weight (kg)</t>
        </is>
      </c>
      <c r="F11" s="5" t="inlineStr">
        <is>
          <t>Quantity</t>
        </is>
      </c>
      <c r="G11" s="5" t="inlineStr">
        <is>
          <t>Customs value (USD)</t>
        </is>
      </c>
      <c r="H11" s="5" t="inlineStr">
        <is>
          <t>Incoterm</t>
        </is>
      </c>
      <c r="I11" s="5" t="inlineStr">
        <is>
          <t>CBAM</t>
        </is>
      </c>
      <c r="J11" s="5" t="inlineStr">
        <is>
          <t>Antidumping</t>
        </is>
      </c>
      <c r="K11" s="5" t="inlineStr">
        <is>
          <t>Notes</t>
        </is>
      </c>
    </row>
    <row r="12" ht="46" customHeight="1">
      <c r="A12" s="6" t="inlineStr">
        <is>
          <t>Dalian Tobys Toy Co., Ltd
(sandy@tobystoy.com)</t>
        </is>
      </c>
      <c r="B12" s="7" t="inlineStr">
        <is>
          <t>9503 00</t>
        </is>
      </c>
      <c r="C12" s="6" t="inlineStr">
        <is>
          <t>Plyšový jezdicí kůň — hračka (animal ride-on toy)</t>
        </is>
      </c>
      <c r="D12" s="8" t="n">
        <v>4664.8</v>
      </c>
      <c r="E12" s="8" t="n">
        <v>5414.7</v>
      </c>
      <c r="F12" s="9" t="inlineStr">
        <is>
          <t>452 pcs</t>
        </is>
      </c>
      <c r="G12" s="10" t="n">
        <v>43200.1</v>
      </c>
      <c r="H12" s="11" t="inlineStr">
        <is>
          <t>FOB Dalian</t>
        </is>
      </c>
      <c r="I12" s="11" t="inlineStr">
        <is>
          <t>No</t>
        </is>
      </c>
      <c r="J12" s="11" t="inlineStr">
        <is>
          <t>No</t>
        </is>
      </c>
      <c r="K12" s="12" t="inlineStr">
        <is>
          <t>Shipping mark: PONNIE. Invoice DLC26060401 (4.6.2026). BOL HS 950300 ✓ matches agent instruction ("jako vždy").</t>
        </is>
      </c>
    </row>
    <row r="13" ht="46" customHeight="1">
      <c r="A13" s="13" t="inlineStr">
        <is>
          <t>Zhongshan Peakeen Gifts
Supply Chain Co., Ltd
(coco@peakeen.com)</t>
        </is>
      </c>
      <c r="B13" s="14" t="inlineStr">
        <is>
          <t>5807 10 90</t>
        </is>
      </c>
      <c r="C13" s="13" t="inlineStr">
        <is>
          <t>Kokardy — mašle / textilní kokarda (rozeta) pro koně s kovovým středovým odznakem</t>
        </is>
      </c>
      <c r="D13" s="15" t="n">
        <v>23.75</v>
      </c>
      <c r="E13" s="15" t="n">
        <v>24.35</v>
      </c>
      <c r="F13" s="16" t="inlineStr">
        <is>
          <t>1 800 pcs</t>
        </is>
      </c>
      <c r="G13" s="17" t="n">
        <v>540</v>
      </c>
      <c r="H13" s="18" t="inlineStr">
        <is>
          <t>FOB Dalian</t>
        </is>
      </c>
      <c r="I13" s="18" t="inlineStr">
        <is>
          <t>No</t>
        </is>
      </c>
      <c r="J13" s="18" t="inlineStr">
        <is>
          <t>No</t>
        </is>
      </c>
      <c r="K13" s="19" t="inlineStr">
        <is>
          <t>胸花 / ROSETTES. Invoice VHYGF48 (8.4.2026). HS per agent email — OVERRIDES shipper BOL code 6215 20.</t>
        </is>
      </c>
    </row>
    <row r="14" ht="46" customHeight="1">
      <c r="A14" s="13" t="inlineStr">
        <is>
          <t>Zhongshan Peakeen Gifts
Supply Chain Co., Ltd
(coco@peakeen.com)</t>
        </is>
      </c>
      <c r="B14" s="14" t="inlineStr">
        <is>
          <t>9615 90 00</t>
        </is>
      </c>
      <c r="C14" s="13" t="inlineStr">
        <is>
          <t>Gumičky do vlasů — vlasové doplňky (sponky, jehlice, natáčky a podobné výrobky, jinde neuvedené)</t>
        </is>
      </c>
      <c r="D14" s="15" t="n">
        <v>56</v>
      </c>
      <c r="E14" s="15" t="n">
        <v>62</v>
      </c>
      <c r="F14" s="16" t="inlineStr">
        <is>
          <t>70 bags (袋)</t>
        </is>
      </c>
      <c r="G14" s="17" t="n">
        <v>350</v>
      </c>
      <c r="H14" s="18" t="inlineStr">
        <is>
          <t>FOB Dalian</t>
        </is>
      </c>
      <c r="I14" s="18" t="inlineStr">
        <is>
          <t>No</t>
        </is>
      </c>
      <c r="J14" s="18" t="inlineStr">
        <is>
          <t>No</t>
        </is>
      </c>
      <c r="K14" s="19" t="inlineStr">
        <is>
          <t>橡皮筋 / HAIR BANDS. Invoice VHYGF48. HS per agent email — OVERRIDES shipper BOL code 3926 90. Qty unit = bags.</t>
        </is>
      </c>
    </row>
    <row r="15" ht="46" customHeight="1">
      <c r="A15" s="20" t="inlineStr">
        <is>
          <t>Jiangsu Laoshu Pet
Products Co., Ltd
(sean@histotreepet.com /
kjj@yzyingte.com.cn)</t>
        </is>
      </c>
      <c r="B15" s="21" t="inlineStr">
        <is>
          <t>9603 90 91</t>
        </is>
      </c>
      <c r="C15" s="20" t="inlineStr">
        <is>
          <t>Kartáče — dřevěný základ a štětiny (pet brushes)</t>
        </is>
      </c>
      <c r="D15" s="22" t="n">
        <v>131.75</v>
      </c>
      <c r="E15" s="22" t="n">
        <v>136.15</v>
      </c>
      <c r="F15" s="23" t="inlineStr">
        <is>
          <t>3 100 pcs</t>
        </is>
      </c>
      <c r="G15" s="24" t="n">
        <v>1736</v>
      </c>
      <c r="H15" s="25" t="inlineStr">
        <is>
          <t>FOB Dalian</t>
        </is>
      </c>
      <c r="I15" s="25" t="inlineStr">
        <is>
          <t>No</t>
        </is>
      </c>
      <c r="J15" s="25" t="inlineStr">
        <is>
          <t>No</t>
        </is>
      </c>
      <c r="K15" s="26" t="inlineStr">
        <is>
          <t>Invoice 26022604 (26.5.2026), lines 1+3 ("pet comb" @ $0.59 &amp; $0.53). ⚠ ASSUMED split — see note below table.</t>
        </is>
      </c>
    </row>
    <row r="16" ht="46" customHeight="1">
      <c r="A16" s="20" t="inlineStr">
        <is>
          <t>Jiangsu Laoshu Pet
Products Co., Ltd
(sean@histotreepet.com /
kjj@yzyingte.com.cn)</t>
        </is>
      </c>
      <c r="B16" s="21" t="inlineStr">
        <is>
          <t>9615 19 00</t>
        </is>
      </c>
      <c r="C16" s="20" t="inlineStr">
        <is>
          <t>Hřeben pro psy — dřevěné madlo a kovové zuby (dog comb)</t>
        </is>
      </c>
      <c r="D16" s="22" t="n">
        <v>163.68</v>
      </c>
      <c r="E16" s="22" t="n">
        <v>196.05</v>
      </c>
      <c r="F16" s="23" t="inlineStr">
        <is>
          <t>1 550 pcs</t>
        </is>
      </c>
      <c r="G16" s="24" t="n">
        <v>2945</v>
      </c>
      <c r="H16" s="25" t="inlineStr">
        <is>
          <t>FOB Dalian</t>
        </is>
      </c>
      <c r="I16" s="25" t="inlineStr">
        <is>
          <t>No</t>
        </is>
      </c>
      <c r="J16" s="25" t="inlineStr">
        <is>
          <t>No</t>
        </is>
      </c>
      <c r="K16" s="26" t="inlineStr">
        <is>
          <t>Invoice 26022604, line 2 ("pet comb" @ $1.90 — heaviest/priciest). ⚠ ASSUMED split — see note below table. BOL HS 9603 90 refined per agent email.</t>
        </is>
      </c>
    </row>
    <row r="17">
      <c r="A17" s="27" t="inlineStr">
        <is>
          <t>TOTAL (all senders)</t>
        </is>
      </c>
      <c r="B17" s="28" t="inlineStr"/>
      <c r="C17" s="29" t="inlineStr">
        <is>
          <t>5 unique HS codes across 3 senders</t>
        </is>
      </c>
      <c r="D17" s="30">
        <f>SUM(D12:D16)</f>
        <v/>
      </c>
      <c r="E17" s="30">
        <f>SUM(E12:E16)</f>
        <v/>
      </c>
      <c r="F17" s="31" t="inlineStr">
        <is>
          <t>486 cartons</t>
        </is>
      </c>
      <c r="G17" s="32">
        <f>SUM(G12:G16)</f>
        <v/>
      </c>
      <c r="H17" s="28" t="inlineStr"/>
      <c r="I17" s="28" t="inlineStr"/>
      <c r="J17" s="28" t="inlineStr"/>
      <c r="K17" s="28" t="inlineStr"/>
    </row>
    <row r="19" ht="20" customHeight="1">
      <c r="A19" s="33" t="inlineStr">
        <is>
          <t>HS CODE SOURCE &amp; DISCREPANCIES</t>
        </is>
      </c>
    </row>
    <row r="20" ht="30" customHeight="1">
      <c r="A20" s="34" t="inlineStr">
        <is>
          <t>• HS codes are per the customs agent's instruction email (Ondřej Peťko, Maurice Ward). Where the shipper's BOL used a different code, the agent's code governs and the BOL code is noted for reference:</t>
        </is>
      </c>
    </row>
    <row r="21" ht="30" customHeight="1">
      <c r="A21" s="35" t="inlineStr">
        <is>
          <t xml:space="preserve">    – Sender 2 kokardy: BOL 6215 20 → USE 5807 10 90 (agent).   – Sender 2 hair ties: BOL 3926 90 → USE 9615 90 00 (agent).</t>
        </is>
      </c>
    </row>
    <row r="22" ht="30" customHeight="1">
      <c r="A22" s="35" t="inlineStr">
        <is>
          <t xml:space="preserve">    – Sender 3 (Laoshu) BOL carried a single code 9603 90 for the whole lot; agent email splits it into brushes 9603 90 91 and dog combs 9615 19 00.</t>
        </is>
      </c>
    </row>
    <row r="23" ht="20" customHeight="1">
      <c r="A23" s="4" t="inlineStr">
        <is>
          <t>⚠ ASSUMPTION TO CONFIRM — Sender 3 line split</t>
        </is>
      </c>
    </row>
    <row r="24" ht="30" customHeight="1">
      <c r="A24" s="36" t="inlineStr">
        <is>
          <t>The Laoshu invoice lists 3 lines all named "pet comb". The agent email gives two HS codes but does not map them line-by-line. Lines were allocated by physical signature: line 2 ($1.90/pc, 0.106 kg/pc — heaviest, consistent with a metal-tooth comb) → 9615 19 00 (dog comb); lines 1 &amp; 3 ($0.59/$0.53, lighter) → 9603 90 91 (brushes). Totals reconcile to the invoice either way (4 650 pcs, net 295.43 kg, gross 332.20 kg, $4 681.00). Tell me if any line should move.</t>
        </is>
      </c>
    </row>
    <row r="25" ht="20" customHeight="1">
      <c r="A25" s="33" t="inlineStr">
        <is>
          <t>OTHER CHECKS</t>
        </is>
      </c>
    </row>
    <row r="26" ht="30" customHeight="1">
      <c r="A26" s="34" t="inlineStr">
        <is>
          <t>• Trade discount: none stated in the invoices/email → no proportional discount applied. Customs values = invoice FOB values.</t>
        </is>
      </c>
    </row>
    <row r="27" ht="30" customHeight="1">
      <c r="A27" s="34" t="inlineStr">
        <is>
          <t>• CBAM: not applicable — none of the goods (toys, textile rosettes, hair accessories, brushes, combs) fall under CBAM (iron/steel, aluminium, cement, fertilisers, electricity, hydrogen). Metal parts are finished-article components, not CBAM goods.</t>
        </is>
      </c>
    </row>
    <row r="28" ht="30" customHeight="1">
      <c r="A28" s="34" t="inlineStr">
        <is>
          <t>• Antidumping: none identified for these product categories of Chinese origin.</t>
        </is>
      </c>
    </row>
    <row r="29" ht="30" customHeight="1">
      <c r="A29" s="34" t="inlineStr">
        <is>
          <t>• Values are FOB (ex Dalian); freight/insurance to be added at clearance if a CIF customs value is required.</t>
        </is>
      </c>
    </row>
    <row r="30" ht="30" customHeight="1">
      <c r="A30" s="34" t="inlineStr">
        <is>
          <t>• Missing on source docs: Sender 3 (Laoshu) invoice does not print an Incoterm — assumed FOB Dalian, consistent with the consolidation (CY-CY ex Dalian, freight collect) and the other two senders.</t>
        </is>
      </c>
    </row>
  </sheetData>
  <mergeCells count="21">
    <mergeCell ref="A30:K30"/>
    <mergeCell ref="A24:K24"/>
    <mergeCell ref="B6:K6"/>
    <mergeCell ref="A1:K1"/>
    <mergeCell ref="B5:K5"/>
    <mergeCell ref="B4:K4"/>
    <mergeCell ref="A25:K25"/>
    <mergeCell ref="B7:K7"/>
    <mergeCell ref="B3:K3"/>
    <mergeCell ref="A27:K27"/>
    <mergeCell ref="A26:K26"/>
    <mergeCell ref="A21:K21"/>
    <mergeCell ref="B2:K2"/>
    <mergeCell ref="A23:K23"/>
    <mergeCell ref="A22:K22"/>
    <mergeCell ref="B8:K8"/>
    <mergeCell ref="A20:K20"/>
    <mergeCell ref="A29:K29"/>
    <mergeCell ref="A19:K19"/>
    <mergeCell ref="A28:K28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2026-07-22T09:20:19Z</dcterms:created>
  <dcterms:modified xsi:type="dcterms:W3CDTF">2026-07-22T09:20:19Z</dcterms:modified>
</cp:coreProperties>
</file>