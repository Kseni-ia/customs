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1F4E78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4" fontId="2" fillId="4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70" customWidth="1" min="9" max="9"/>
  </cols>
  <sheetData>
    <row r="1">
      <c r="A1" s="1" t="inlineStr">
        <is>
          <t>HS kód</t>
        </is>
      </c>
      <c r="B1" s="1" t="inlineStr">
        <is>
          <t>Popis zboží (CZ)</t>
        </is>
      </c>
      <c r="C1" s="1" t="inlineStr">
        <is>
          <t>Země původu (COO)</t>
        </is>
      </c>
      <c r="D1" s="1" t="inlineStr">
        <is>
          <t>Celkové množství (pytle)</t>
        </is>
      </c>
      <c r="E1" s="1" t="inlineStr">
        <is>
          <t>Čistá hmotnost (kg)</t>
        </is>
      </c>
      <c r="F1" s="1" t="inlineStr">
        <is>
          <t>Hrubá hmotnost (kg)</t>
        </is>
      </c>
      <c r="G1" s="1" t="inlineStr">
        <is>
          <t>Hodnota USD (FOB)</t>
        </is>
      </c>
      <c r="H1" s="1" t="inlineStr">
        <is>
          <t>Příznak</t>
        </is>
      </c>
      <c r="I1" s="1" t="inlineStr">
        <is>
          <t>TARIC / poznámka / COO / CBAM / Antidumping</t>
        </is>
      </c>
    </row>
    <row r="2" ht="150" customHeight="1">
      <c r="A2" s="2" t="inlineStr">
        <is>
          <t>1108140000</t>
        </is>
      </c>
      <c r="B2" s="2" t="inlineStr">
        <is>
          <t>Škrob z tapioky (manioku), nativní</t>
        </is>
      </c>
      <c r="C2" s="2" t="inlineStr">
        <is>
          <t>TH</t>
        </is>
      </c>
      <c r="D2" s="2" t="n">
        <v>20</v>
      </c>
      <c r="E2" s="3" t="n">
        <v>500</v>
      </c>
      <c r="F2" s="3" t="n">
        <v>521</v>
      </c>
      <c r="G2" s="3" t="n">
        <v>750</v>
      </c>
      <c r="H2" s="4" t="inlineStr">
        <is>
          <t>COO</t>
        </is>
      </c>
      <c r="I2" s="2" t="inlineStr">
        <is>
          <t>Původ: Thajsko (TH). V dokumentech NENÍ preferenční věta – přiložen pouze NEPREFERENČNÍ certifikát původu (Ministry of Commerce / Dept. of Foreign Trade, TH) + návrh CO (Form CO). Thajsko bylo vyřazeno z GSP EU (od 1.1.2015), preferenční dohoda EU–TH neexistuje → uplatní se STANDARDNÍ clo třetí země (erga omnes). Pro 1108 14 00 jde o specifické clo (řádově 166 €/1000 kg) – OVĚŘIT sazbu v TARIC k datu podání. CBAM: NE (zemědělský produkt). Antidumping: NE. Pozn.: „NATIVE" = nativní (nemodifikovaný) škrob → 1108 14 00 je správně; slovo „MODIFIED" v dokladech je součástí názvu výrobce/značky (Eiamheng Modified Starch Co.).</t>
        </is>
      </c>
    </row>
    <row r="3">
      <c r="A3" s="5" t="inlineStr">
        <is>
          <t>CELKEM</t>
        </is>
      </c>
      <c r="B3" s="5" t="n"/>
      <c r="C3" s="5" t="n"/>
      <c r="D3" s="5" t="n">
        <v>20</v>
      </c>
      <c r="E3" s="6" t="n">
        <v>500</v>
      </c>
      <c r="F3" s="6" t="n">
        <v>521</v>
      </c>
      <c r="G3" s="6" t="n">
        <v>750</v>
      </c>
      <c r="H3" s="5" t="n"/>
      <c r="I3" s="5" t="n"/>
    </row>
    <row r="5">
      <c r="A5" s="7" t="inlineStr">
        <is>
          <t>Legenda:</t>
        </is>
      </c>
    </row>
    <row r="6">
      <c r="A6" s="7" t="inlineStr">
        <is>
          <t>🟡 COO / preferenční původ</t>
        </is>
      </c>
      <c r="B6" t="inlineStr">
        <is>
          <t>KRITICKÉ: chybí preferenční věta → clo třetí země (erga omnes). Ověřit sazbu v TARIC.</t>
        </is>
      </c>
    </row>
    <row r="7">
      <c r="A7" s="7" t="inlineStr">
        <is>
          <t>CBAM</t>
        </is>
      </c>
      <c r="B7" t="inlineStr">
        <is>
          <t>Neuplatňuje se (škrob = zemědělský produkt, mimo rozsah CBAM).</t>
        </is>
      </c>
    </row>
    <row r="8">
      <c r="A8" s="7" t="inlineStr">
        <is>
          <t>Antidumping</t>
        </is>
      </c>
      <c r="B8" t="inlineStr">
        <is>
          <t>Neuplatňuje se.</t>
        </is>
      </c>
    </row>
    <row r="9">
      <c r="A9" s="7" t="inlineStr">
        <is>
          <t>Sleva</t>
        </is>
      </c>
      <c r="B9" t="inlineStr">
        <is>
          <t>Faktura bez obchodní slevy – hodnota FOB = 750,00 USD.</t>
        </is>
      </c>
    </row>
    <row r="10">
      <c r="A10" s="7" t="inlineStr">
        <is>
          <t>Množství</t>
        </is>
      </c>
      <c r="B10" t="inlineStr">
        <is>
          <t>20 pytlů = 1 paleta. Čistá hmotnost 25 kg/pytel, hrubá 26,05 kg/pytel.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>
        <f>== ZÁSILKA ===</f>
        <v/>
      </c>
    </row>
    <row r="2">
      <c r="A2" t="inlineStr">
        <is>
          <t>Faktura č. 3510013968 ze 17.6.2026. Booking/ref: GLCHPRGF2600347.</t>
        </is>
      </c>
    </row>
    <row r="3">
      <c r="A3" t="inlineStr">
        <is>
          <t>Odesílatel/vývozce: E H M INTERTRADING CO., LTD., 15 Vlg.no.12, Kutbot, Soengsang, Nakhon Ratchasima 30330, Thajsko.</t>
        </is>
      </c>
    </row>
    <row r="4">
      <c r="A4" t="inlineStr">
        <is>
          <t>Výrobce: EIAMHENG MODIFIED STARCH CO., LTD. (Thajsko).</t>
        </is>
      </c>
    </row>
    <row r="5">
      <c r="A5" t="inlineStr">
        <is>
          <t>Příjemce/dovozce: SKYNET CZECH REPUBLIC S.R.O., CTP-ALP c/o Maurice Ward, Nad Kovárnou 185, Kněževes, 252 68 Praha-západ.</t>
        </is>
      </c>
    </row>
    <row r="6">
      <c r="A6" t="inlineStr">
        <is>
          <t>Přeprava: LAEM CHABANG (TH) → PRAHA (CZ), plavidlo MH GREEN V.0557W, kontejner TCNU 5922057 / plomba THB012350 / 40HC.</t>
        </is>
      </c>
    </row>
    <row r="7">
      <c r="A7" t="inlineStr">
        <is>
          <t>Dodací podmínka: FOB Laem Chabang (dle faktury). Platba: T/T 100 % předem.</t>
        </is>
      </c>
    </row>
    <row r="8">
      <c r="A8" t="inlineStr">
        <is>
          <t>Dodací adresa (dle instrukce): Korozluky 1, Most – objekt Maurice Ward.</t>
        </is>
      </c>
    </row>
    <row r="9">
      <c r="A9" t="inlineStr"/>
    </row>
    <row r="10">
      <c r="A10" s="8">
        <f>== ZBOŽÍ ===</f>
        <v/>
      </c>
    </row>
    <row r="11">
      <c r="A11" t="inlineStr">
        <is>
          <t>Nativní škrob z tapioky (manioku), značka EIAMHENG. HS kód dle vývozce i instrukce: 1108140000.</t>
        </is>
      </c>
    </row>
    <row r="12">
      <c r="A12" t="inlineStr">
        <is>
          <t>Množství: 20 pytlů / 1 paleta. Čistá hmotnost 500,00 kg, hrubá 521,00 kg. Rozměr palety 110×110×12 cm.</t>
        </is>
      </c>
    </row>
    <row r="13">
      <c r="A13" t="inlineStr">
        <is>
          <t>Hodnota: FOB 750,00 USD (jednotková cena 1 500 USD/t × 0,5 t). Bez obchodní slevy.</t>
        </is>
      </c>
    </row>
    <row r="14">
      <c r="A14" t="inlineStr"/>
    </row>
    <row r="15">
      <c r="A15" s="9">
        <f>== COO / PREFERENČNÍ PŮVOD (KRITICKÉ) ===</f>
        <v/>
      </c>
    </row>
    <row r="16">
      <c r="A16" t="inlineStr">
        <is>
          <t>V dokladech NENÍ preferenční věta (preferenční prohlášení o původu).</t>
        </is>
      </c>
    </row>
    <row r="17">
      <c r="A17" t="inlineStr">
        <is>
          <t>Přiložen pouze NEPREFERENČNÍ certifikát původu: Ministry of Commerce / Department of Foreign Trade, Thajsko</t>
        </is>
      </c>
    </row>
    <row r="18">
      <c r="A18" t="inlineStr">
        <is>
          <t xml:space="preserve">   („It is hereby certified that the above mentioned goods originate in Thailand.") + návrh Form CO (Draft v.6).</t>
        </is>
      </c>
    </row>
    <row r="19">
      <c r="A19" t="inlineStr">
        <is>
          <t>Thajsko bylo od 1.1.2015 vyřazeno z GSP EU; mezi EU a Thajskem není preferenční obchodní dohoda.</t>
        </is>
      </c>
    </row>
    <row r="20">
      <c r="A20" t="inlineStr">
        <is>
          <t>→ NELZE uplatnit preferenční sazbu. Uplatní se standardní clo třetí země (erga omnes).</t>
        </is>
      </c>
    </row>
    <row r="21">
      <c r="A21" t="inlineStr">
        <is>
          <t>→ Pro 1108 14 00 jde o specifické clo (řádově 166 €/1000 kg) – OVĚŘIT přesnou sazbu v TARIC k datu podání JSD.</t>
        </is>
      </c>
    </row>
    <row r="22">
      <c r="A22" t="inlineStr"/>
    </row>
    <row r="23">
      <c r="A23" s="8">
        <f>== CBAM ===</f>
        <v/>
      </c>
    </row>
    <row r="24">
      <c r="A24" t="inlineStr">
        <is>
          <t>Neuplatňuje se – škrob z tapioky je zemědělský produkt mimo rozsah CBAM (železo/ocel, hliník, cement, hnojiva, elektřina, vodík).</t>
        </is>
      </c>
    </row>
    <row r="25">
      <c r="A25" t="inlineStr"/>
    </row>
    <row r="26">
      <c r="A26" s="8">
        <f>== ANTIDUMPING ===</f>
        <v/>
      </c>
    </row>
    <row r="27">
      <c r="A27" t="inlineStr">
        <is>
          <t>Neuplatňuje se – na maniokový/tapiokový škrob z Thajska není zavedeno antidumpingové opatření.</t>
        </is>
      </c>
    </row>
    <row r="28">
      <c r="A28" t="inlineStr"/>
    </row>
    <row r="29">
      <c r="A29" s="8">
        <f>== PŘIJATÉ DOKUMENTY ===</f>
        <v/>
      </c>
    </row>
    <row r="30">
      <c r="A30" t="inlineStr">
        <is>
          <t>✓ Obchodní faktura (Commercial Invoice) 3510013968</t>
        </is>
      </c>
    </row>
    <row r="31">
      <c r="A31" t="inlineStr">
        <is>
          <t>✓ Balicí list (Packing List)</t>
        </is>
      </c>
    </row>
    <row r="32">
      <c r="A32" t="inlineStr">
        <is>
          <t>✓ Konosament (Ocean Bill of Lading) – Globelink, GLCHPRGF2600347</t>
        </is>
      </c>
    </row>
    <row r="33">
      <c r="A33" t="inlineStr">
        <is>
          <t>✓ Certifikát původu (nepreferenční) – Ministry of Commerce, Thajsko + návrh Form CO</t>
        </is>
      </c>
    </row>
    <row r="34">
      <c r="A34" t="inlineStr">
        <is>
          <t>✓ Certifikát analýzy (Certificate of Analysis) – Eiamheng Modified Starch Co.</t>
        </is>
      </c>
    </row>
    <row r="35">
      <c r="A35" t="inlineStr"/>
    </row>
    <row r="36">
      <c r="A36" s="8">
        <f>== INSTRUKCE K CELNÍMU ODBAVENÍ ===</f>
        <v/>
      </c>
    </row>
    <row r="37">
      <c r="A37" t="inlineStr">
        <is>
          <t>Celní zástupce: Maurice Ward &amp; Co., s.r.o., Airport Logistics Park, Nad Kovárnou 185, 252 68 Kněževes.</t>
        </is>
      </c>
    </row>
    <row r="38">
      <c r="A38" t="inlineStr">
        <is>
          <t>Kontakt na vykládce: Luboš Hoffmann, tel. 777 277 316. Vykládka 7:00–14:00.</t>
        </is>
      </c>
    </row>
    <row r="39">
      <c r="A39" t="inlineStr">
        <is>
          <t>V instrukci NEVYPLNĚNO: volba JCD (volný oběh) vs. T1 (tranzit) a hodnota faktury → potvrdit se zákazníkem.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2026-07-21T10:46:58Z</dcterms:created>
  <dcterms:modified xsi:type="dcterms:W3CDTF">2026-07-21T10:46:58Z</dcterms:modified>
</cp:coreProperties>
</file>