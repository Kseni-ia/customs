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CHYBI HS - ART of Tools" sheetId="2" state="visible" r:id="rId2"/>
    <sheet name="Dokumenty a kontro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USD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i val="1"/>
      <sz val="9"/>
    </font>
    <font>
      <name val="Arial"/>
      <i val="1"/>
      <color rgb="00833C00"/>
      <sz val="9"/>
    </font>
    <font>
      <name val="Arial"/>
      <b val="1"/>
      <color rgb="00C00000"/>
      <sz val="10"/>
    </font>
    <font>
      <name val="Arial"/>
      <b val="1"/>
      <sz val="10"/>
    </font>
    <font>
      <name val="Arial"/>
      <i val="1"/>
      <sz val="9"/>
    </font>
    <font>
      <name val="Arial"/>
      <sz val="10"/>
    </font>
    <font>
      <name val="Arial"/>
      <b val="1"/>
      <color rgb="00C00000"/>
      <sz val="13"/>
    </font>
    <font>
      <name val="Arial"/>
      <b val="1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3" fontId="9" fillId="0" borderId="1" applyAlignment="1" pivotButton="0" quotePrefix="0" xfId="0">
      <alignment vertical="top" wrapText="1"/>
    </xf>
    <xf numFmtId="4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 wrapText="1"/>
    </xf>
    <xf numFmtId="0" fontId="4" fillId="3" borderId="0" pivotButton="0" quotePrefix="0" xfId="0"/>
    <xf numFmtId="0" fontId="5" fillId="3" borderId="0" applyAlignment="1" pivotButton="0" quotePrefix="0" xfId="0">
      <alignment vertical="top" wrapText="1"/>
    </xf>
    <xf numFmtId="0" fontId="9" fillId="3" borderId="0" pivotButton="0" quotePrefix="0" xfId="0"/>
    <xf numFmtId="0" fontId="9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9" fillId="4" borderId="1" applyAlignment="1" pivotButton="0" quotePrefix="0" xfId="0">
      <alignment vertical="top" wrapText="1"/>
    </xf>
    <xf numFmtId="4" fontId="9" fillId="4" borderId="1" applyAlignment="1" pivotButton="0" quotePrefix="0" xfId="0">
      <alignment vertical="top" wrapText="1"/>
    </xf>
    <xf numFmtId="164" fontId="9" fillId="4" borderId="1" applyAlignment="1" pivotButton="0" quotePrefix="0" xfId="0">
      <alignment vertical="top" wrapText="1"/>
    </xf>
    <xf numFmtId="0" fontId="7" fillId="5" borderId="1" pivotButton="0" quotePrefix="0" xfId="0"/>
    <xf numFmtId="3" fontId="7" fillId="5" borderId="1" pivotButton="0" quotePrefix="0" xfId="0"/>
    <xf numFmtId="4" fontId="7" fillId="5" borderId="1" pivotButton="0" quotePrefix="0" xfId="0"/>
    <xf numFmtId="164" fontId="7" fillId="5" borderId="1" pivotButton="0" quotePrefix="0" xfId="0"/>
    <xf numFmtId="0" fontId="9" fillId="0" borderId="0" pivotButton="0" quotePrefix="0" xfId="0"/>
    <xf numFmtId="3" fontId="9" fillId="0" borderId="0" pivotButton="0" quotePrefix="0" xfId="0"/>
    <xf numFmtId="4" fontId="8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9" fillId="0" borderId="1" pivotButton="0" quotePrefix="0" xfId="0"/>
    <xf numFmtId="0" fontId="9" fillId="6" borderId="1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Maurice Ward</author>
  </authors>
  <commentList>
    <comment ref="B4" authorId="0" shapeId="0">
      <text>
        <t>„CHYBÍ“ = dodavatel HS kód nedodal. Kód NEBYL vytvořen odhadem – doplní dodavatel.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6" customWidth="1" min="3" max="3"/>
    <col width="9" customWidth="1" min="4" max="4"/>
    <col width="11" customWidth="1" min="5" max="5"/>
    <col width="13" customWidth="1" min="6" max="6"/>
    <col width="14" customWidth="1" min="7" max="7"/>
    <col width="16" customWidth="1" min="8" max="8"/>
    <col width="20" customWidth="1" min="9" max="9"/>
    <col width="26" customWidth="1" min="10" max="10"/>
    <col width="52" customWidth="1" min="11" max="11"/>
  </cols>
  <sheetData>
    <row r="1">
      <c r="A1" s="1" t="inlineStr">
        <is>
          <t>SOUHRN HS KÓDŮ – MIVARDI s.r.o. – OR CZ26011273 (vlak WB/2026/07/29, kontejner EMCU9573504)</t>
        </is>
      </c>
    </row>
    <row r="2">
      <c r="A2" s="2" t="inlineStr">
        <is>
          <t>Příjemce: MIVARDI s.r.o., Tlustého 2401/4, 193 00 Praha 9, VAT CZ65141113  |  Celní režim: volný oběh (VO), A1 Ostrava  |  Měna: USD  |  Původ: Čína (CN)  |  6 dodavatelů = 6 JSD</t>
        </is>
      </c>
    </row>
    <row r="4">
      <c r="A4" s="3" t="inlineStr">
        <is>
          <t>Odesílatel (dodavatel)</t>
        </is>
      </c>
      <c r="B4" s="3" t="inlineStr">
        <is>
          <t>HS kód / Kód KN</t>
        </is>
      </c>
      <c r="C4" s="3" t="inlineStr">
        <is>
          <t>Popis zboží (CZ)</t>
        </is>
      </c>
      <c r="D4" s="3" t="inlineStr">
        <is>
          <t>Země původu</t>
        </is>
      </c>
      <c r="E4" s="3" t="inlineStr">
        <is>
          <t>Množství (ks)</t>
        </is>
      </c>
      <c r="F4" s="3" t="inlineStr">
        <is>
          <t>Čistá hmotnost (kg)</t>
        </is>
      </c>
      <c r="G4" s="3" t="inlineStr">
        <is>
          <t>Hrubá hmotnost (kg)</t>
        </is>
      </c>
      <c r="H4" s="3" t="inlineStr">
        <is>
          <t>Celní hodnota (USD)</t>
        </is>
      </c>
      <c r="I4" s="3" t="inlineStr">
        <is>
          <t>INCOTERMS + místo</t>
        </is>
      </c>
      <c r="J4" s="3" t="inlineStr">
        <is>
          <t>FCR / export ref.</t>
        </is>
      </c>
      <c r="K4" s="3" t="inlineStr">
        <is>
          <t>Poznámka (CBAM / antidumping / COO)</t>
        </is>
      </c>
    </row>
    <row r="5" ht="42" customHeight="1">
      <c r="A5" s="4" t="inlineStr">
        <is>
          <t>NEXT GENERATION OUTDOOR INTERNATIONAL CORP.
6F No.259 ChungHsiao East Rd Sec.5, Taipei, Taiwan</t>
        </is>
      </c>
      <c r="B5" s="4" t="inlineStr">
        <is>
          <t>62105000</t>
        </is>
      </c>
      <c r="C5" s="4" t="inlineStr">
        <is>
          <t>Broďáky Hardcore MC, vel. 40–47 (oděvy z PVC potažené tkaniny)</t>
        </is>
      </c>
      <c r="D5" s="4" t="inlineStr">
        <is>
          <t>CN</t>
        </is>
      </c>
      <c r="E5" s="5" t="n">
        <v>1200</v>
      </c>
      <c r="F5" s="6" t="n">
        <v>3764</v>
      </c>
      <c r="G5" s="6" t="n">
        <v>4580.4</v>
      </c>
      <c r="H5" s="7" t="n">
        <v>20388</v>
      </c>
      <c r="I5" s="4" t="inlineStr">
        <is>
          <t>FOB Ningbo</t>
        </is>
      </c>
      <c r="J5" s="4" t="inlineStr">
        <is>
          <t>ZIHWB260729FM120-3 / FCR č. zatím nepřiděleno</t>
        </is>
      </c>
      <c r="K5" s="4" t="inlineStr">
        <is>
          <t>Bez CBAM. Antidumping: neuplatňuje se. Zboží MADE IN CHINA (odesílatel TW) – původ CN.</t>
        </is>
      </c>
    </row>
    <row r="6" ht="30" customHeight="1">
      <c r="A6" s="8" t="inlineStr">
        <is>
          <t>Poznámka k dodavateli:</t>
        </is>
      </c>
      <c r="B6" s="9" t="inlineStr">
        <is>
          <t>Faktura NIC115-4660 PAYMENT ze dne 23.7.2026; celní hodnota 20 388 USD (záloha 30 % 6 116,40 USD již uhrazena zálohovou fakturou NIC115-4518 – NEJDE o slevu, hodnota se nekrátí).</t>
        </is>
      </c>
    </row>
    <row r="7" ht="42" customHeight="1">
      <c r="A7" s="4" t="inlineStr">
        <is>
          <t>EUROSEA OUTDOOR CO., LIMITED
RM 1101, San Toi Building, 139 Connaught Rd Central, Hongkong</t>
        </is>
      </c>
      <c r="B7" s="4" t="inlineStr">
        <is>
          <t>95073000</t>
        </is>
      </c>
      <c r="C7" s="4" t="inlineStr">
        <is>
          <t>Navijáky Titanus DX 12000, Titanus LX 10000, Speedex Spod + náhradní cívky</t>
        </is>
      </c>
      <c r="D7" s="4" t="inlineStr">
        <is>
          <t>CN</t>
        </is>
      </c>
      <c r="E7" s="5" t="n">
        <v>1870</v>
      </c>
      <c r="F7" s="6" t="n">
        <v>1528</v>
      </c>
      <c r="G7" s="6" t="n">
        <v>1685</v>
      </c>
      <c r="H7" s="7" t="n">
        <v>38611</v>
      </c>
      <c r="I7" s="4" t="inlineStr">
        <is>
          <t>FOB Ningbo</t>
        </is>
      </c>
      <c r="J7" s="4" t="inlineStr">
        <is>
          <t>ZIHWB260729FM120-1 / FCR TECGO26080026</t>
        </is>
      </c>
      <c r="K7" s="4" t="inlineStr">
        <is>
          <t>Bez CBAM. Antidumping: neuplatňuje se.</t>
        </is>
      </c>
    </row>
    <row r="8" ht="30" customHeight="1">
      <c r="A8" s="8" t="inlineStr">
        <is>
          <t>Poznámka k dodavateli:</t>
        </is>
      </c>
      <c r="B8" s="9" t="inlineStr">
        <is>
          <t>Faktura EU20260305 ze dne 27.5.2026, Country of origin: CHINA.</t>
        </is>
      </c>
    </row>
    <row r="9" ht="42" customHeight="1">
      <c r="A9" s="4" t="inlineStr">
        <is>
          <t>HANGZHOU MAX FISHING TACKLE CO., LTD
Banshan Town, Gongshu District, Hangzhou, Zhejiang, China</t>
        </is>
      </c>
      <c r="B9" s="4" t="inlineStr">
        <is>
          <t>95079000</t>
        </is>
      </c>
      <c r="C9" s="4" t="inlineStr">
        <is>
          <t>Signalizační swingery Swing arm MCX 66 / 77 / 88 (sady i jednotlivé barvy) + originální pouzdro</t>
        </is>
      </c>
      <c r="D9" s="4" t="inlineStr">
        <is>
          <t>CN</t>
        </is>
      </c>
      <c r="E9" s="5" t="n">
        <v>10100</v>
      </c>
      <c r="F9" s="6" t="n">
        <v>2275.3</v>
      </c>
      <c r="G9" s="6" t="n">
        <v>2454.3</v>
      </c>
      <c r="H9" s="7" t="n">
        <v>54409</v>
      </c>
      <c r="I9" s="4" t="inlineStr">
        <is>
          <t>FOB Shanghai / Ningbo (viz poznámka)</t>
        </is>
      </c>
      <c r="J9" s="4" t="inlineStr">
        <is>
          <t>ZIHWB260729FM120-4 / FCR TECGO26080034</t>
        </is>
      </c>
      <c r="K9" s="4" t="inlineStr">
        <is>
          <t>Bez CBAM. Antidumping: neuplatňuje se.</t>
        </is>
      </c>
    </row>
    <row r="10" ht="30" customHeight="1">
      <c r="A10" s="8" t="inlineStr">
        <is>
          <t>Poznámka k dodavateli:</t>
        </is>
      </c>
      <c r="B10" s="9" t="inlineStr">
        <is>
          <t>Faktura 20260601 / PI Fishpro20260127. POZOR: faktura uvádí dodací doložku jako „FOB Shanghai/Ningbo“ – nutno upřesnit jediný přístav pro JSD.</t>
        </is>
      </c>
    </row>
    <row r="11" ht="42" customHeight="1">
      <c r="A11" s="11" t="inlineStr">
        <is>
          <t>THE ART OF TOOLS (SUZHOU) CO., LTD
No.19 Chenfeng/Jinsha Road, Zhangjiagang City, Jiangsu, China</t>
        </is>
      </c>
      <c r="B11" s="12" t="inlineStr">
        <is>
          <t>CHYBÍ</t>
        </is>
      </c>
      <c r="C11" s="11" t="inlineStr">
        <is>
          <t>Crimp Pliers – krimpovací kleště (bez CZ popisu, dodavatel nedodal katalog KN)</t>
        </is>
      </c>
      <c r="D11" s="11" t="inlineStr">
        <is>
          <t>CN</t>
        </is>
      </c>
      <c r="E11" s="13" t="n">
        <v>800</v>
      </c>
      <c r="F11" s="14" t="n">
        <v>80</v>
      </c>
      <c r="G11" s="14" t="n">
        <v>88</v>
      </c>
      <c r="H11" s="15" t="n">
        <v>1808</v>
      </c>
      <c r="I11" s="11" t="inlineStr">
        <is>
          <t>FOB Shanghai</t>
        </is>
      </c>
      <c r="J11" s="11" t="inlineStr">
        <is>
          <t>ZIHWB260729FM120-5 / FCR TECGO26080032</t>
        </is>
      </c>
      <c r="K11" s="11" t="inlineStr">
        <is>
          <t>HS kód nedodán – nutno doplnit.</t>
        </is>
      </c>
    </row>
    <row r="12" ht="42" customHeight="1">
      <c r="A12" s="11" t="n"/>
      <c r="B12" s="12" t="inlineStr">
        <is>
          <t>CHYBÍ</t>
        </is>
      </c>
      <c r="C12" s="11" t="inlineStr">
        <is>
          <t>Crimps 0,50 / 0,60 / 0,70 mm – mosazné krimpovací spojky (bez CZ popisu)</t>
        </is>
      </c>
      <c r="D12" s="11" t="inlineStr">
        <is>
          <t>CN</t>
        </is>
      </c>
      <c r="E12" s="13" t="n">
        <v>1300</v>
      </c>
      <c r="F12" s="14" t="n">
        <v>6.8</v>
      </c>
      <c r="G12" s="14" t="n">
        <v>7.8</v>
      </c>
      <c r="H12" s="15" t="n">
        <v>1625</v>
      </c>
      <c r="I12" s="11" t="n"/>
      <c r="J12" s="11" t="n"/>
      <c r="K12" s="11" t="inlineStr">
        <is>
          <t>HS kód nedodán – nutno doplnit.</t>
        </is>
      </c>
    </row>
    <row r="13" ht="42" customHeight="1">
      <c r="A13" s="11" t="n"/>
      <c r="B13" s="12" t="inlineStr">
        <is>
          <t>CHYBÍ</t>
        </is>
      </c>
      <c r="C13" s="11" t="inlineStr">
        <is>
          <t>Stainless steel Braid Cutter – řezačka šňůry z nerezové oceli (bez CZ popisu)</t>
        </is>
      </c>
      <c r="D13" s="11" t="inlineStr">
        <is>
          <t>CN</t>
        </is>
      </c>
      <c r="E13" s="13" t="n">
        <v>2000</v>
      </c>
      <c r="F13" s="14" t="n">
        <v>128</v>
      </c>
      <c r="G13" s="14" t="n">
        <v>148</v>
      </c>
      <c r="H13" s="15" t="n">
        <v>2960</v>
      </c>
      <c r="I13" s="11" t="n"/>
      <c r="J13" s="11" t="n"/>
      <c r="K13" s="11" t="inlineStr">
        <is>
          <t>HS kód nedodán – nutno doplnit.</t>
        </is>
      </c>
    </row>
    <row r="14" ht="42" customHeight="1">
      <c r="A14" s="11" t="n"/>
      <c r="B14" s="12" t="inlineStr">
        <is>
          <t>CHYBÍ</t>
        </is>
      </c>
      <c r="C14" s="11" t="inlineStr">
        <is>
          <t>Stainless steel Braid Scissors – nůžky na šňůru z nerezové oceli (bez CZ popisu)</t>
        </is>
      </c>
      <c r="D14" s="11" t="inlineStr">
        <is>
          <t>CN</t>
        </is>
      </c>
      <c r="E14" s="13" t="n">
        <v>2000</v>
      </c>
      <c r="F14" s="14" t="n">
        <v>60</v>
      </c>
      <c r="G14" s="14" t="n">
        <v>70</v>
      </c>
      <c r="H14" s="15" t="n">
        <v>1860</v>
      </c>
      <c r="I14" s="11" t="n"/>
      <c r="J14" s="11" t="n"/>
      <c r="K14" s="11" t="inlineStr">
        <is>
          <t>HS kód nedodán – nutno doplnit.</t>
        </is>
      </c>
    </row>
    <row r="15" ht="42" customHeight="1">
      <c r="A15" s="11" t="n"/>
      <c r="B15" s="12" t="inlineStr">
        <is>
          <t>CHYBÍ</t>
        </is>
      </c>
      <c r="C15" s="11" t="inlineStr">
        <is>
          <t>Diamond Hook Sharpener – diamantový brousek na háčky (bez CZ popisu)</t>
        </is>
      </c>
      <c r="D15" s="11" t="inlineStr">
        <is>
          <t>CN</t>
        </is>
      </c>
      <c r="E15" s="13" t="n">
        <v>1000</v>
      </c>
      <c r="F15" s="14" t="n">
        <v>24.5</v>
      </c>
      <c r="G15" s="14" t="n">
        <v>29.5</v>
      </c>
      <c r="H15" s="15" t="n">
        <v>1400</v>
      </c>
      <c r="I15" s="11" t="n"/>
      <c r="J15" s="11" t="n"/>
      <c r="K15" s="11" t="inlineStr">
        <is>
          <t>HS kód nedodán – nutno doplnit.</t>
        </is>
      </c>
    </row>
    <row r="16" ht="30" customHeight="1">
      <c r="A16" s="8" t="inlineStr">
        <is>
          <t>Poznámka k dodavateli:</t>
        </is>
      </c>
      <c r="B16" s="9" t="inlineStr">
        <is>
          <t>!!! HS KÓDY CHYBÍ – v zipu je pouze faktura IN-F20260126 a packing list, chybí katalog s Kódem KN. Dle e-mailu J. Šrejbra dodavatel dodá co nejdříve. HS kódy NEBYLY doplněny odhadem. Celní hodnota 9 653 USD (záloha 2 783,40 USD, doplatek 6 869,60 USD – nejde o slevu).</t>
        </is>
      </c>
    </row>
    <row r="17" ht="42" customHeight="1">
      <c r="A17" s="4" t="inlineStr">
        <is>
          <t>STAR TALENT (HK) LIMITED
Flat/Rm 701, Royal Commercial Centre, 56 Parkes Street, Jordan KL, Hong Kong</t>
        </is>
      </c>
      <c r="B17" s="4" t="inlineStr">
        <is>
          <t>95073000</t>
        </is>
      </c>
      <c r="C17" s="4" t="inlineStr">
        <is>
          <t>Navijáky Alcon Carp MK2 6000, Match Queen 4000</t>
        </is>
      </c>
      <c r="D17" s="4" t="inlineStr">
        <is>
          <t>CN</t>
        </is>
      </c>
      <c r="E17" s="5" t="n">
        <v>2300</v>
      </c>
      <c r="F17" s="6" t="n">
        <v>1076.4</v>
      </c>
      <c r="G17" s="6" t="n">
        <v>1283.4</v>
      </c>
      <c r="H17" s="7" t="n">
        <v>22747</v>
      </c>
      <c r="I17" s="4" t="inlineStr">
        <is>
          <t>FOB Shanghai</t>
        </is>
      </c>
      <c r="J17" s="4" t="inlineStr">
        <is>
          <t>ZIHWB260729FM120-2 / FCR TECGO26080025</t>
        </is>
      </c>
      <c r="K17" s="4" t="inlineStr">
        <is>
          <t>Bez CBAM. Antidumping: neuplatňuje se.</t>
        </is>
      </c>
    </row>
    <row r="18" ht="42" customHeight="1">
      <c r="A18" s="4" t="n"/>
      <c r="B18" s="4" t="inlineStr">
        <is>
          <t>95089000</t>
        </is>
      </c>
      <c r="C18" s="4" t="inlineStr">
        <is>
          <t>Vnadící raketa Tribomb Bait Rocket</t>
        </is>
      </c>
      <c r="D18" s="4" t="inlineStr">
        <is>
          <t>CN</t>
        </is>
      </c>
      <c r="E18" s="5" t="n">
        <v>1500</v>
      </c>
      <c r="F18" s="6" t="n">
        <v>115.3</v>
      </c>
      <c r="G18" s="6" t="n">
        <v>139.3</v>
      </c>
      <c r="H18" s="7" t="n">
        <v>3600</v>
      </c>
      <c r="I18" s="4" t="n"/>
      <c r="J18" s="4" t="n"/>
      <c r="K18" s="4" t="inlineStr">
        <is>
          <t>KONTROLA ZAŘAZENÍ: dodavatelský katalog uvádí 95089000 (kolotoče, houpačky, střelnice) – pro vnadící raketu se jeví jako nesprávné, spíše 95079000. Ponecháno dle podkladu, needitováno.</t>
        </is>
      </c>
    </row>
    <row r="19" ht="30" customHeight="1">
      <c r="A19" s="8" t="inlineStr">
        <is>
          <t>Poznámka k dodavateli:</t>
        </is>
      </c>
      <c r="B19" s="9" t="inlineStr">
        <is>
          <t>Faktura TD26079 ze dne 22.7.2026, Country of Origin: CHINA. Dodání do Mohelnice.</t>
        </is>
      </c>
    </row>
    <row r="20" ht="42" customHeight="1">
      <c r="A20" s="4" t="inlineStr">
        <is>
          <t>HANGZHOU REVO PRODUCTS CO., LTD
Building 1, No.411 Qingxian Road, Lin'an District, Hangzhou, Zhejiang, China</t>
        </is>
      </c>
      <c r="B20" s="4" t="inlineStr">
        <is>
          <t>63062200</t>
        </is>
      </c>
      <c r="C20" s="4" t="inlineStr">
        <is>
          <t>Bivak Entrix XL (stan ze syntetických vláken)</t>
        </is>
      </c>
      <c r="D20" s="4" t="inlineStr">
        <is>
          <t>CN</t>
        </is>
      </c>
      <c r="E20" s="5" t="n">
        <v>50</v>
      </c>
      <c r="F20" s="6" t="n">
        <v>508.5</v>
      </c>
      <c r="G20" s="6" t="n">
        <v>563.5</v>
      </c>
      <c r="H20" s="7" t="n">
        <v>4200</v>
      </c>
      <c r="I20" s="4" t="inlineStr">
        <is>
          <t>FOB Zhengzhou (viz poznámka)</t>
        </is>
      </c>
      <c r="J20" s="4" t="inlineStr">
        <is>
          <t>ZIHWB260729FM120-6 / FCR TECGO26080033</t>
        </is>
      </c>
      <c r="K20" s="4" t="inlineStr">
        <is>
          <t>Bez CBAM. Antidumping: neuplatňuje se.</t>
        </is>
      </c>
    </row>
    <row r="21" ht="42" customHeight="1">
      <c r="A21" s="4" t="n"/>
      <c r="B21" s="4" t="inlineStr">
        <is>
          <t>66011000</t>
        </is>
      </c>
      <c r="C21" s="4" t="inlineStr">
        <is>
          <t>Session Umbrella XL – zahradní/rybářský deštník s kompletním zakrytím</t>
        </is>
      </c>
      <c r="D21" s="4" t="inlineStr">
        <is>
          <t>CN</t>
        </is>
      </c>
      <c r="E21" s="5" t="n">
        <v>400</v>
      </c>
      <c r="F21" s="6" t="n">
        <v>2400</v>
      </c>
      <c r="G21" s="6" t="n">
        <v>2772</v>
      </c>
      <c r="H21" s="7" t="n">
        <v>12600</v>
      </c>
      <c r="I21" s="4" t="n"/>
      <c r="J21" s="4" t="n"/>
      <c r="K21" s="4" t="inlineStr">
        <is>
          <t>Bez CBAM. Antidumping: neuplatňuje se.</t>
        </is>
      </c>
    </row>
    <row r="22" ht="30" customHeight="1">
      <c r="A22" s="8" t="inlineStr">
        <is>
          <t>Poznámka k dodavateli:</t>
        </is>
      </c>
      <c r="B22" s="9" t="inlineStr">
        <is>
          <t>Faktura RH260042-3 ze dne 22.7.2026. POZOR: v hlavičce faktury „Port of Loading: NINGBO“, v položkové části „FOB ZHENGZHOU“, packing list uvádí Zhengzhou – nutno upřesnit místo pro JSD.</t>
        </is>
      </c>
    </row>
    <row r="23">
      <c r="A23" s="16" t="inlineStr">
        <is>
          <t>CELKEM ZA ZÁSILKU</t>
        </is>
      </c>
      <c r="B23" s="16" t="n"/>
      <c r="C23" s="16" t="inlineStr">
        <is>
          <t>8 řádků HS (z toho 5 řádků bez HS kódu – dodavatel ART)</t>
        </is>
      </c>
      <c r="D23" s="16" t="n"/>
      <c r="E23" s="17">
        <f>E5+E7+E9+E11+E12+E13+E14+E15+E17+E18+E20+E21</f>
        <v/>
      </c>
      <c r="F23" s="18">
        <f>F5+F7+F9+F11+F12+F13+F14+F15+F17+F18+F20+F21</f>
        <v/>
      </c>
      <c r="G23" s="18">
        <f>G5+G7+G9+G11+G12+G13+G14+G15+G17+G18+G20+G21</f>
        <v/>
      </c>
      <c r="H23" s="19">
        <f>H5+H7+H9+H11+H12+H13+H14+H15+H17+H18+H20+H21</f>
        <v/>
      </c>
      <c r="I23" s="16" t="n"/>
      <c r="J23" s="16" t="n"/>
      <c r="K23" s="16" t="inlineStr">
        <is>
          <t>Kontrola: hrubá hmotnost musí souhlasit s nákladním listem SMGS č. 38040205 = 13 821,2 kg</t>
        </is>
      </c>
    </row>
    <row r="24">
      <c r="A24" s="20" t="n"/>
      <c r="B24" s="20" t="n"/>
      <c r="C24" s="20" t="n"/>
      <c r="D24" s="20" t="n"/>
      <c r="E24" s="21" t="n"/>
      <c r="F24" s="22" t="inlineStr">
        <is>
          <t>SMGS 38040205 (kontrola):</t>
        </is>
      </c>
      <c r="G24" s="22" t="n">
        <v>13821.2</v>
      </c>
      <c r="H24" s="23" t="n"/>
      <c r="I24" s="20" t="n"/>
      <c r="J24" s="20" t="n"/>
      <c r="K24" s="20" t="n"/>
    </row>
    <row r="25">
      <c r="A25" s="20" t="n"/>
      <c r="B25" s="20" t="n"/>
      <c r="C25" s="20" t="n"/>
      <c r="D25" s="20" t="n"/>
      <c r="E25" s="21" t="n"/>
      <c r="F25" s="22" t="inlineStr">
        <is>
          <t>Rozdíl:</t>
        </is>
      </c>
      <c r="G25" s="22">
        <f>G23-G24</f>
        <v/>
      </c>
      <c r="H25" s="23" t="n"/>
      <c r="I25" s="20" t="n"/>
      <c r="J25" s="20" t="n"/>
      <c r="K25" s="20" t="n"/>
    </row>
  </sheetData>
  <mergeCells count="6">
    <mergeCell ref="B22:K22"/>
    <mergeCell ref="B8:K8"/>
    <mergeCell ref="B6:K6"/>
    <mergeCell ref="B16:K16"/>
    <mergeCell ref="B10:K10"/>
    <mergeCell ref="B19:K1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  <col width="10" customWidth="1" min="6" max="6"/>
    <col width="16" customWidth="1" min="7" max="7"/>
    <col width="17" customWidth="1" min="8" max="8"/>
    <col width="14" customWidth="1" min="9" max="9"/>
    <col width="14" customWidth="1" min="10" max="10"/>
  </cols>
  <sheetData>
    <row r="1">
      <c r="A1" s="24" t="inlineStr">
        <is>
          <t>CHYBĚJÍCÍ HS KÓDY – THE ART OF TOOLS (SUZHOU) CO., LTD</t>
        </is>
      </c>
    </row>
    <row r="2">
      <c r="A2" s="2" t="inlineStr">
        <is>
          <t>Podklady v archivu art.7z obsahují pouze fakturu IN-F20260126 (18.6.2026) a packing list – katalog s Kódem KN chybí. Dle e-mailu Josefa Šrejbra (OR CZ26011273): „U Art, zatím HS chybí, dodá co nejdříve.“</t>
        </is>
      </c>
    </row>
    <row r="3">
      <c r="A3" s="25" t="inlineStr">
        <is>
          <t>HS kódy zde NEBYLY doplněny odhadem. Řádky vyplní dodavatel / Mivardi – žlutá pole jsou určena k doplnění.</t>
        </is>
      </c>
    </row>
    <row r="5">
      <c r="A5" s="3" t="inlineStr">
        <is>
          <t>Kód položky</t>
        </is>
      </c>
      <c r="B5" s="3" t="inlineStr">
        <is>
          <t>Popis dle faktury (EN)</t>
        </is>
      </c>
      <c r="C5" s="3" t="inlineStr">
        <is>
          <t>Popis CZ (doplní Mivardi)</t>
        </is>
      </c>
      <c r="D5" s="3" t="inlineStr">
        <is>
          <t>HS kód / Kód KN (DOPLNIT)</t>
        </is>
      </c>
      <c r="E5" s="3" t="inlineStr">
        <is>
          <t>Množství (ks)</t>
        </is>
      </c>
      <c r="F5" s="3" t="inlineStr">
        <is>
          <t>Kartony</t>
        </is>
      </c>
      <c r="G5" s="3" t="inlineStr">
        <is>
          <t>Čistá hmotnost (kg)</t>
        </is>
      </c>
      <c r="H5" s="3" t="inlineStr">
        <is>
          <t>Hrubá hmotnost (kg)</t>
        </is>
      </c>
      <c r="I5" s="3" t="inlineStr">
        <is>
          <t>Jedn. cena (USD)</t>
        </is>
      </c>
      <c r="J5" s="3" t="inlineStr">
        <is>
          <t>Hodnota (USD)</t>
        </is>
      </c>
    </row>
    <row r="6">
      <c r="A6" s="26" t="inlineStr">
        <is>
          <t>M-ACOTCP</t>
        </is>
      </c>
      <c r="B6" s="26" t="inlineStr">
        <is>
          <t>Crimp Pliers</t>
        </is>
      </c>
      <c r="C6" s="26" t="inlineStr">
        <is>
          <t>Krimpovací kleště</t>
        </is>
      </c>
      <c r="D6" s="27" t="inlineStr"/>
      <c r="E6" s="26" t="n">
        <v>800</v>
      </c>
      <c r="F6" s="26" t="n">
        <v>8</v>
      </c>
      <c r="G6" s="26" t="n">
        <v>80</v>
      </c>
      <c r="H6" s="26" t="n">
        <v>88</v>
      </c>
      <c r="I6" s="26" t="n">
        <v>2.26</v>
      </c>
      <c r="J6" s="26">
        <f>E6*I6</f>
        <v/>
      </c>
    </row>
    <row r="7">
      <c r="A7" s="26" t="inlineStr">
        <is>
          <t>M-ACOCRI050</t>
        </is>
      </c>
      <c r="B7" s="26" t="inlineStr">
        <is>
          <t>Crimps 0.50mm</t>
        </is>
      </c>
      <c r="C7" s="26" t="inlineStr">
        <is>
          <t>Krimpovací spojky 0,50 mm</t>
        </is>
      </c>
      <c r="D7" s="27" t="inlineStr"/>
      <c r="E7" s="26" t="n">
        <v>300</v>
      </c>
      <c r="F7" s="26" t="n">
        <v>1</v>
      </c>
      <c r="G7" s="26" t="n">
        <v>6.8</v>
      </c>
      <c r="H7" s="26" t="n">
        <v>7.8</v>
      </c>
      <c r="I7" s="26" t="n">
        <v>1.25</v>
      </c>
      <c r="J7" s="26">
        <f>E7*I7</f>
        <v/>
      </c>
    </row>
    <row r="8">
      <c r="A8" s="26" t="inlineStr">
        <is>
          <t>M-ACOCRI060</t>
        </is>
      </c>
      <c r="B8" s="26" t="inlineStr">
        <is>
          <t>Crimps 0.60mm</t>
        </is>
      </c>
      <c r="C8" s="26" t="inlineStr">
        <is>
          <t>Krimpovací spojky 0,60 mm</t>
        </is>
      </c>
      <c r="D8" s="27" t="inlineStr"/>
      <c r="E8" s="26" t="n">
        <v>500</v>
      </c>
      <c r="F8" s="26" t="n">
        <v>0</v>
      </c>
      <c r="G8" s="26" t="n">
        <v>0</v>
      </c>
      <c r="H8" s="26" t="n">
        <v>0</v>
      </c>
      <c r="I8" s="26" t="n">
        <v>1.25</v>
      </c>
      <c r="J8" s="26">
        <f>E8*I8</f>
        <v/>
      </c>
    </row>
    <row r="9">
      <c r="A9" s="26" t="inlineStr">
        <is>
          <t>M-ACOCRI070</t>
        </is>
      </c>
      <c r="B9" s="26" t="inlineStr">
        <is>
          <t>Crimps 0.70mm</t>
        </is>
      </c>
      <c r="C9" s="26" t="inlineStr">
        <is>
          <t>Krimpovací spojky 0,70 mm</t>
        </is>
      </c>
      <c r="D9" s="27" t="inlineStr"/>
      <c r="E9" s="26" t="n">
        <v>500</v>
      </c>
      <c r="F9" s="26" t="n">
        <v>0</v>
      </c>
      <c r="G9" s="26" t="n">
        <v>0</v>
      </c>
      <c r="H9" s="26" t="n">
        <v>0</v>
      </c>
      <c r="I9" s="26" t="n">
        <v>1.25</v>
      </c>
      <c r="J9" s="26">
        <f>E9*I9</f>
        <v/>
      </c>
    </row>
    <row r="10">
      <c r="A10" s="26" t="inlineStr">
        <is>
          <t>M-ACOTBCU</t>
        </is>
      </c>
      <c r="B10" s="26" t="inlineStr">
        <is>
          <t>Stainless steel Braid Cutter</t>
        </is>
      </c>
      <c r="C10" s="26" t="inlineStr">
        <is>
          <t>Řezačka šňůry z nerezové oceli</t>
        </is>
      </c>
      <c r="D10" s="27" t="inlineStr"/>
      <c r="E10" s="26" t="n">
        <v>2000</v>
      </c>
      <c r="F10" s="26" t="n">
        <v>20</v>
      </c>
      <c r="G10" s="26" t="n">
        <v>128</v>
      </c>
      <c r="H10" s="26" t="n">
        <v>148</v>
      </c>
      <c r="I10" s="26" t="n">
        <v>1.48</v>
      </c>
      <c r="J10" s="26">
        <f>E10*I10</f>
        <v/>
      </c>
    </row>
    <row r="11">
      <c r="A11" s="26" t="inlineStr">
        <is>
          <t>M-ACOTBSC</t>
        </is>
      </c>
      <c r="B11" s="26" t="inlineStr">
        <is>
          <t>Stainless steel Braid Scissors</t>
        </is>
      </c>
      <c r="C11" s="26" t="inlineStr">
        <is>
          <t>Nůžky na šňůru z nerezové oceli</t>
        </is>
      </c>
      <c r="D11" s="27" t="inlineStr"/>
      <c r="E11" s="26" t="n">
        <v>2000</v>
      </c>
      <c r="F11" s="26" t="n">
        <v>10</v>
      </c>
      <c r="G11" s="26" t="n">
        <v>60</v>
      </c>
      <c r="H11" s="26" t="n">
        <v>70</v>
      </c>
      <c r="I11" s="26" t="n">
        <v>0.93</v>
      </c>
      <c r="J11" s="26">
        <f>E11*I11</f>
        <v/>
      </c>
    </row>
    <row r="12">
      <c r="A12" s="26" t="inlineStr">
        <is>
          <t>M-ACODHS</t>
        </is>
      </c>
      <c r="B12" s="26" t="inlineStr">
        <is>
          <t>Diamond Hook Sharpener</t>
        </is>
      </c>
      <c r="C12" s="26" t="inlineStr">
        <is>
          <t>Diamantový brousek na háčky</t>
        </is>
      </c>
      <c r="D12" s="27" t="inlineStr"/>
      <c r="E12" s="26" t="n">
        <v>1000</v>
      </c>
      <c r="F12" s="26" t="n">
        <v>5</v>
      </c>
      <c r="G12" s="26" t="n">
        <v>24.5</v>
      </c>
      <c r="H12" s="26" t="n">
        <v>29.5</v>
      </c>
      <c r="I12" s="26" t="n">
        <v>1.4</v>
      </c>
      <c r="J12" s="26">
        <f>E12*I12</f>
        <v/>
      </c>
    </row>
    <row r="13">
      <c r="A13" s="16" t="inlineStr">
        <is>
          <t>CELKEM</t>
        </is>
      </c>
      <c r="B13" s="16" t="n"/>
      <c r="C13" s="16" t="n"/>
      <c r="D13" s="16" t="n"/>
      <c r="E13" s="16">
        <f>SUM(E6:E12)</f>
        <v/>
      </c>
      <c r="F13" s="16">
        <f>SUM(F6:F12)</f>
        <v/>
      </c>
      <c r="G13" s="16">
        <f>SUM(G6:G12)</f>
        <v/>
      </c>
      <c r="H13" s="16">
        <f>SUM(H6:H12)</f>
        <v/>
      </c>
      <c r="I13" s="16" t="n"/>
      <c r="J13" s="16">
        <f>SUM(J6:J12)</f>
        <v/>
      </c>
    </row>
    <row r="14">
      <c r="A14" s="28" t="inlineStr"/>
    </row>
    <row r="15">
      <c r="A15" s="29" t="inlineStr">
        <is>
          <t>Poznámky k podkladům ART:</t>
        </is>
      </c>
    </row>
    <row r="16">
      <c r="A16" s="28" t="inlineStr">
        <is>
          <t>• Krimpovací spojky 0,50 / 0,60 / 0,70 mm jsou dle packing listu baleny společně v 1 kartonu (celkem 1 300 ks, 7,8 kg brutto / 6,8 kg netto) – hmotnost je uvedena pouze na řádku 0,50 mm.</t>
        </is>
      </c>
    </row>
    <row r="17">
      <c r="A17" s="28" t="inlineStr">
        <is>
          <t>• Kontrolní součty dle packing listu: 7 100 ks / 44 kartonů / 343,3 kg brutto / 299,3 kg netto / 1,189 CBM (FCR TECGO26080032) – souhlasí.</t>
        </is>
      </c>
    </row>
    <row r="18">
      <c r="A18" s="28" t="inlineStr">
        <is>
          <t>• Faktura: celkem 9 653,00 USD; záloha 2 783,40 USD; doplatek 6 869,60 USD. Celní hodnota = 9 653,00 USD (rozdělení platby není sleva).</t>
        </is>
      </c>
    </row>
    <row r="19">
      <c r="A19" s="28" t="inlineStr">
        <is>
          <t>• Dodací doložka: FOB Shanghai. Původ: MADE IN CHINA (dle značení na kartonech).</t>
        </is>
      </c>
    </row>
    <row r="20">
      <c r="A20" s="28" t="inlineStr">
        <is>
          <t>• Materiál dle popisu: nerezová ocel (řezačka, nůžky), mosaz (krimpovací spojky) – při zařazení do kapitoly 73 (výrobky ze železa/oceli) je nutné prověřit CBAM.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KONTROLA DOKLADŮ – MIVARDI, OR CZ26011273</t>
        </is>
      </c>
    </row>
    <row r="3">
      <c r="A3" s="30" t="inlineStr">
        <is>
          <t>PREFERENČNÍ PŮVOD (COO) – KONTROLA PROVEDENA</t>
        </is>
      </c>
    </row>
    <row r="4">
      <c r="A4" s="31" t="inlineStr">
        <is>
          <t>V ŽÁDNÉM z dodaných dokladů (6 faktur, 6 packing listů, 6 FCR, nákladní list SMGS) NENÍ uvedena preferenční věta.</t>
        </is>
      </c>
    </row>
    <row r="5" ht="30" customHeight="1">
      <c r="A5" s="32" t="inlineStr">
        <is>
          <t>Původ zboží je Čína (CN) – u všech šesti dodavatelů, včetně zásilek od odesílatelů z Hongkongu a Tchaj-wanu (značení „MADE IN CHINA“).</t>
        </is>
      </c>
    </row>
    <row r="6" ht="30" customHeight="1">
      <c r="A6" s="32" t="inlineStr">
        <is>
          <t>Důsledek: nelze uplatnit preferenční sazební zacházení, použije se plné třetizemní clo dle TARIC pro původ CN. To je u čínského původu očekávaný stav (EU nemá s ČLR preferenční dohodu) – žádný doklad tedy nechybí, ale je nutné to zohlednit při výpočtu cla.</t>
        </is>
      </c>
    </row>
    <row r="7">
      <c r="A7" s="32" t="inlineStr"/>
    </row>
    <row r="8">
      <c r="A8" s="30" t="inlineStr">
        <is>
          <t>CBAM – KONTROLA DLE REGISTRU reference/CBAM_receivers_CZ.xlsx (list List1)</t>
        </is>
      </c>
    </row>
    <row r="9" ht="30" customHeight="1">
      <c r="A9" s="31" t="inlineStr">
        <is>
          <t>PŘÍJEMCE „MIVARDI s.r.o.“ NENÍ V REGISTRU CBAM NALEZEN – ani ve sloupci Firma, ani mezi společnostmi využívajícími sdílený účet CBAM-CZ-2025-QGM67089385721 (prohledáno 100 záznamů). Nutno ověřit a případně doplnit do registru.</t>
        </is>
      </c>
    </row>
    <row r="10" ht="30" customHeight="1">
      <c r="A10" s="32" t="inlineStr">
        <is>
          <t>Věcně: žádná ze ZNÁMÝCH položek této zásilky (6210, 6306, 6601, 9507, 9508) není zbožím podléhajícím CBAM – status příjemce tedy zatím není potřeba.</t>
        </is>
      </c>
    </row>
    <row r="11" ht="30" customHeight="1">
      <c r="A11" s="31" t="inlineStr">
        <is>
          <t>ALE: u dodavatele ART OF TOOLS nejsou HS kódy známy. Pokud budou nerezové nástroje zařazeny do kapitoly 73 (např. 7326), jde o zboží podléhající CBAM a chybějící záznam příjemce v registru bude nutné vyřešit PŘED podáním JSD.</t>
        </is>
      </c>
    </row>
    <row r="12">
      <c r="A12" s="32" t="inlineStr"/>
    </row>
    <row r="13">
      <c r="A13" s="30" t="inlineStr">
        <is>
          <t>ANTIDUMPING</t>
        </is>
      </c>
    </row>
    <row r="14" ht="30" customHeight="1">
      <c r="A14" s="32" t="inlineStr">
        <is>
          <t>U známých HS kódů (62105000, 63062200, 66011000, 95073000, 95079000, 95089000) nejsou pro původ CN evidována antidumpingová opatření – ověřit v TARIC k datu propuštění.</t>
        </is>
      </c>
    </row>
    <row r="15" ht="30" customHeight="1">
      <c r="A15" s="31" t="inlineStr">
        <is>
          <t>U položek ART OF TOOLS nelze antidumping posoudit, dokud nebudou dodány HS kódy (u výrobků ze železa a oceli z ČLR opatření existují – nutno prověřit po doplnění kódů).</t>
        </is>
      </c>
    </row>
    <row r="16">
      <c r="A16" s="32" t="inlineStr"/>
    </row>
    <row r="17">
      <c r="A17" s="30" t="inlineStr">
        <is>
          <t>NESROVNALOSTI K UPŘESNĚNÍ</t>
        </is>
      </c>
    </row>
    <row r="18">
      <c r="A18" s="31" t="inlineStr">
        <is>
          <t>1) ART OF TOOLS – chybí HS kódy pro všech 7 položek (7 100 ks / 9 653 USD). Bez nich nelze podat JSD.</t>
        </is>
      </c>
    </row>
    <row r="19" ht="30" customHeight="1">
      <c r="A19" s="31" t="inlineStr">
        <is>
          <t>2) STAR TALENT – Tribomb Bait Rocket má v podkladu Kód KN 95089000 (kolotoče, houpačky, střelnice). Pro vnadící raketu se jeví jako chybné, pravděpodobně 95079000. Ponecháno dle podkladu – needitováno, prosím o potvrzení.</t>
        </is>
      </c>
    </row>
    <row r="20">
      <c r="A20" s="31" t="inlineStr">
        <is>
          <t>3) MAX FISHING – faktura uvádí dodací doložku „FOB Shanghai/Ningbo“ (dva přístavy). Pro JSD nutno určit jeden.</t>
        </is>
      </c>
    </row>
    <row r="21" ht="30" customHeight="1">
      <c r="A21" s="31" t="inlineStr">
        <is>
          <t>4) REVO – faktura v hlavičce „Port of Loading: NINGBO“, v položkové části „FOB ZHENGZHOU“, packing list „Zhengzhou“. Nutno upřesnit.</t>
        </is>
      </c>
    </row>
    <row r="22">
      <c r="A22" s="32" t="inlineStr">
        <is>
          <t>5) FCR pro NEXT GENERATION (ZIHWB260729FM120-3) je vystaven bez čísla FCR – ostatních pět má TECGO260800xx.</t>
        </is>
      </c>
    </row>
    <row r="23">
      <c r="A23" s="32" t="inlineStr"/>
    </row>
    <row r="24">
      <c r="A24" s="30" t="inlineStr">
        <is>
          <t>KONTROLNÍ SOUČTY – SOUHLASÍ</t>
        </is>
      </c>
    </row>
    <row r="25">
      <c r="A25" s="32" t="inlineStr">
        <is>
          <t>Součet hrubých hmotností všech 6 dodavatelů = 13 821,2 kg = údaj v nákladním listu SMGS č. 38040205 (kolonka 13).</t>
        </is>
      </c>
    </row>
    <row r="26">
      <c r="A26" s="32" t="inlineStr">
        <is>
          <t>Součet kartonů 240 + 157 + 179 + 44 + 140 + 450 = 1 210 = počet kusů v nákladním listu SMGS (kolonka 14).</t>
        </is>
      </c>
    </row>
    <row r="27">
      <c r="A27" s="32" t="inlineStr">
        <is>
          <t>Kontejner EMCU9573504 / 40HQ / plomba ZH175994, vlak WB/2026/07/29, Zhengzhou → Malaszewicze → Mala, CFS-CFS, freight collect.</t>
        </is>
      </c>
    </row>
    <row r="28">
      <c r="A28" s="32" t="inlineStr">
        <is>
          <t>Nákladní list SMGS uvádí pouze HS 630622 (FISHING BIVVY) a sběrné HS 99020000 – nejde o celní zařazení celé zásilky.</t>
        </is>
      </c>
    </row>
    <row r="29">
      <c r="A29" s="32" t="inlineStr"/>
    </row>
    <row r="30">
      <c r="A30" s="30" t="inlineStr">
        <is>
          <t>SEZNAM ZPRACOVANÝCH DOKLADŮ</t>
        </is>
      </c>
    </row>
    <row r="31">
      <c r="A31" s="32" t="inlineStr">
        <is>
          <t>art.7z: CI-F20260126.xls (faktura), PL.xlsx (packing list) – BEZ katalogu KN</t>
        </is>
      </c>
    </row>
    <row r="32">
      <c r="A32" s="32" t="inlineStr">
        <is>
          <t>eurosea.zip: eurosea.xlsx (katalog KN), EU20260305 PL IN.xls (faktura + packing list)</t>
        </is>
      </c>
    </row>
    <row r="33">
      <c r="A33" s="32" t="inlineStr">
        <is>
          <t>maxfishing.7z: max-fishing.xlsx (katalog KN), INV#20260601.xls (faktura + packing list)</t>
        </is>
      </c>
    </row>
    <row r="34">
      <c r="A34" s="32" t="inlineStr">
        <is>
          <t>next.7z: next.xlsx (katalog KN), NIC115-4660 PAYMENT invoice.pdf; + samostatně NIC115-4660 Invoice and Packing List.xlsx</t>
        </is>
      </c>
    </row>
    <row r="35">
      <c r="A35" s="32" t="inlineStr">
        <is>
          <t>revo.7z: revo.xlsx (katalog KN), DA RH260042-3.pdf (faktura + packing list)</t>
        </is>
      </c>
    </row>
    <row r="36">
      <c r="A36" s="32" t="inlineStr">
        <is>
          <t>startalent.7z: star-talent.xlsx (katalog KN), TD26079 MIVARDI SAHNGHAI TRAIN.xls (faktura + packing list)</t>
        </is>
      </c>
    </row>
    <row r="37">
      <c r="A37" s="32" t="inlineStr">
        <is>
          <t>FCR: TECGO26080025 (Star Talent), 26 (Eurosea), 32 (Art), 33 (Revo), 34 (Max Fishing), ZIHWB260729FM120-3 (Next Generation)</t>
        </is>
      </c>
    </row>
    <row r="38">
      <c r="A38" s="32" t="inlineStr">
        <is>
          <t>EMCU9573504.pdf – nákladní list SMGS č. 38040205 (naskenovaný)</t>
        </is>
      </c>
    </row>
  </sheetData>
  <mergeCells count="36">
    <mergeCell ref="A9:H9"/>
    <mergeCell ref="A30:H30"/>
    <mergeCell ref="A15:H15"/>
    <mergeCell ref="A24:H24"/>
    <mergeCell ref="A36:H36"/>
    <mergeCell ref="A11:H11"/>
    <mergeCell ref="A6:H6"/>
    <mergeCell ref="A7:H7"/>
    <mergeCell ref="A25:H25"/>
    <mergeCell ref="A16:H16"/>
    <mergeCell ref="A37:H37"/>
    <mergeCell ref="A27:H27"/>
    <mergeCell ref="A12:H12"/>
    <mergeCell ref="A18:H18"/>
    <mergeCell ref="A3:H3"/>
    <mergeCell ref="A21:H21"/>
    <mergeCell ref="A26:H26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35:H35"/>
    <mergeCell ref="A20:H20"/>
    <mergeCell ref="A38:H38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2026-08-13T10:45:42Z</dcterms:created>
  <dcterms:modified xsi:type="dcterms:W3CDTF">2026-08-13T10:47:04Z</dcterms:modified>
</cp:coreProperties>
</file>