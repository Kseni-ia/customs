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Code Summary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/>
    </xf>
    <xf numFmtId="4" fontId="4" fillId="0" borderId="1" applyAlignment="1" pivotButton="0" quotePrefix="0" xfId="0">
      <alignment vertical="center"/>
    </xf>
    <xf numFmtId="0" fontId="3" fillId="3" borderId="1" pivotButton="0" quotePrefix="0" xfId="0"/>
    <xf numFmtId="3" fontId="3" fillId="3" borderId="1" pivotButton="0" quotePrefix="0" xfId="0"/>
    <xf numFmtId="4" fontId="3" fillId="3" borderId="1" pivotButton="0" quotePrefix="0" xfId="0"/>
    <xf numFmtId="0" fontId="3" fillId="0" borderId="0" applyAlignment="1" pivotButton="0" quotePrefix="0" xfId="0">
      <alignment vertical="top"/>
    </xf>
    <xf numFmtId="0" fontId="3" fillId="4" borderId="0" applyAlignment="1" pivotButton="0" quotePrefix="0" xfId="0">
      <alignment vertical="top"/>
    </xf>
    <xf numFmtId="0" fontId="0" fillId="4" borderId="0" pivotButton="0" quotePrefix="0" xfId="0"/>
    <xf numFmtId="0" fontId="4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20" customWidth="1" min="3" max="3"/>
    <col width="34" customWidth="1" min="4" max="4"/>
    <col width="10" customWidth="1" min="5" max="5"/>
    <col width="7" customWidth="1" min="6" max="6"/>
    <col width="13" customWidth="1" min="7" max="7"/>
    <col width="15" customWidth="1" min="8" max="8"/>
    <col width="13" customWidth="1" min="9" max="9"/>
    <col width="14" customWidth="1" min="10" max="10"/>
    <col width="20" customWidth="1" min="11" max="11"/>
    <col width="22" customWidth="1" min="12" max="12"/>
    <col width="18" customWidth="1" min="13" max="13"/>
    <col width="8" customWidth="1" min="14" max="14"/>
    <col width="12" customWidth="1" min="15" max="15"/>
  </cols>
  <sheetData>
    <row r="1">
      <c r="A1" s="1" t="inlineStr">
        <is>
          <t>HS CODE SUMMARY — EXPORT</t>
        </is>
      </c>
    </row>
    <row r="2">
      <c r="A2" s="2" t="inlineStr">
        <is>
          <t>Hitachi Energy Czech Republic s.r.o.  →  Hitachi Energy Ltd, CHPGS, Lenzburg (CH)</t>
        </is>
      </c>
    </row>
    <row r="4">
      <c r="A4" s="3" t="inlineStr">
        <is>
          <t>Sender / Exporter</t>
        </is>
      </c>
      <c r="C4" s="4" t="inlineStr">
        <is>
          <t>Hitachi Energy Czech Republic s.r.o., CZ PGGI 6680, Novodvorska 1768/138a, 142 21 Praha, CZ</t>
        </is>
      </c>
    </row>
    <row r="5">
      <c r="A5" s="3" t="inlineStr">
        <is>
          <t>Consignee / Ship to</t>
        </is>
      </c>
      <c r="C5" s="4" t="inlineStr">
        <is>
          <t>Hitachi Energy Ltd, CHPGS, Fabrikstrasse 3, 5600 Lenzburg, Switzerland</t>
        </is>
      </c>
    </row>
    <row r="6">
      <c r="A6" s="3" t="inlineStr">
        <is>
          <t>Invoices</t>
        </is>
      </c>
      <c r="C6" s="4" t="inlineStr">
        <is>
          <t>810678814, 810678815, 810678816 — all dated 14.07.2026</t>
        </is>
      </c>
    </row>
    <row r="7">
      <c r="A7" s="3" t="inlineStr">
        <is>
          <t>Packing lists / Delivery Notes</t>
        </is>
      </c>
      <c r="C7" s="4" t="inlineStr">
        <is>
          <t>0923630619, 0923630645, 0923630666 — all dated 14.07.2026</t>
        </is>
      </c>
    </row>
    <row r="8">
      <c r="A8" s="3" t="inlineStr">
        <is>
          <t>Incoterm</t>
        </is>
      </c>
      <c r="C8" s="4" t="inlineStr">
        <is>
          <t>FCA Praha (FCA Prague)</t>
        </is>
      </c>
    </row>
    <row r="9">
      <c r="A9" s="3" t="inlineStr">
        <is>
          <t>Currency</t>
        </is>
      </c>
      <c r="C9" s="4" t="inlineStr">
        <is>
          <t>CHF (invoiced); CZK at 1 CHF = 26.26900 CZK</t>
        </is>
      </c>
    </row>
    <row r="10">
      <c r="A10" s="3" t="inlineStr">
        <is>
          <t>Packing</t>
        </is>
      </c>
      <c r="C10" s="4" t="inlineStr">
        <is>
          <t>1 pallet 80 x 60 x 77 cm, 130 kg gross incl. pallet</t>
        </is>
      </c>
    </row>
    <row r="11">
      <c r="A11" s="3" t="inlineStr">
        <is>
          <t>EU exit office / Truck</t>
        </is>
      </c>
      <c r="C11" s="4" t="inlineStr">
        <is>
          <t>Zdiby 610201 / SPZ 6A40731</t>
        </is>
      </c>
    </row>
    <row r="14" ht="34" customHeight="1">
      <c r="A14" s="5" t="inlineStr">
        <is>
          <t>Sender</t>
        </is>
      </c>
      <c r="B14" s="5" t="inlineStr">
        <is>
          <t>HS code</t>
        </is>
      </c>
      <c r="C14" s="5" t="inlineStr">
        <is>
          <t>Description (CZ)</t>
        </is>
      </c>
      <c r="D14" s="5" t="inlineStr">
        <is>
          <t>Description (EN)</t>
        </is>
      </c>
      <c r="E14" s="5" t="inlineStr">
        <is>
          <t>Quantity</t>
        </is>
      </c>
      <c r="F14" s="5" t="inlineStr">
        <is>
          <t>Unit</t>
        </is>
      </c>
      <c r="G14" s="5" t="inlineStr">
        <is>
          <t>Net weight (kg)</t>
        </is>
      </c>
      <c r="H14" s="5" t="inlineStr">
        <is>
          <t>Gross weight (kg)</t>
        </is>
      </c>
      <c r="I14" s="5" t="inlineStr">
        <is>
          <t>Price (CHF)</t>
        </is>
      </c>
      <c r="J14" s="5" t="inlineStr">
        <is>
          <t>Price (CZK)</t>
        </is>
      </c>
      <c r="K14" s="5" t="inlineStr">
        <is>
          <t>Invoice No.</t>
        </is>
      </c>
      <c r="L14" s="5" t="inlineStr">
        <is>
          <t>Packing list / Delivery Note No.</t>
        </is>
      </c>
      <c r="M14" s="5" t="inlineStr">
        <is>
          <t>Country of origin</t>
        </is>
      </c>
      <c r="N14" s="5" t="inlineStr">
        <is>
          <t>CBAM</t>
        </is>
      </c>
      <c r="O14" s="5" t="inlineStr">
        <is>
          <t>Antidumping</t>
        </is>
      </c>
    </row>
    <row r="15">
      <c r="A15" s="6" t="inlineStr">
        <is>
          <t>Hitachi Energy Czech Republic s.r.o.</t>
        </is>
      </c>
      <c r="B15" s="6" t="inlineStr">
        <is>
          <t>8541 30 00</t>
        </is>
      </c>
      <c r="C15" s="7" t="inlineStr">
        <is>
          <t>Tyristory</t>
        </is>
      </c>
      <c r="D15" s="7" t="inlineStr">
        <is>
          <t>Thyristors (YST 60 P85 / YST 45 P42)</t>
        </is>
      </c>
      <c r="E15" s="8" t="n">
        <v>8</v>
      </c>
      <c r="F15" s="6" t="inlineStr">
        <is>
          <t>PC</t>
        </is>
      </c>
      <c r="G15" s="9" t="n">
        <v>15.68</v>
      </c>
      <c r="H15" s="9" t="n">
        <v>15.68</v>
      </c>
      <c r="I15" s="9" t="n">
        <v>5560</v>
      </c>
      <c r="J15" s="9" t="n">
        <v>146055.64</v>
      </c>
      <c r="K15" s="7" t="inlineStr">
        <is>
          <t>810678814</t>
        </is>
      </c>
      <c r="L15" s="7" t="inlineStr">
        <is>
          <t>0923630619</t>
        </is>
      </c>
      <c r="M15" s="7" t="inlineStr">
        <is>
          <t>CZ</t>
        </is>
      </c>
      <c r="N15" s="6" t="inlineStr">
        <is>
          <t>No</t>
        </is>
      </c>
      <c r="O15" s="6" t="inlineStr">
        <is>
          <t>No</t>
        </is>
      </c>
    </row>
    <row r="16">
      <c r="A16" s="6" t="inlineStr">
        <is>
          <t>Hitachi Energy Czech Republic s.r.o.</t>
        </is>
      </c>
      <c r="B16" s="6" t="inlineStr">
        <is>
          <t>8102 99 00</t>
        </is>
      </c>
      <c r="C16" s="7" t="inlineStr">
        <is>
          <t>Molybdenové disky</t>
        </is>
      </c>
      <c r="D16" s="7" t="inlineStr">
        <is>
          <t>Molybdenum discs (Mo Disc (K) / Mo-Disc (A) YST 100)</t>
        </is>
      </c>
      <c r="E16" s="8" t="n">
        <v>200</v>
      </c>
      <c r="F16" s="6" t="inlineStr">
        <is>
          <t>PC</t>
        </is>
      </c>
      <c r="G16" s="9" t="n">
        <v>80</v>
      </c>
      <c r="H16" s="9" t="n">
        <v>82</v>
      </c>
      <c r="I16" s="9" t="n">
        <v>27920</v>
      </c>
      <c r="J16" s="9" t="n">
        <v>733430.48</v>
      </c>
      <c r="K16" s="7" t="inlineStr">
        <is>
          <t>810678815; 810678816</t>
        </is>
      </c>
      <c r="L16" s="7" t="inlineStr">
        <is>
          <t>0923630645; 0923630666</t>
        </is>
      </c>
      <c r="M16" s="7" t="inlineStr">
        <is>
          <t>Not stated on invoice</t>
        </is>
      </c>
      <c r="N16" s="6" t="inlineStr">
        <is>
          <t>No</t>
        </is>
      </c>
      <c r="O16" s="6" t="inlineStr">
        <is>
          <t>No</t>
        </is>
      </c>
    </row>
    <row r="17">
      <c r="A17" s="10" t="inlineStr">
        <is>
          <t>TOTAL</t>
        </is>
      </c>
      <c r="B17" s="10" t="n"/>
      <c r="C17" s="10" t="n"/>
      <c r="D17" s="10" t="n"/>
      <c r="E17" s="11">
        <f>SUM(E15:E16)</f>
        <v>208</v>
      </c>
      <c r="F17" s="10" t="n"/>
      <c r="G17" s="12">
        <f>SUM(G15:G16)</f>
        <v>95.68</v>
      </c>
      <c r="H17" s="12">
        <f>SUM(H15:H16)</f>
        <v>97.68</v>
      </c>
      <c r="I17" s="12">
        <f>SUM(I15:I16)</f>
        <v>33480</v>
      </c>
      <c r="J17" s="12">
        <f>SUM(J15:J16)</f>
        <v>879486.12</v>
      </c>
      <c r="K17" s="10" t="n"/>
      <c r="L17" s="10" t="n"/>
      <c r="M17" s="10" t="n"/>
      <c r="N17" s="10" t="n"/>
      <c r="O17" s="10" t="n"/>
    </row>
    <row r="19">
      <c r="A19" s="13" t="inlineStr">
        <is>
          <t>NOTES</t>
        </is>
      </c>
    </row>
    <row r="20" ht="30" customHeight="1">
      <c r="A20" s="14" t="inlineStr">
        <is>
          <t>Preferenční věta (preferential origin declaration)</t>
        </is>
      </c>
      <c r="B20" s="15" t="n"/>
      <c r="C20" s="16" t="inlineStr">
        <is>
          <t>NOT PRESENT on any of the three invoices. Without it the goods cannot claim EU–CH preferential tariff treatment on import into Switzerland — Swiss third-country duty applies. Recommend the exporter adds the origin declaration to the invoices before clearance.</t>
        </is>
      </c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 ht="30" customHeight="1">
      <c r="A21" s="14" t="inlineStr">
        <is>
          <t>Country of origin</t>
        </is>
      </c>
      <c r="B21" s="15" t="n"/>
      <c r="C21" s="16" t="inlineStr">
        <is>
          <t>Invoice 810678814 (thyristors) states CZ. Invoices 810678815 / 810678816 (Mo discs) leave 'Country of Origin' BLANK — must be confirmed with the exporter before the export declaration is lodged.</t>
        </is>
      </c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 ht="30" customHeight="1">
      <c r="A22" s="13" t="inlineStr">
        <is>
          <t>Gross weight</t>
        </is>
      </c>
      <c r="C22" s="17" t="inlineStr">
        <is>
          <t>Sum of the delivery-note gross weights = 97.68 kg. The e-mail states 130 kg for the pallet, i.e. approx. 32.3 kg pallet + packaging, which is not allocated per HS code on the documents.</t>
        </is>
      </c>
    </row>
    <row r="23" ht="30" customHeight="1">
      <c r="A23" s="13" t="inlineStr">
        <is>
          <t>Delivery note 0923630619</t>
        </is>
      </c>
      <c r="C23" s="17" t="inlineStr">
        <is>
          <t>Shows gross weight = net weight = 15.68 kg (no packaging weight declared for the thyristors).</t>
        </is>
      </c>
    </row>
    <row r="24" ht="30" customHeight="1">
      <c r="A24" s="13" t="inlineStr">
        <is>
          <t>HS 8541 30 00</t>
        </is>
      </c>
      <c r="C24" s="17" t="inlineStr">
        <is>
          <t>Thyristors, diacs and triacs, other than photosensitive semiconductor devices. Matches the Export HS Code declared by the supplier.</t>
        </is>
      </c>
    </row>
    <row r="25" ht="30" customHeight="1">
      <c r="A25" s="13" t="inlineStr">
        <is>
          <t>HS 8102 99 00</t>
        </is>
      </c>
      <c r="C25" s="17" t="inlineStr">
        <is>
          <t>Molybdenum and articles thereof — other. Matches the Export/Import HS Code declared by the supplier. If the discs are simply cut plate/sheet rather than finished articles, 8102 95 00 would be the alternative — confirm with the exporter if challenged.</t>
        </is>
      </c>
    </row>
    <row r="26" ht="30" customHeight="1">
      <c r="A26" s="13" t="inlineStr">
        <is>
          <t>CBAM</t>
        </is>
      </c>
      <c r="C26" s="17" t="inlineStr">
        <is>
          <t>Not applicable. CBAM applies to imports into the EU, not exports; molybdenum is outside CBAM scope (iron/steel, aluminium, cement, fertilisers, electricity, hydrogen).</t>
        </is>
      </c>
    </row>
    <row r="27" ht="30" customHeight="1">
      <c r="A27" s="13" t="inlineStr">
        <is>
          <t>Antidumping</t>
        </is>
      </c>
      <c r="C27" s="17" t="inlineStr">
        <is>
          <t>No antidumping measures identified for either HS code on this export.</t>
        </is>
      </c>
    </row>
    <row r="28" ht="30" customHeight="1">
      <c r="A28" s="13" t="inlineStr">
        <is>
          <t>Trade discount</t>
        </is>
      </c>
      <c r="C28" s="17" t="inlineStr">
        <is>
          <t>None applied on any of the three invoices — no proportional allocation required.</t>
        </is>
      </c>
    </row>
    <row r="29" ht="30" customHeight="1">
      <c r="A29" s="13" t="inlineStr">
        <is>
          <t>Exchange rate</t>
        </is>
      </c>
      <c r="C29" s="17" t="inlineStr">
        <is>
          <t>1 CHF = 26.26900 CZK, as stated on the invoices.</t>
        </is>
      </c>
    </row>
    <row r="30" ht="30" customHeight="1">
      <c r="A30" s="13" t="inlineStr">
        <is>
          <t>Dual use</t>
        </is>
      </c>
      <c r="C30" s="17" t="inlineStr">
        <is>
          <t>All items marked 'Not Dual Use' (ECN Code) on the invoices.</t>
        </is>
      </c>
    </row>
  </sheetData>
  <mergeCells count="11">
    <mergeCell ref="C27:L27"/>
    <mergeCell ref="C23:L23"/>
    <mergeCell ref="C22:L22"/>
    <mergeCell ref="C26:L26"/>
    <mergeCell ref="C29:L29"/>
    <mergeCell ref="C21:L21"/>
    <mergeCell ref="C30:L30"/>
    <mergeCell ref="C20:L20"/>
    <mergeCell ref="C24:L24"/>
    <mergeCell ref="C25:L25"/>
    <mergeCell ref="C28:L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18" customWidth="1" min="4" max="4"/>
    <col width="42" customWidth="1" min="5" max="5"/>
    <col width="12" customWidth="1" min="6" max="6"/>
    <col width="10" customWidth="1" min="7" max="7"/>
    <col width="7" customWidth="1" min="8" max="8"/>
    <col width="15" customWidth="1" min="9" max="9"/>
    <col width="16" customWidth="1" min="10" max="10"/>
    <col width="13" customWidth="1" min="11" max="11"/>
    <col width="15" customWidth="1" min="12" max="12"/>
    <col width="16" customWidth="1" min="13" max="13"/>
    <col width="13" customWidth="1" min="14" max="14"/>
  </cols>
  <sheetData>
    <row r="1">
      <c r="A1" s="18" t="inlineStr">
        <is>
          <t>SOURCE LINE ITEMS (before merging to unique HS codes)</t>
        </is>
      </c>
    </row>
    <row r="3" ht="32" customHeight="1">
      <c r="A3" s="5" t="inlineStr">
        <is>
          <t>Invoice No.</t>
        </is>
      </c>
      <c r="B3" s="5" t="inlineStr">
        <is>
          <t>Packing list / DN No.</t>
        </is>
      </c>
      <c r="C3" s="5" t="inlineStr">
        <is>
          <t>Item</t>
        </is>
      </c>
      <c r="D3" s="5" t="inlineStr">
        <is>
          <t>Material No.</t>
        </is>
      </c>
      <c r="E3" s="5" t="inlineStr">
        <is>
          <t>Material description</t>
        </is>
      </c>
      <c r="F3" s="5" t="inlineStr">
        <is>
          <t>HS code</t>
        </is>
      </c>
      <c r="G3" s="5" t="inlineStr">
        <is>
          <t>Quantity</t>
        </is>
      </c>
      <c r="H3" s="5" t="inlineStr">
        <is>
          <t>Unit</t>
        </is>
      </c>
      <c r="I3" s="5" t="inlineStr">
        <is>
          <t>Price/unit (CHF)</t>
        </is>
      </c>
      <c r="J3" s="5" t="inlineStr">
        <is>
          <t>Net amount (CHF)</t>
        </is>
      </c>
      <c r="K3" s="5" t="inlineStr">
        <is>
          <t>Net weight (kg)</t>
        </is>
      </c>
      <c r="L3" s="5" t="inlineStr">
        <is>
          <t>Gross weight (kg)</t>
        </is>
      </c>
      <c r="M3" s="5" t="inlineStr">
        <is>
          <t>Country of origin</t>
        </is>
      </c>
      <c r="N3" s="5" t="inlineStr">
        <is>
          <t>Incoterm</t>
        </is>
      </c>
    </row>
    <row r="4">
      <c r="A4" s="6" t="inlineStr">
        <is>
          <t>810678814</t>
        </is>
      </c>
      <c r="B4" s="6" t="inlineStr">
        <is>
          <t>0923630619</t>
        </is>
      </c>
      <c r="C4" s="6" t="n">
        <v>70</v>
      </c>
      <c r="D4" s="6" t="inlineStr">
        <is>
          <t>5STP 2485N0006</t>
        </is>
      </c>
      <c r="E4" s="7" t="inlineStr">
        <is>
          <t>YST 60 P85 / Thyristor</t>
        </is>
      </c>
      <c r="F4" s="6" t="inlineStr">
        <is>
          <t>8541 30 00</t>
        </is>
      </c>
      <c r="G4" s="8" t="n">
        <v>4</v>
      </c>
      <c r="H4" s="6" t="inlineStr">
        <is>
          <t>PC</t>
        </is>
      </c>
      <c r="I4" s="9" t="n">
        <v>916</v>
      </c>
      <c r="J4" s="9" t="n">
        <v>3664</v>
      </c>
      <c r="K4" s="9" t="n">
        <v>10.4</v>
      </c>
      <c r="L4" s="9" t="n">
        <v>10.4</v>
      </c>
      <c r="M4" s="6" t="inlineStr">
        <is>
          <t>CZ</t>
        </is>
      </c>
      <c r="N4" s="6" t="inlineStr">
        <is>
          <t>FCA Praha</t>
        </is>
      </c>
    </row>
    <row r="5">
      <c r="A5" s="6" t="inlineStr">
        <is>
          <t>810678814</t>
        </is>
      </c>
      <c r="B5" s="6" t="inlineStr">
        <is>
          <t>0923630619</t>
        </is>
      </c>
      <c r="C5" s="6" t="n">
        <v>90</v>
      </c>
      <c r="D5" s="6" t="inlineStr">
        <is>
          <t>5STP 2842L0025</t>
        </is>
      </c>
      <c r="E5" s="7" t="inlineStr">
        <is>
          <t>YST 45 P42 / Thyristor (Siemens P/N A5E00461939)</t>
        </is>
      </c>
      <c r="F5" s="6" t="inlineStr">
        <is>
          <t>8541 30 00</t>
        </is>
      </c>
      <c r="G5" s="8" t="n">
        <v>4</v>
      </c>
      <c r="H5" s="6" t="inlineStr">
        <is>
          <t>PC</t>
        </is>
      </c>
      <c r="I5" s="9" t="n">
        <v>474</v>
      </c>
      <c r="J5" s="9" t="n">
        <v>1896</v>
      </c>
      <c r="K5" s="9" t="n">
        <v>5.28</v>
      </c>
      <c r="L5" s="9" t="n">
        <v>5.28</v>
      </c>
      <c r="M5" s="6" t="inlineStr">
        <is>
          <t>CZ</t>
        </is>
      </c>
      <c r="N5" s="6" t="inlineStr">
        <is>
          <t>FCA Praha</t>
        </is>
      </c>
    </row>
    <row r="6">
      <c r="A6" s="6" t="inlineStr">
        <is>
          <t>810678815</t>
        </is>
      </c>
      <c r="B6" s="6" t="inlineStr">
        <is>
          <t>0923630645</t>
        </is>
      </c>
      <c r="C6" s="6" t="n">
        <v>10</v>
      </c>
      <c r="D6" s="6" t="inlineStr">
        <is>
          <t>5SXC 15-0155</t>
        </is>
      </c>
      <c r="E6" s="7" t="inlineStr">
        <is>
          <t>Mo Disc (K) YST 100</t>
        </is>
      </c>
      <c r="F6" s="6" t="inlineStr">
        <is>
          <t>8102 99 00</t>
        </is>
      </c>
      <c r="G6" s="8" t="n">
        <v>150</v>
      </c>
      <c r="H6" s="6" t="inlineStr">
        <is>
          <t>PC</t>
        </is>
      </c>
      <c r="I6" s="9" t="n">
        <v>139.6</v>
      </c>
      <c r="J6" s="9" t="n">
        <v>20940</v>
      </c>
      <c r="K6" s="9" t="n">
        <v>60</v>
      </c>
      <c r="L6" s="9" t="n">
        <v>61.5</v>
      </c>
      <c r="M6" s="6" t="inlineStr">
        <is>
          <t>Not stated</t>
        </is>
      </c>
      <c r="N6" s="6" t="inlineStr">
        <is>
          <t>FCA Praha</t>
        </is>
      </c>
    </row>
    <row r="7">
      <c r="A7" s="6" t="inlineStr">
        <is>
          <t>810678816</t>
        </is>
      </c>
      <c r="B7" s="6" t="inlineStr">
        <is>
          <t>0923630666</t>
        </is>
      </c>
      <c r="C7" s="6" t="n">
        <v>10</v>
      </c>
      <c r="D7" s="6" t="inlineStr">
        <is>
          <t>5SXC 15-0154</t>
        </is>
      </c>
      <c r="E7" s="7" t="inlineStr">
        <is>
          <t>Mo-Disc (A) YST 100</t>
        </is>
      </c>
      <c r="F7" s="6" t="inlineStr">
        <is>
          <t>8102 99 00</t>
        </is>
      </c>
      <c r="G7" s="8" t="n">
        <v>50</v>
      </c>
      <c r="H7" s="6" t="inlineStr">
        <is>
          <t>PC</t>
        </is>
      </c>
      <c r="I7" s="9" t="n">
        <v>139.6</v>
      </c>
      <c r="J7" s="9" t="n">
        <v>6980</v>
      </c>
      <c r="K7" s="9" t="n">
        <v>20</v>
      </c>
      <c r="L7" s="9" t="n">
        <v>20.5</v>
      </c>
      <c r="M7" s="6" t="inlineStr">
        <is>
          <t>Not stated</t>
        </is>
      </c>
      <c r="N7" s="6" t="inlineStr">
        <is>
          <t>FCA Praha</t>
        </is>
      </c>
    </row>
    <row r="8">
      <c r="A8" s="10" t="inlineStr">
        <is>
          <t>TOTAL</t>
        </is>
      </c>
      <c r="B8" s="10" t="n"/>
      <c r="C8" s="10" t="n"/>
      <c r="D8" s="10" t="n"/>
      <c r="E8" s="10" t="n"/>
      <c r="F8" s="10" t="n"/>
      <c r="G8" s="11">
        <f>SUM(G4:G7)</f>
        <v>208</v>
      </c>
      <c r="H8" s="10" t="n"/>
      <c r="I8" s="12" t="n"/>
      <c r="J8" s="12">
        <f>SUM(J4:J7)</f>
        <v>33480</v>
      </c>
      <c r="K8" s="12">
        <f>SUM(K4:K7)</f>
        <v>95.68</v>
      </c>
      <c r="L8" s="12">
        <f>SUM(L4:L7)</f>
        <v>97.68</v>
      </c>
      <c r="M8" s="10" t="n"/>
      <c r="N8" s="10" t="n"/>
    </row>
    <row r="10">
      <c r="A10" s="2" t="inlineStr">
        <is>
          <t>Delivery note 0923630619 declares gross weight = net weight = 15.68 kg for the two thyristor lines combined (no packaging weight declared); the gross column therefore repeats the net weight per 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2026-07-29T13:52:07Z</dcterms:created>
  <dcterms:modified xsi:type="dcterms:W3CDTF">2026-07-29T13:52:07Z</dcterms:modified>
</cp:coreProperties>
</file>