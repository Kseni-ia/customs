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 dle PN" sheetId="1" state="visible" r:id="rId1"/>
    <sheet name="Detail dle faktur" sheetId="2" state="visible" r:id="rId2"/>
    <sheet name="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color rgb="00595959"/>
      <sz val="9"/>
    </font>
    <font>
      <i val="1"/>
      <color rgb="00C00000"/>
      <sz val="9"/>
    </font>
    <font>
      <color rgb="00C00000"/>
      <sz val="9"/>
    </font>
    <font>
      <b val="1"/>
    </font>
    <font>
      <b val="1"/>
      <color rgb="00000000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4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3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4" fontId="5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4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12" customWidth="1" min="4" max="4"/>
    <col width="10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5" customWidth="1" min="12" max="12"/>
    <col width="16" customWidth="1" min="13" max="13"/>
    <col width="40" customWidth="1" min="14" max="14"/>
  </cols>
  <sheetData>
    <row r="1" ht="34" customHeight="1">
      <c r="A1" s="1" t="inlineStr">
        <is>
          <t>Part number (P/N)</t>
        </is>
      </c>
      <c r="B1" s="1" t="inlineStr">
        <is>
          <t>Popis zboží (EN – dle dokladů)</t>
        </is>
      </c>
      <c r="C1" s="1" t="inlineStr">
        <is>
          <t>Popis zboží (CZ)</t>
        </is>
      </c>
      <c r="D1" s="1" t="inlineStr">
        <is>
          <t>HS kód</t>
        </is>
      </c>
      <c r="E1" s="1" t="inlineStr">
        <is>
          <t>Země původu</t>
        </is>
      </c>
      <c r="F1" s="1" t="inlineStr">
        <is>
          <t>Číslo faktury</t>
        </is>
      </c>
      <c r="G1" s="1" t="inlineStr">
        <is>
          <t>Packing No.</t>
        </is>
      </c>
      <c r="H1" s="1" t="inlineStr">
        <is>
          <t>Množství (ks)</t>
        </is>
      </c>
      <c r="I1" s="1" t="inlineStr">
        <is>
          <t>Čistá hmotnost (kg)</t>
        </is>
      </c>
      <c r="J1" s="1" t="inlineStr">
        <is>
          <t>Hrubá hmotnost (kg)</t>
        </is>
      </c>
      <c r="K1" s="1" t="inlineStr">
        <is>
          <t>Jednotková cena (USD)</t>
        </is>
      </c>
      <c r="L1" s="1" t="inlineStr">
        <is>
          <t>Celková hodnota (USD)</t>
        </is>
      </c>
      <c r="M1" s="1" t="inlineStr">
        <is>
          <t>Incoterm</t>
        </is>
      </c>
      <c r="N1" s="1" t="inlineStr">
        <is>
          <t>Poznámka</t>
        </is>
      </c>
    </row>
    <row r="2" ht="50" customHeight="1">
      <c r="A2" s="2" t="inlineStr">
        <is>
          <t>R7C75-60501</t>
        </is>
      </c>
      <c r="B2" s="3" t="inlineStr">
        <is>
          <t>PCA, 2U COMMON BACKPLANE, RAIDER</t>
        </is>
      </c>
      <c r="C2" s="3" t="inlineStr">
        <is>
          <t>Osazená deska plošných spojů – 2U společná propojovací deska / backplane (Raider); část a příslušenství strojů pro automatizované zpracování dat</t>
        </is>
      </c>
      <c r="D2" s="2" t="inlineStr">
        <is>
          <t>8473302000</t>
        </is>
      </c>
      <c r="E2" s="2" t="inlineStr">
        <is>
          <t>VN</t>
        </is>
      </c>
      <c r="F2" s="2" t="inlineStr">
        <is>
          <t>8705784390</t>
        </is>
      </c>
      <c r="G2" s="2" t="inlineStr">
        <is>
          <t>P7V72680221</t>
        </is>
      </c>
      <c r="H2" s="4" t="n">
        <v>240</v>
      </c>
      <c r="I2" s="5" t="n">
        <v>142.32</v>
      </c>
      <c r="J2" s="5" t="n">
        <v>225</v>
      </c>
      <c r="K2" s="6" t="n">
        <v>500.51</v>
      </c>
      <c r="L2" s="6" t="n">
        <v>120122.4</v>
      </c>
      <c r="M2" s="2" t="inlineStr">
        <is>
          <t>DDP Kutna Hora</t>
        </is>
      </c>
      <c r="N2" s="7" t="inlineStr"/>
    </row>
    <row r="3" ht="50" customHeight="1">
      <c r="A3" s="2" t="inlineStr">
        <is>
          <t>P51267-001</t>
        </is>
      </c>
      <c r="B3" s="3" t="inlineStr">
        <is>
          <t>ASSY, DISCOVERY, MODULE W/PCA, RAIDER</t>
        </is>
      </c>
      <c r="C3" s="3" t="inlineStr">
        <is>
          <t>Modul s osazenou deskou plošných spojů (Discovery, Raider); část a příslušenství strojů pro automatizované zpracování dat</t>
        </is>
      </c>
      <c r="D3" s="2" t="inlineStr">
        <is>
          <t>8473302000</t>
        </is>
      </c>
      <c r="E3" s="2" t="inlineStr">
        <is>
          <t>VN</t>
        </is>
      </c>
      <c r="F3" s="2" t="inlineStr">
        <is>
          <t>8705784386</t>
        </is>
      </c>
      <c r="G3" s="2" t="inlineStr">
        <is>
          <t>P7V72680222</t>
        </is>
      </c>
      <c r="H3" s="4" t="n">
        <v>384</v>
      </c>
      <c r="I3" s="5" t="n">
        <v>96</v>
      </c>
      <c r="J3" s="5" t="n">
        <v>166</v>
      </c>
      <c r="K3" s="6" t="n">
        <v>194.59</v>
      </c>
      <c r="L3" s="6" t="n">
        <v>74722.56</v>
      </c>
      <c r="M3" s="2" t="inlineStr">
        <is>
          <t>DDP Kutna Hora</t>
        </is>
      </c>
      <c r="N3" s="7" t="inlineStr"/>
    </row>
    <row r="4" ht="50" customHeight="1">
      <c r="A4" s="8" t="inlineStr">
        <is>
          <t>R7C75-60503</t>
        </is>
      </c>
      <c r="B4" s="9" t="inlineStr">
        <is>
          <t>PCA, THERMAL SENSOR BOARD RAIDER</t>
        </is>
      </c>
      <c r="C4" s="9" t="inlineStr">
        <is>
          <t>Osazená deska plošných spojů – deska tepelných čidel (Raider); část a příslušenství strojů pro automatizované zpracování dat</t>
        </is>
      </c>
      <c r="D4" s="8" t="inlineStr">
        <is>
          <t>8473302000</t>
        </is>
      </c>
      <c r="E4" s="8" t="inlineStr">
        <is>
          <t>VN</t>
        </is>
      </c>
      <c r="F4" s="8" t="inlineStr">
        <is>
          <t>8705784378*</t>
        </is>
      </c>
      <c r="G4" s="8" t="inlineStr">
        <is>
          <t>P7V72680227</t>
        </is>
      </c>
      <c r="H4" s="10" t="n">
        <v>364</v>
      </c>
      <c r="I4" s="11" t="n">
        <v>6.608</v>
      </c>
      <c r="J4" s="11" t="n">
        <v>19.404</v>
      </c>
      <c r="K4" s="12" t="inlineStr">
        <is>
          <t>chybí</t>
        </is>
      </c>
      <c r="L4" s="12" t="inlineStr">
        <is>
          <t>chybí</t>
        </is>
      </c>
      <c r="M4" s="8" t="inlineStr">
        <is>
          <t>DDP Kutna Hora</t>
        </is>
      </c>
      <c r="N4" s="13" t="inlineStr">
        <is>
          <t>⚠ FAKTURA NEDODÁNA – chybí cena. Číslo faktury/SO odvozeno z packing listu.</t>
        </is>
      </c>
    </row>
    <row r="5" ht="50" customHeight="1">
      <c r="A5" s="2" t="inlineStr">
        <is>
          <t>R7C79-60201</t>
        </is>
      </c>
      <c r="B5" s="3" t="inlineStr">
        <is>
          <t>PCA, 7 SEGMENT DISPLAY RAIDER</t>
        </is>
      </c>
      <c r="C5" s="3" t="inlineStr">
        <is>
          <t>Osazená deska plošných spojů – 7segmentový displej (Raider); část a příslušenství strojů pro automatizované zpracování dat</t>
        </is>
      </c>
      <c r="D5" s="2" t="inlineStr">
        <is>
          <t>8473302000</t>
        </is>
      </c>
      <c r="E5" s="2" t="inlineStr">
        <is>
          <t>VN</t>
        </is>
      </c>
      <c r="F5" s="2" t="inlineStr">
        <is>
          <t>8705784380</t>
        </is>
      </c>
      <c r="G5" s="2" t="inlineStr">
        <is>
          <t>P7V72680227</t>
        </is>
      </c>
      <c r="H5" s="4" t="n">
        <v>756</v>
      </c>
      <c r="I5" s="5" t="n">
        <v>13.723</v>
      </c>
      <c r="J5" s="5" t="n">
        <v>40.302</v>
      </c>
      <c r="K5" s="6" t="n">
        <v>20.91</v>
      </c>
      <c r="L5" s="6" t="n">
        <v>15807.96</v>
      </c>
      <c r="M5" s="2" t="inlineStr">
        <is>
          <t>DDP Kutna Hora</t>
        </is>
      </c>
      <c r="N5" s="7" t="inlineStr">
        <is>
          <t>Hmotnost rozpočtena – sdílená paleta P7V72680227.</t>
        </is>
      </c>
    </row>
    <row r="6" ht="50" customHeight="1">
      <c r="A6" s="2" t="inlineStr">
        <is>
          <t>R7C79-60304</t>
        </is>
      </c>
      <c r="B6" s="3" t="inlineStr">
        <is>
          <t>PCA, ETHERNET MEZZ CARD RAIDER</t>
        </is>
      </c>
      <c r="C6" s="3" t="inlineStr">
        <is>
          <t>Osazená deska plošných spojů – ethernetová mezzanine karta (Raider); část a příslušenství strojů pro automatizované zpracování dat</t>
        </is>
      </c>
      <c r="D6" s="2" t="inlineStr">
        <is>
          <t>8473302000</t>
        </is>
      </c>
      <c r="E6" s="2" t="inlineStr">
        <is>
          <t>VN</t>
        </is>
      </c>
      <c r="F6" s="2" t="inlineStr">
        <is>
          <t>8705784383</t>
        </is>
      </c>
      <c r="G6" s="2" t="inlineStr">
        <is>
          <t>P7V72680227</t>
        </is>
      </c>
      <c r="H6" s="4" t="n">
        <v>240</v>
      </c>
      <c r="I6" s="5" t="n">
        <v>4.357</v>
      </c>
      <c r="J6" s="5" t="n">
        <v>12.794</v>
      </c>
      <c r="K6" s="6" t="n">
        <v>177.16</v>
      </c>
      <c r="L6" s="6" t="n">
        <v>42518.4</v>
      </c>
      <c r="M6" s="2" t="inlineStr">
        <is>
          <t>DDP Kutna Hora</t>
        </is>
      </c>
      <c r="N6" s="7" t="inlineStr">
        <is>
          <t>Hmotnost rozpočtena – sdílená paleta P7V72680227.</t>
        </is>
      </c>
    </row>
    <row r="7" ht="50" customHeight="1">
      <c r="A7" s="8" t="inlineStr">
        <is>
          <t>P43802-001</t>
        </is>
      </c>
      <c r="B7" s="9" t="inlineStr">
        <is>
          <t>GNRC, PCA, DL20G10+, 4SFF BP</t>
        </is>
      </c>
      <c r="C7" s="9" t="inlineStr">
        <is>
          <t>Osazená deska plošných spojů – backplane 4SFF pro DL20 Gen10+; část a příslušenství strojů pro automatizované zpracování dat</t>
        </is>
      </c>
      <c r="D7" s="8" t="inlineStr">
        <is>
          <t>8473302000</t>
        </is>
      </c>
      <c r="E7" s="8" t="inlineStr">
        <is>
          <t>VN</t>
        </is>
      </c>
      <c r="F7" s="8" t="inlineStr">
        <is>
          <t>8705785506*</t>
        </is>
      </c>
      <c r="G7" s="8" t="inlineStr">
        <is>
          <t>P7V72680230</t>
        </is>
      </c>
      <c r="H7" s="10" t="n">
        <v>180</v>
      </c>
      <c r="I7" s="11" t="n">
        <v>9</v>
      </c>
      <c r="J7" s="11" t="n">
        <v>33</v>
      </c>
      <c r="K7" s="12" t="inlineStr">
        <is>
          <t>chybí</t>
        </is>
      </c>
      <c r="L7" s="12" t="inlineStr">
        <is>
          <t>chybí</t>
        </is>
      </c>
      <c r="M7" s="8" t="inlineStr">
        <is>
          <t>DDP Kutna Hora</t>
        </is>
      </c>
      <c r="N7" s="13" t="inlineStr">
        <is>
          <t>⚠ FAKTURA NEDODÁNA – chybí cena. Číslo faktury/SO odvozeno z packing listu.</t>
        </is>
      </c>
    </row>
    <row r="8" ht="50" customHeight="1">
      <c r="A8" s="2" t="inlineStr">
        <is>
          <t>P59903-001</t>
        </is>
      </c>
      <c r="B8" s="3" t="inlineStr">
        <is>
          <t>GNRC, PCA, SHORT 1U RACK GEN11 PDB</t>
        </is>
      </c>
      <c r="C8" s="3" t="inlineStr">
        <is>
          <t>Osazená deska plošných spojů – rozvodná deska napájení (PDB) pro 1U rack Gen11; část a příslušenství strojů pro automatizované zpracování dat</t>
        </is>
      </c>
      <c r="D8" s="2" t="inlineStr">
        <is>
          <t>8473302000</t>
        </is>
      </c>
      <c r="E8" s="2" t="inlineStr">
        <is>
          <t>VN</t>
        </is>
      </c>
      <c r="F8" s="2" t="inlineStr">
        <is>
          <t>8705784866</t>
        </is>
      </c>
      <c r="G8" s="2" t="inlineStr">
        <is>
          <t>P7V72680232</t>
        </is>
      </c>
      <c r="H8" s="4" t="n">
        <v>336</v>
      </c>
      <c r="I8" s="5" t="n">
        <v>50.4</v>
      </c>
      <c r="J8" s="5" t="n">
        <v>100</v>
      </c>
      <c r="K8" s="6" t="n">
        <v>73.41</v>
      </c>
      <c r="L8" s="6" t="n">
        <v>24665.76</v>
      </c>
      <c r="M8" s="2" t="inlineStr">
        <is>
          <t>DDP Kutna Hora</t>
        </is>
      </c>
      <c r="N8" s="7" t="inlineStr"/>
    </row>
    <row r="9">
      <c r="A9" s="14" t="inlineStr">
        <is>
          <t>CELKEM</t>
        </is>
      </c>
      <c r="B9" s="15" t="n"/>
      <c r="C9" s="15" t="n"/>
      <c r="D9" s="14" t="n"/>
      <c r="E9" s="14" t="n"/>
      <c r="F9" s="14" t="n"/>
      <c r="G9" s="14" t="n"/>
      <c r="H9" s="16" t="n">
        <v>2500</v>
      </c>
      <c r="I9" s="17" t="n">
        <v>322.408</v>
      </c>
      <c r="J9" s="17" t="n">
        <v>596.5</v>
      </c>
      <c r="K9" s="18" t="n"/>
      <c r="L9" s="18" t="n">
        <v>277837.08</v>
      </c>
      <c r="M9" s="14" t="n"/>
      <c r="N9" s="19" t="inlineStr">
        <is>
          <t>Hodnota je NEÚPLNÁ – chybí faktury k P/N R7C75-60503 a P43802-001.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38" customWidth="1" min="5" max="5"/>
    <col width="12" customWidth="1" min="6" max="6"/>
    <col width="10" customWidth="1" min="7" max="7"/>
    <col width="12" customWidth="1" min="8" max="8"/>
    <col width="14" customWidth="1" min="9" max="9"/>
    <col width="14" customWidth="1" min="10" max="10"/>
    <col width="14" customWidth="1" min="11" max="11"/>
    <col width="15" customWidth="1" min="12" max="12"/>
    <col width="16" customWidth="1" min="13" max="13"/>
    <col width="40" customWidth="1" min="14" max="14"/>
  </cols>
  <sheetData>
    <row r="1" ht="34" customHeight="1">
      <c r="A1" s="1" t="inlineStr">
        <is>
          <t>Číslo faktury</t>
        </is>
      </c>
      <c r="B1" s="1" t="inlineStr">
        <is>
          <t>S/O No.</t>
        </is>
      </c>
      <c r="C1" s="1" t="inlineStr">
        <is>
          <t>Packing No.</t>
        </is>
      </c>
      <c r="D1" s="1" t="inlineStr">
        <is>
          <t>Part number (P/N)</t>
        </is>
      </c>
      <c r="E1" s="1" t="inlineStr">
        <is>
          <t>Popis zboží (EN)</t>
        </is>
      </c>
      <c r="F1" s="1" t="inlineStr">
        <is>
          <t>HS kód</t>
        </is>
      </c>
      <c r="G1" s="1" t="inlineStr">
        <is>
          <t>Země původu</t>
        </is>
      </c>
      <c r="H1" s="1" t="inlineStr">
        <is>
          <t>Množství (ks)</t>
        </is>
      </c>
      <c r="I1" s="1" t="inlineStr">
        <is>
          <t>Čistá hmotnost (kg)</t>
        </is>
      </c>
      <c r="J1" s="1" t="inlineStr">
        <is>
          <t>Hrubá hmotnost (kg)</t>
        </is>
      </c>
      <c r="K1" s="1" t="inlineStr">
        <is>
          <t>Jednotková cena (USD)</t>
        </is>
      </c>
      <c r="L1" s="1" t="inlineStr">
        <is>
          <t>Celková hodnota (USD)</t>
        </is>
      </c>
      <c r="M1" s="1" t="inlineStr">
        <is>
          <t>Incoterm</t>
        </is>
      </c>
      <c r="N1" s="1" t="inlineStr">
        <is>
          <t>Poznámka</t>
        </is>
      </c>
    </row>
    <row r="2">
      <c r="A2" s="2" t="inlineStr">
        <is>
          <t>8705784378*</t>
        </is>
      </c>
      <c r="B2" s="2" t="inlineStr">
        <is>
          <t>ZUC16802210*</t>
        </is>
      </c>
      <c r="C2" s="2" t="inlineStr">
        <is>
          <t>P7V72680227</t>
        </is>
      </c>
      <c r="D2" s="2" t="inlineStr">
        <is>
          <t>R7C75-60503</t>
        </is>
      </c>
      <c r="E2" s="3" t="inlineStr">
        <is>
          <t>PCA, THERMAL SENSOR BOARD RAIDER</t>
        </is>
      </c>
      <c r="F2" s="2" t="inlineStr">
        <is>
          <t>8473302000</t>
        </is>
      </c>
      <c r="G2" s="2" t="inlineStr">
        <is>
          <t>VN</t>
        </is>
      </c>
      <c r="H2" s="4" t="n">
        <v>364</v>
      </c>
      <c r="I2" s="5" t="n">
        <v>6.608</v>
      </c>
      <c r="J2" s="5" t="n">
        <v>19.404</v>
      </c>
      <c r="K2" s="20" t="inlineStr">
        <is>
          <t>chybí</t>
        </is>
      </c>
      <c r="L2" s="20" t="inlineStr">
        <is>
          <t>chybí</t>
        </is>
      </c>
      <c r="M2" s="2" t="inlineStr">
        <is>
          <t>DDP Kutna Hora</t>
        </is>
      </c>
      <c r="N2" s="21" t="inlineStr">
        <is>
          <t>⚠ FAKTURA NEDODÁNA – chybí cena. Číslo faktury/SO odvozeno z packing listu.</t>
        </is>
      </c>
    </row>
    <row r="3">
      <c r="A3" s="2" t="inlineStr">
        <is>
          <t>8705784380</t>
        </is>
      </c>
      <c r="B3" s="2" t="inlineStr">
        <is>
          <t>ZUC16802220</t>
        </is>
      </c>
      <c r="C3" s="2" t="inlineStr">
        <is>
          <t>P7V72680227</t>
        </is>
      </c>
      <c r="D3" s="2" t="inlineStr">
        <is>
          <t>R7C79-60201</t>
        </is>
      </c>
      <c r="E3" s="3" t="inlineStr">
        <is>
          <t>PCA, 7 SEGMENT DISPLAY RAIDER</t>
        </is>
      </c>
      <c r="F3" s="2" t="inlineStr">
        <is>
          <t>8473302000</t>
        </is>
      </c>
      <c r="G3" s="2" t="inlineStr">
        <is>
          <t>VN</t>
        </is>
      </c>
      <c r="H3" s="4" t="n">
        <v>756</v>
      </c>
      <c r="I3" s="5" t="n">
        <v>13.723</v>
      </c>
      <c r="J3" s="5" t="n">
        <v>40.302</v>
      </c>
      <c r="K3" s="6" t="n">
        <v>20.91</v>
      </c>
      <c r="L3" s="6" t="n">
        <v>15807.96</v>
      </c>
      <c r="M3" s="2" t="inlineStr">
        <is>
          <t>DDP Kutna Hora</t>
        </is>
      </c>
      <c r="N3" s="7" t="inlineStr">
        <is>
          <t>Hmotnost rozpočtena – sdílená paleta P7V72680227.</t>
        </is>
      </c>
    </row>
    <row r="4">
      <c r="A4" s="2" t="inlineStr">
        <is>
          <t>8705784383</t>
        </is>
      </c>
      <c r="B4" s="2" t="inlineStr">
        <is>
          <t>ZUC16802223</t>
        </is>
      </c>
      <c r="C4" s="2" t="inlineStr">
        <is>
          <t>P7V72680227</t>
        </is>
      </c>
      <c r="D4" s="2" t="inlineStr">
        <is>
          <t>R7C79-60304</t>
        </is>
      </c>
      <c r="E4" s="3" t="inlineStr">
        <is>
          <t>PCA, ETHERNET MEZZ CARD RAIDER</t>
        </is>
      </c>
      <c r="F4" s="2" t="inlineStr">
        <is>
          <t>8473302000</t>
        </is>
      </c>
      <c r="G4" s="2" t="inlineStr">
        <is>
          <t>VN</t>
        </is>
      </c>
      <c r="H4" s="4" t="n">
        <v>240</v>
      </c>
      <c r="I4" s="5" t="n">
        <v>4.357</v>
      </c>
      <c r="J4" s="5" t="n">
        <v>12.794</v>
      </c>
      <c r="K4" s="6" t="n">
        <v>177.16</v>
      </c>
      <c r="L4" s="6" t="n">
        <v>42518.4</v>
      </c>
      <c r="M4" s="2" t="inlineStr">
        <is>
          <t>DDP Kutna Hora</t>
        </is>
      </c>
      <c r="N4" s="7" t="inlineStr">
        <is>
          <t>Hmotnost rozpočtena – sdílená paleta P7V72680227.</t>
        </is>
      </c>
    </row>
    <row r="5">
      <c r="A5" s="2" t="inlineStr">
        <is>
          <t>8705784386</t>
        </is>
      </c>
      <c r="B5" s="2" t="inlineStr">
        <is>
          <t>ZUC16802225</t>
        </is>
      </c>
      <c r="C5" s="2" t="inlineStr">
        <is>
          <t>P7V72680222</t>
        </is>
      </c>
      <c r="D5" s="2" t="inlineStr">
        <is>
          <t>P51267-001</t>
        </is>
      </c>
      <c r="E5" s="3" t="inlineStr">
        <is>
          <t>ASSY, DISCOVERY, MODULE W/PCA, RAIDER</t>
        </is>
      </c>
      <c r="F5" s="2" t="inlineStr">
        <is>
          <t>8473302000</t>
        </is>
      </c>
      <c r="G5" s="2" t="inlineStr">
        <is>
          <t>VN</t>
        </is>
      </c>
      <c r="H5" s="4" t="n">
        <v>384</v>
      </c>
      <c r="I5" s="5" t="n">
        <v>96</v>
      </c>
      <c r="J5" s="5" t="n">
        <v>166</v>
      </c>
      <c r="K5" s="6" t="n">
        <v>194.59</v>
      </c>
      <c r="L5" s="6" t="n">
        <v>74722.56</v>
      </c>
      <c r="M5" s="2" t="inlineStr">
        <is>
          <t>DDP Kutna Hora</t>
        </is>
      </c>
      <c r="N5" s="7" t="inlineStr"/>
    </row>
    <row r="6">
      <c r="A6" s="2" t="inlineStr">
        <is>
          <t>8705784390</t>
        </is>
      </c>
      <c r="B6" s="2" t="inlineStr">
        <is>
          <t>ZUC16765810</t>
        </is>
      </c>
      <c r="C6" s="2" t="inlineStr">
        <is>
          <t>P7V72680221</t>
        </is>
      </c>
      <c r="D6" s="2" t="inlineStr">
        <is>
          <t>R7C75-60501</t>
        </is>
      </c>
      <c r="E6" s="3" t="inlineStr">
        <is>
          <t>PCA, 2U COMMON BACKPLANE, RAIDER</t>
        </is>
      </c>
      <c r="F6" s="2" t="inlineStr">
        <is>
          <t>8473302000</t>
        </is>
      </c>
      <c r="G6" s="2" t="inlineStr">
        <is>
          <t>VN</t>
        </is>
      </c>
      <c r="H6" s="4" t="n">
        <v>240</v>
      </c>
      <c r="I6" s="5" t="n">
        <v>142.32</v>
      </c>
      <c r="J6" s="5" t="n">
        <v>225</v>
      </c>
      <c r="K6" s="6" t="n">
        <v>500.51</v>
      </c>
      <c r="L6" s="6" t="n">
        <v>120122.4</v>
      </c>
      <c r="M6" s="2" t="inlineStr">
        <is>
          <t>DDP Kutna Hora</t>
        </is>
      </c>
      <c r="N6" s="7" t="inlineStr"/>
    </row>
    <row r="7">
      <c r="A7" s="2" t="inlineStr">
        <is>
          <t>8705784866</t>
        </is>
      </c>
      <c r="B7" s="2" t="inlineStr">
        <is>
          <t>ZUC16801798</t>
        </is>
      </c>
      <c r="C7" s="2" t="inlineStr">
        <is>
          <t>P7V72680232</t>
        </is>
      </c>
      <c r="D7" s="2" t="inlineStr">
        <is>
          <t>P59903-001</t>
        </is>
      </c>
      <c r="E7" s="3" t="inlineStr">
        <is>
          <t>GNRC, PCA, SHORT 1U RACK GEN11 PDB</t>
        </is>
      </c>
      <c r="F7" s="2" t="inlineStr">
        <is>
          <t>8473302000</t>
        </is>
      </c>
      <c r="G7" s="2" t="inlineStr">
        <is>
          <t>VN</t>
        </is>
      </c>
      <c r="H7" s="4" t="n">
        <v>336</v>
      </c>
      <c r="I7" s="5" t="n">
        <v>50.4</v>
      </c>
      <c r="J7" s="5" t="n">
        <v>100</v>
      </c>
      <c r="K7" s="6" t="n">
        <v>73.41</v>
      </c>
      <c r="L7" s="6" t="n">
        <v>24665.76</v>
      </c>
      <c r="M7" s="2" t="inlineStr">
        <is>
          <t>DDP Kutna Hora</t>
        </is>
      </c>
      <c r="N7" s="7" t="inlineStr"/>
    </row>
    <row r="8">
      <c r="A8" s="2" t="inlineStr">
        <is>
          <t>8705785506*</t>
        </is>
      </c>
      <c r="B8" s="2" t="inlineStr">
        <is>
          <t>ZUC16801784*</t>
        </is>
      </c>
      <c r="C8" s="2" t="inlineStr">
        <is>
          <t>P7V72680230</t>
        </is>
      </c>
      <c r="D8" s="2" t="inlineStr">
        <is>
          <t>P43802-001</t>
        </is>
      </c>
      <c r="E8" s="3" t="inlineStr">
        <is>
          <t>GNRC, PCA, DL20G10+, 4SFF BP</t>
        </is>
      </c>
      <c r="F8" s="2" t="inlineStr">
        <is>
          <t>8473302000</t>
        </is>
      </c>
      <c r="G8" s="2" t="inlineStr">
        <is>
          <t>VN</t>
        </is>
      </c>
      <c r="H8" s="4" t="n">
        <v>180</v>
      </c>
      <c r="I8" s="5" t="n">
        <v>9</v>
      </c>
      <c r="J8" s="5" t="n">
        <v>33</v>
      </c>
      <c r="K8" s="20" t="inlineStr">
        <is>
          <t>chybí</t>
        </is>
      </c>
      <c r="L8" s="20" t="inlineStr">
        <is>
          <t>chybí</t>
        </is>
      </c>
      <c r="M8" s="2" t="inlineStr">
        <is>
          <t>DDP Kutna Hora</t>
        </is>
      </c>
      <c r="N8" s="21" t="inlineStr">
        <is>
          <t>⚠ FAKTURA NEDODÁNA – chybí cena. Číslo faktury/SO odvozeno z packing listu.</t>
        </is>
      </c>
    </row>
    <row r="9">
      <c r="A9" s="14" t="inlineStr">
        <is>
          <t>CELKEM</t>
        </is>
      </c>
      <c r="B9" s="14" t="n"/>
      <c r="C9" s="14" t="n"/>
      <c r="D9" s="14" t="n"/>
      <c r="E9" s="15" t="n"/>
      <c r="F9" s="14" t="n"/>
      <c r="G9" s="14" t="n"/>
      <c r="H9" s="16" t="n">
        <v>2500</v>
      </c>
      <c r="I9" s="17" t="n">
        <v>322.408</v>
      </c>
      <c r="J9" s="17" t="n">
        <v>596.5</v>
      </c>
      <c r="K9" s="18" t="n"/>
      <c r="L9" s="18" t="n">
        <v>277837.08</v>
      </c>
      <c r="M9" s="14" t="n"/>
      <c r="N9" s="19" t="inlineStr">
        <is>
          <t>Hodnota NEÚPLNÁ – 2 faktury chybí.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2">
        <f>== ZÁSILKA ===</f>
        <v/>
      </c>
    </row>
    <row r="2">
      <c r="A2" s="23" t="inlineStr">
        <is>
          <t>POZOR: SAMOSTATNÁ zásilka – Export No. VV726800136, Contract No. CVV726800114. NEMÍCHAT se zásilkou VV726800135 / CVV726800113 (soubor HS_Code_Summary_Wistron_CVV726800113.xlsx) ani s fakturou 8705786772 (soubor HS_Code_Summary_Wistron_8705786772.xlsx) – ty jsou zpracovány zvlášť.</t>
        </is>
      </c>
    </row>
    <row r="3">
      <c r="A3" s="24" t="inlineStr">
        <is>
          <t>Odesílatel (sender): WISTRON CORPORATION, No. 1, Zhihui Rd., Zhubei City, Hsinchu County 302059, Taiwan – jediný odesílatel.</t>
        </is>
      </c>
    </row>
    <row r="4">
      <c r="A4" s="24" t="inlineStr">
        <is>
          <t>Příjemce (CZ receiver): Wistron Corp. c/o Jusda Europe s.r.o. (non-bond), Karlov 245, Kutná Hora, 284 01, ČR, EORI CZ00000000049.</t>
        </is>
      </c>
    </row>
    <row r="5">
      <c r="A5" s="24" t="inlineStr">
        <is>
          <t>Export No.: VV726800136 | Contract No.: CVV726800114 | P/O: 4619003037 | Customer Ref.: 4619003037 | Ref B: HPE ELF.</t>
        </is>
      </c>
    </row>
    <row r="6">
      <c r="A6" s="24" t="inlineStr">
        <is>
          <t>Faktury dle packing listu (7 ks / DN No.): 8705784378, 8705784380, 8705784383, 8705784386, 8705784390, 8705784866, 8705785506.</t>
        </is>
      </c>
    </row>
    <row r="7">
      <c r="A7" s="24" t="inlineStr">
        <is>
          <t>Packing No.: P7V72680221, P7V72680222, P7V72680227, P7V72680230, P7V72680232. Datum dokladů: 12.8.2026.</t>
        </is>
      </c>
    </row>
    <row r="8">
      <c r="A8" s="24" t="inlineStr">
        <is>
          <t>Přeprava: letecky (BY AIR), Hanoi (VN) → Česká republika. Forwarder: SCHENKER. Platba: T/T Pre-Pay.</t>
        </is>
      </c>
    </row>
    <row r="9">
      <c r="A9" s="24" t="inlineStr">
        <is>
          <t>INCOTERM: DDP Kutná Hora. Měna: USD. Země původu: Vietnam (VN). Balení: 76 CTN / 5 PLT, objemová hmotnost 902,8 kg.</t>
        </is>
      </c>
    </row>
    <row r="10">
      <c r="A10" s="24" t="inlineStr"/>
    </row>
    <row r="11">
      <c r="A11" s="22">
        <f>== KLASIFIKACE ===</f>
        <v/>
      </c>
    </row>
    <row r="12">
      <c r="A12" s="24" t="inlineStr">
        <is>
          <t>Zásilka je na žádost roztříděna PODLE PART NUMBERU (P/N), nikoli podle HS kódu.</t>
        </is>
      </c>
    </row>
    <row r="13">
      <c r="A13" s="24" t="inlineStr">
        <is>
          <t>Všech 7 part numberů spadá pod stejný HS kód 8473302000 – proto 7 samostatných řádků dle P/N.</t>
        </is>
      </c>
    </row>
    <row r="14">
      <c r="A14" s="24" t="inlineStr">
        <is>
          <t>Každý P/N je právě na jedné faktuře (1 faktura = 1 P/N).</t>
        </is>
      </c>
    </row>
    <row r="15">
      <c r="A15" s="24" t="inlineStr"/>
    </row>
    <row r="16">
      <c r="A16" s="23">
        <f>== ⚠ CHYBĚJÍCÍ FAKTURY (2 ks) ===</f>
        <v/>
      </c>
    </row>
    <row r="17">
      <c r="A17" s="24" t="inlineStr">
        <is>
          <t>Packing list CVV726800114 uvádí 7 DN/faktur, ale dodáno bylo pouze 5. NEDODÁNY jsou faktury k:</t>
        </is>
      </c>
    </row>
    <row r="18">
      <c r="A18" s="24" t="inlineStr">
        <is>
          <t xml:space="preserve">  • R7C75-60503 – PCA, THERMAL SENSOR BOARD RAIDER – 364 ks (paleta P7V72680227)</t>
        </is>
      </c>
    </row>
    <row r="19">
      <c r="A19" s="24" t="inlineStr">
        <is>
          <t xml:space="preserve">  • P43802-001 – GNRC, PCA, DL20G10+, 4SFF BP – 180 ks (paleta P7V72680230)</t>
        </is>
      </c>
    </row>
    <row r="20">
      <c r="A20" s="23" t="inlineStr">
        <is>
          <t>→ U těchto dvou P/N NEZNÁME cenu (jednotkovou ani celkovou); v tabulce jsou označeny „chybí“ a červeně.</t>
        </is>
      </c>
    </row>
    <row r="21">
      <c r="A21" s="23" t="inlineStr">
        <is>
          <t>→ Čísla faktur 8705784378 a 8705785506 (a S/O ZUC16802210, ZUC16801784) jsou u nich ODVOZENA z packing listu (označeno hvězdičkou *) – přiřazení k P/N je nutné potvrdit z faktur.</t>
        </is>
      </c>
    </row>
    <row r="22">
      <c r="A22" s="23" t="inlineStr">
        <is>
          <t>→ Prosím doplnit faktury 8705784378 a 8705785506, poté ceny dopočítám.</t>
        </is>
      </c>
    </row>
    <row r="23">
      <c r="A23" s="24" t="inlineStr">
        <is>
          <t>Uvedená celková hodnota 277 837,08 USD je proto NEÚPLNÁ – pokrývá pouze 1 956 z 2 500 ks.</t>
        </is>
      </c>
    </row>
    <row r="24">
      <c r="A24" s="24" t="inlineStr"/>
    </row>
    <row r="25">
      <c r="A25" s="22">
        <f>== ROZPOČET HMOTNOSTÍ – SDÍLENÁ PALETA P7V72680227 ===</f>
        <v/>
      </c>
    </row>
    <row r="26">
      <c r="A26" s="24" t="inlineStr">
        <is>
          <t>Paleta P7V72680227 obsahuje 3 part numbery (R7C75-60503 364 ks, R7C79-60201 756 ks, R7C79-60304 240 ks) a packing list u ní uvádí pouze souhrn: 1 360 ks / NW 24,688 kg / GW 72,500 kg.</t>
        </is>
      </c>
    </row>
    <row r="27">
      <c r="A27" s="24" t="inlineStr">
        <is>
          <t>Hmotnosti jednotlivých P/N na této paletě jsou proto ROZPOČTENY poměrně podle počtu kusů (NW 0,018153 kg/ks, GW 0,053309 kg/ks); zaokrouhlovací rozdíl je přiřazen největší položce.</t>
        </is>
      </c>
    </row>
    <row r="28">
      <c r="A28" s="24" t="inlineStr">
        <is>
          <t>Ostatní palety obsahují vždy jen jeden P/N, tam jsou hmotnosti převzaty přímo z packing listu.</t>
        </is>
      </c>
    </row>
    <row r="29">
      <c r="A29" s="24" t="inlineStr"/>
    </row>
    <row r="30">
      <c r="A30" s="22">
        <f>== KONTROLA SOUČTŮ ===</f>
        <v/>
      </c>
    </row>
    <row r="31">
      <c r="A31" s="24" t="inlineStr">
        <is>
          <t>Součet dle P/N: 2 500 ks / NW 322,408 kg / GW 596,500 kg – souhlasí se SUMMARY TOTAL packing listu (2500 PCS, 322,408 KG, 596,500 KG, 76 CTN / 5 PLT).</t>
        </is>
      </c>
    </row>
    <row r="32">
      <c r="A32" s="24" t="inlineStr">
        <is>
          <t>Hodnota z dodaných 5 faktur: 15 807,96 + 42 518,40 + 74 722,56 + 120 122,40 + 24 665,76 = 277 837,08 USD.</t>
        </is>
      </c>
    </row>
    <row r="33">
      <c r="A33" s="24" t="inlineStr"/>
    </row>
    <row r="34">
      <c r="A34" s="22">
        <f>== POPIS ZBOŽÍ ===</f>
        <v/>
      </c>
    </row>
    <row r="35">
      <c r="A35" s="24" t="inlineStr">
        <is>
          <t>Ve zdrojových dokladech NENÍ český popis zboží – faktury i packing list jsou pouze v angličtině.</t>
        </is>
      </c>
    </row>
    <row r="36">
      <c r="A36" s="24" t="inlineStr">
        <is>
          <t>Sloupec „Popis zboží (CZ)“ je proto překlad/celní popis doplněný k anglickému originálu.</t>
        </is>
      </c>
    </row>
    <row r="37">
      <c r="A37" s="24" t="inlineStr"/>
    </row>
    <row r="38">
      <c r="A38" s="22">
        <f>== CBAM / ANTIDUMPING ===</f>
        <v/>
      </c>
    </row>
    <row r="39">
      <c r="A39" s="24" t="inlineStr">
        <is>
          <t>HS 8473302000 NENÍ zbožím v rozsahu CBAM – vyhledávání příjemce v registru reference/CBAM_receivers_CZ.xlsx proto nebylo prováděno. K uvedenému HS kódu nejsou známa antidumpingová opatření.</t>
        </is>
      </c>
    </row>
    <row r="40">
      <c r="A40" s="24" t="inlineStr"/>
    </row>
    <row r="41">
      <c r="A41" s="22">
        <f>== PREFERENČNÍ PŮVOD ===</f>
        <v/>
      </c>
    </row>
    <row r="42">
      <c r="A42" s="24" t="inlineStr">
        <is>
          <t>Kontrola preferenční věty nebyla dle zadání prováděna. Země původu dle faktur: Vietnam (VN).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2026-08-24T08:32:27Z</dcterms:created>
  <dcterms:modified xsi:type="dcterms:W3CDTF">2026-08-24T08:32:27Z</dcterms:modified>
</cp:coreProperties>
</file>