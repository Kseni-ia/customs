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dle PN" sheetId="1" state="visible" r:id="rId1"/>
    <sheet name="Detail dle faktur" sheetId="2" state="visible" r:id="rId2"/>
    <sheet name="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5" customWidth="1" min="3" max="3"/>
    <col width="13" customWidth="1" min="4" max="4"/>
    <col width="11" customWidth="1" min="5" max="5"/>
    <col width="3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7" customWidth="1" min="12" max="12"/>
  </cols>
  <sheetData>
    <row r="1" ht="32" customHeight="1">
      <c r="A1" s="1" t="inlineStr">
        <is>
          <t>Part number (P/N)</t>
        </is>
      </c>
      <c r="B1" s="1" t="inlineStr">
        <is>
          <t>Popis zboží (EN – dle faktury)</t>
        </is>
      </c>
      <c r="C1" s="1" t="inlineStr">
        <is>
          <t>Popis zboží (CZ)</t>
        </is>
      </c>
      <c r="D1" s="1" t="inlineStr">
        <is>
          <t>HS kód</t>
        </is>
      </c>
      <c r="E1" s="1" t="inlineStr">
        <is>
          <t>Země původu</t>
        </is>
      </c>
      <c r="F1" s="1" t="inlineStr">
        <is>
          <t>Čísla faktur</t>
        </is>
      </c>
      <c r="G1" s="1" t="inlineStr">
        <is>
          <t>Množství (ks)</t>
        </is>
      </c>
      <c r="H1" s="1" t="inlineStr">
        <is>
          <t>Čistá hmotnost (kg)</t>
        </is>
      </c>
      <c r="I1" s="1" t="inlineStr">
        <is>
          <t>Hrubá hmotnost (kg)</t>
        </is>
      </c>
      <c r="J1" s="1" t="inlineStr">
        <is>
          <t>Jednotková cena (USD)</t>
        </is>
      </c>
      <c r="K1" s="1" t="inlineStr">
        <is>
          <t>Celková hodnota (USD)</t>
        </is>
      </c>
      <c r="L1" s="1" t="inlineStr">
        <is>
          <t>Incoterm</t>
        </is>
      </c>
    </row>
    <row r="2" ht="42" customHeight="1">
      <c r="A2" s="2" t="inlineStr">
        <is>
          <t>P59560-002</t>
        </is>
      </c>
      <c r="B2" s="3" t="inlineStr">
        <is>
          <t>GNRC, INTEL MLB E3 G11 CL 1P4D 3IN1 PCA</t>
        </is>
      </c>
      <c r="C2" s="3" t="inlineStr">
        <is>
          <t>Základní deska (MLB) pro server – části a příslušenství strojů pro automatizované zpracování dat</t>
        </is>
      </c>
      <c r="D2" s="2" t="inlineStr">
        <is>
          <t>8473302000</t>
        </is>
      </c>
      <c r="E2" s="2" t="inlineStr">
        <is>
          <t>VN</t>
        </is>
      </c>
      <c r="F2" s="2" t="inlineStr">
        <is>
          <t>8705783232, 8705783234, 8705785556</t>
        </is>
      </c>
      <c r="G2" s="4" t="n">
        <v>900</v>
      </c>
      <c r="H2" s="5" t="n">
        <v>477.9</v>
      </c>
      <c r="I2" s="5" t="n">
        <v>830</v>
      </c>
      <c r="J2" s="6" t="n">
        <v>251.6</v>
      </c>
      <c r="K2" s="6" t="n">
        <v>226440</v>
      </c>
      <c r="L2" s="2" t="inlineStr">
        <is>
          <t>DDP Kutna Hora</t>
        </is>
      </c>
    </row>
    <row r="3" ht="42" customHeight="1">
      <c r="A3" s="2" t="inlineStr">
        <is>
          <t>S5E50-62001</t>
        </is>
      </c>
      <c r="B3" s="3" t="inlineStr">
        <is>
          <t>ASSY PCA W/ MECHANICALS NODE AVENGER</t>
        </is>
      </c>
      <c r="C3" s="3" t="inlineStr">
        <is>
          <t>Osazená deska plošných spojů s mechanickými díly (node) – části a příslušenství strojů pro automatizované zpracování dat</t>
        </is>
      </c>
      <c r="D3" s="2" t="inlineStr">
        <is>
          <t>8473302000</t>
        </is>
      </c>
      <c r="E3" s="2" t="inlineStr">
        <is>
          <t>VN</t>
        </is>
      </c>
      <c r="F3" s="2" t="inlineStr">
        <is>
          <t>8705785488</t>
        </is>
      </c>
      <c r="G3" s="4" t="n">
        <v>56</v>
      </c>
      <c r="H3" s="5" t="n">
        <v>99.06</v>
      </c>
      <c r="I3" s="5" t="n">
        <v>145</v>
      </c>
      <c r="J3" s="6" t="n">
        <v>1125.34</v>
      </c>
      <c r="K3" s="6" t="n">
        <v>63019.04</v>
      </c>
      <c r="L3" s="2" t="inlineStr">
        <is>
          <t>DDP Kutna Hora</t>
        </is>
      </c>
    </row>
    <row r="4">
      <c r="A4" s="7" t="inlineStr">
        <is>
          <t>CELKEM</t>
        </is>
      </c>
      <c r="B4" s="8" t="n"/>
      <c r="C4" s="8" t="n"/>
      <c r="D4" s="7" t="n"/>
      <c r="E4" s="7" t="n"/>
      <c r="F4" s="7" t="n"/>
      <c r="G4" s="9" t="n">
        <v>956</v>
      </c>
      <c r="H4" s="10" t="n">
        <v>576.96</v>
      </c>
      <c r="I4" s="10" t="n">
        <v>975</v>
      </c>
      <c r="J4" s="11" t="n"/>
      <c r="K4" s="11" t="n">
        <v>289459.04</v>
      </c>
      <c r="L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40" customWidth="1" min="5" max="5"/>
    <col width="13" customWidth="1" min="6" max="6"/>
    <col width="11" customWidth="1" min="7" max="7"/>
    <col width="12" customWidth="1" min="8" max="8"/>
    <col width="15" customWidth="1" min="9" max="9"/>
    <col width="15" customWidth="1" min="10" max="10"/>
    <col width="15" customWidth="1" min="11" max="11"/>
    <col width="16" customWidth="1" min="12" max="12"/>
    <col width="17" customWidth="1" min="13" max="13"/>
  </cols>
  <sheetData>
    <row r="1" ht="32" customHeight="1">
      <c r="A1" s="1" t="inlineStr">
        <is>
          <t>Číslo faktury</t>
        </is>
      </c>
      <c r="B1" s="1" t="inlineStr">
        <is>
          <t>Packing No.</t>
        </is>
      </c>
      <c r="C1" s="1" t="inlineStr">
        <is>
          <t>S/O No.</t>
        </is>
      </c>
      <c r="D1" s="1" t="inlineStr">
        <is>
          <t>Part number (P/N)</t>
        </is>
      </c>
      <c r="E1" s="1" t="inlineStr">
        <is>
          <t>Popis zboží (EN)</t>
        </is>
      </c>
      <c r="F1" s="1" t="inlineStr">
        <is>
          <t>HS kód</t>
        </is>
      </c>
      <c r="G1" s="1" t="inlineStr">
        <is>
          <t>Země původu</t>
        </is>
      </c>
      <c r="H1" s="1" t="inlineStr">
        <is>
          <t>Množství (ks)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Jednotková cena (USD)</t>
        </is>
      </c>
      <c r="L1" s="1" t="inlineStr">
        <is>
          <t>Celková hodnota (USD)</t>
        </is>
      </c>
      <c r="M1" s="1" t="inlineStr">
        <is>
          <t>Incoterm</t>
        </is>
      </c>
    </row>
    <row r="2">
      <c r="A2" s="2" t="inlineStr">
        <is>
          <t>8705783232</t>
        </is>
      </c>
      <c r="B2" s="2" t="inlineStr">
        <is>
          <t>P7V72680176</t>
        </is>
      </c>
      <c r="C2" s="2" t="inlineStr">
        <is>
          <t>ZUC16799759</t>
        </is>
      </c>
      <c r="D2" s="2" t="inlineStr">
        <is>
          <t>P59560-002</t>
        </is>
      </c>
      <c r="E2" s="3" t="inlineStr">
        <is>
          <t>GNRC, INTEL MLB E3 G11 CL 1P4D 3IN1 PCA</t>
        </is>
      </c>
      <c r="F2" s="2" t="inlineStr">
        <is>
          <t>8473302000</t>
        </is>
      </c>
      <c r="G2" s="2" t="inlineStr">
        <is>
          <t>VN</t>
        </is>
      </c>
      <c r="H2" s="4" t="n">
        <v>180</v>
      </c>
      <c r="I2" s="5" t="n">
        <v>95.58</v>
      </c>
      <c r="J2" s="5" t="n">
        <v>166</v>
      </c>
      <c r="K2" s="6" t="n">
        <v>251.6</v>
      </c>
      <c r="L2" s="6" t="n">
        <v>45288</v>
      </c>
      <c r="M2" s="2" t="inlineStr">
        <is>
          <t>DDP Kutna Hora</t>
        </is>
      </c>
    </row>
    <row r="3">
      <c r="A3" s="2" t="inlineStr">
        <is>
          <t>8705783234</t>
        </is>
      </c>
      <c r="B3" s="2" t="inlineStr">
        <is>
          <t>P7V72680174</t>
        </is>
      </c>
      <c r="C3" s="2" t="inlineStr">
        <is>
          <t>ZUC16801791</t>
        </is>
      </c>
      <c r="D3" s="2" t="inlineStr">
        <is>
          <t>P59560-002</t>
        </is>
      </c>
      <c r="E3" s="3" t="inlineStr">
        <is>
          <t>GNRC, INTEL MLB E3 G11 CL 1P4D 3IN1 PCA</t>
        </is>
      </c>
      <c r="F3" s="2" t="inlineStr">
        <is>
          <t>8473302000</t>
        </is>
      </c>
      <c r="G3" s="2" t="inlineStr">
        <is>
          <t>VN</t>
        </is>
      </c>
      <c r="H3" s="4" t="n">
        <v>360</v>
      </c>
      <c r="I3" s="5" t="n">
        <v>191.16</v>
      </c>
      <c r="J3" s="5" t="n">
        <v>332</v>
      </c>
      <c r="K3" s="6" t="n">
        <v>251.6</v>
      </c>
      <c r="L3" s="6" t="n">
        <v>90576</v>
      </c>
      <c r="M3" s="2" t="inlineStr">
        <is>
          <t>DDP Kutna Hora</t>
        </is>
      </c>
    </row>
    <row r="4">
      <c r="A4" s="2" t="inlineStr">
        <is>
          <t>8705785556</t>
        </is>
      </c>
      <c r="B4" s="2" t="inlineStr">
        <is>
          <t>P7V72680234</t>
        </is>
      </c>
      <c r="C4" s="2" t="inlineStr">
        <is>
          <t>ZUC16801793</t>
        </is>
      </c>
      <c r="D4" s="2" t="inlineStr">
        <is>
          <t>P59560-002</t>
        </is>
      </c>
      <c r="E4" s="3" t="inlineStr">
        <is>
          <t>GNRC, INTEL MLB E3 G11 CL 1P4D 3IN1 PCA</t>
        </is>
      </c>
      <c r="F4" s="2" t="inlineStr">
        <is>
          <t>8473302000</t>
        </is>
      </c>
      <c r="G4" s="2" t="inlineStr">
        <is>
          <t>VN</t>
        </is>
      </c>
      <c r="H4" s="4" t="n">
        <v>360</v>
      </c>
      <c r="I4" s="5" t="n">
        <v>191.16</v>
      </c>
      <c r="J4" s="5" t="n">
        <v>332</v>
      </c>
      <c r="K4" s="6" t="n">
        <v>251.6</v>
      </c>
      <c r="L4" s="6" t="n">
        <v>90576</v>
      </c>
      <c r="M4" s="2" t="inlineStr">
        <is>
          <t>DDP Kutna Hora</t>
        </is>
      </c>
    </row>
    <row r="5">
      <c r="A5" s="2" t="inlineStr">
        <is>
          <t>8705785488</t>
        </is>
      </c>
      <c r="B5" s="2" t="inlineStr">
        <is>
          <t>P7V72680233</t>
        </is>
      </c>
      <c r="C5" s="2" t="inlineStr">
        <is>
          <t>ZUC16778306</t>
        </is>
      </c>
      <c r="D5" s="2" t="inlineStr">
        <is>
          <t>S5E50-62001</t>
        </is>
      </c>
      <c r="E5" s="3" t="inlineStr">
        <is>
          <t>ASSY PCA W/ MECHANICALS NODE AVENGER</t>
        </is>
      </c>
      <c r="F5" s="2" t="inlineStr">
        <is>
          <t>8473302000</t>
        </is>
      </c>
      <c r="G5" s="2" t="inlineStr">
        <is>
          <t>VN</t>
        </is>
      </c>
      <c r="H5" s="4" t="n">
        <v>56</v>
      </c>
      <c r="I5" s="5" t="n">
        <v>99.06</v>
      </c>
      <c r="J5" s="5" t="n">
        <v>145</v>
      </c>
      <c r="K5" s="6" t="n">
        <v>1125.34</v>
      </c>
      <c r="L5" s="6" t="n">
        <v>63019.04</v>
      </c>
      <c r="M5" s="2" t="inlineStr">
        <is>
          <t>DDP Kutna Hora</t>
        </is>
      </c>
    </row>
    <row r="6">
      <c r="A6" s="7" t="inlineStr">
        <is>
          <t>CELKEM</t>
        </is>
      </c>
      <c r="B6" s="7" t="n"/>
      <c r="C6" s="7" t="n"/>
      <c r="D6" s="7" t="n"/>
      <c r="E6" s="8" t="n"/>
      <c r="F6" s="7" t="n"/>
      <c r="G6" s="7" t="n"/>
      <c r="H6" s="9" t="n">
        <v>956</v>
      </c>
      <c r="I6" s="10" t="n">
        <v>576.96</v>
      </c>
      <c r="J6" s="10" t="n">
        <v>975</v>
      </c>
      <c r="K6" s="11" t="n"/>
      <c r="L6" s="11" t="n">
        <v>289459.04</v>
      </c>
      <c r="M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>
        <f>== ZÁSILKA ===</f>
        <v/>
      </c>
    </row>
    <row r="2">
      <c r="A2" s="13" t="inlineStr">
        <is>
          <t>Odesílatel (sender): WISTRON CORPORATION, No. 1, Zhihui Rd., Zhubei City, Hsinchu County 302059, Taiwan – jediný odesílatel celé zásilky.</t>
        </is>
      </c>
    </row>
    <row r="3">
      <c r="A3" s="13" t="inlineStr">
        <is>
          <t>Příjemce (CZ receiver): Wistron Corp. c/o Jusda Europe s.r.o. (non-bond), Karlov 245, Kutná Hora, 284 01, Česká republika, EORI CZ00000000049.</t>
        </is>
      </c>
    </row>
    <row r="4">
      <c r="A4" s="13" t="inlineStr">
        <is>
          <t>Export No.: VV726800135 | Contract No.: CVV726800113 | P/O: 4619003037 | Customer Ref.: 4619003037 | Ref B: HPE ELF.</t>
        </is>
      </c>
    </row>
    <row r="5">
      <c r="A5" s="13" t="inlineStr">
        <is>
          <t>Faktury: 8705783232, 8705783234, 8705785488, 8705785556 (všechny ze dne 12.8.2026).</t>
        </is>
      </c>
    </row>
    <row r="6">
      <c r="A6" s="13" t="inlineStr">
        <is>
          <t>Přeprava: letecky (BY AIR), Hanoi (VN) → Česká republika. Forwarder: SCHENKER. Platba: T/T Pre-Pay.</t>
        </is>
      </c>
    </row>
    <row r="7">
      <c r="A7" s="13" t="inlineStr">
        <is>
          <t>INCOTERM: DDP Kutná Hora (termín i místo dle faktur i packing listu).</t>
        </is>
      </c>
    </row>
    <row r="8">
      <c r="A8" s="13" t="inlineStr">
        <is>
          <t>Měna: USD.</t>
        </is>
      </c>
    </row>
    <row r="9">
      <c r="A9" s="13" t="inlineStr"/>
    </row>
    <row r="10">
      <c r="A10" s="12">
        <f>== KLASIFIKACE ===</f>
        <v/>
      </c>
    </row>
    <row r="11">
      <c r="A11" s="13" t="inlineStr">
        <is>
          <t>Zásilka je na žádost roztříděna PODLE PART NUMBERU (P/N), nikoli podle HS kódu.</t>
        </is>
      </c>
    </row>
    <row r="12">
      <c r="A12" s="13" t="inlineStr">
        <is>
          <t>Oba part numbery spadají pod stejný HS kód 8473302000, proto jsou vedeny na samostatných řádcích dle P/N.</t>
        </is>
      </c>
    </row>
    <row r="13">
      <c r="A13" s="13" t="inlineStr">
        <is>
          <t>P59560-002 – 3 faktury (8705783232, 8705783234, 8705785556), celkem 900 ks, NW 477,900 kg, GW 830,000 kg, 226 440,00 USD.</t>
        </is>
      </c>
    </row>
    <row r="14">
      <c r="A14" s="13" t="inlineStr">
        <is>
          <t>S5E50-62001 – 1 faktura (8705785488), 56 ks, NW 99,060 kg, GW 145,000 kg, 63 019,04 USD.</t>
        </is>
      </c>
    </row>
    <row r="15">
      <c r="A15" s="13" t="inlineStr"/>
    </row>
    <row r="16">
      <c r="A16" s="12">
        <f>== KONTROLA SOUČTŮ ===</f>
        <v/>
      </c>
    </row>
    <row r="17">
      <c r="A17" s="13" t="inlineStr">
        <is>
          <t>Součet dle P/N: 956 ks / NW 576,960 kg / GW 975,000 kg – souhlasí se SUMMARY TOTAL na packing listu (956 PCS, 576,960 KG, 975,000 KG).</t>
        </is>
      </c>
    </row>
    <row r="18">
      <c r="A18" s="13" t="inlineStr">
        <is>
          <t>Celková fakturovaná hodnota: 289 459,04 USD (45 288,00 + 90 576,00 + 90 576,00 + 63 019,04).</t>
        </is>
      </c>
    </row>
    <row r="19">
      <c r="A19" s="13" t="inlineStr">
        <is>
          <t>Balení: 83 CTN / 6 PLT, celková objemová (chargeable) hmotnost dle packing listu 1 317 kg.</t>
        </is>
      </c>
    </row>
    <row r="20">
      <c r="A20" s="13" t="inlineStr">
        <is>
          <t>Přiřazení hmotností: packing list uvádí hmotnosti podle Packing No., které je na každé faktuře uvedeno – P7V72680176→8705783232, P7V72680174→8705783234, P7V72680233→8705785488, P7V72680234→8705785556.</t>
        </is>
      </c>
    </row>
    <row r="21">
      <c r="A21" s="13" t="inlineStr"/>
    </row>
    <row r="22">
      <c r="A22" s="12">
        <f>== POPIS ZBOŽÍ ===</f>
        <v/>
      </c>
    </row>
    <row r="23">
      <c r="A23" s="13" t="inlineStr">
        <is>
          <t>Ve zdrojových dokladech NENÍ český popis zboží – faktury i packing list jsou pouze v angličtině.</t>
        </is>
      </c>
    </row>
    <row r="24">
      <c r="A24" s="13" t="inlineStr">
        <is>
          <t>Sloupec „Popis zboží (CZ)“ je proto překlad/celní popis doplněný k anglickému originálu z faktury.</t>
        </is>
      </c>
    </row>
    <row r="25">
      <c r="A25" s="13" t="inlineStr"/>
    </row>
    <row r="26">
      <c r="A26" s="12">
        <f>== CBAM / ANTIDUMPING ===</f>
        <v/>
      </c>
    </row>
    <row r="27">
      <c r="A27" s="13" t="inlineStr">
        <is>
          <t>HS 8473302000 (části a příslušenství strojů pro automatizované zpracování dat) NENÍ zbožím v rozsahu CBAM – vyhledávání příjemce v registru reference/CBAM_receivers_CZ.xlsx proto nebylo prováděno.</t>
        </is>
      </c>
    </row>
    <row r="28">
      <c r="A28" s="13" t="inlineStr">
        <is>
          <t>K uvedenému HS kódu nejsou známa žádná antidumpingová opatření.</t>
        </is>
      </c>
    </row>
    <row r="29">
      <c r="A29" s="13" t="inlineStr"/>
    </row>
    <row r="30">
      <c r="A30" s="12">
        <f>== PREFERENČNÍ PŮVOD ===</f>
        <v/>
      </c>
    </row>
    <row r="31">
      <c r="A31" s="13" t="inlineStr">
        <is>
          <t>Kontrola preferenční věty nebyla dle zadání prováděna.</t>
        </is>
      </c>
    </row>
    <row r="32">
      <c r="A32" s="13" t="inlineStr">
        <is>
          <t>Pro úplnost: země původu deklarovaná na fakturách je Vietnam (VN).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2026-08-24T07:34:20Z</dcterms:created>
  <dcterms:modified xsi:type="dcterms:W3CDTF">2026-08-24T07:34:21Z</dcterms:modified>
</cp:coreProperties>
</file>