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  <sheet name="Položky dle doklad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i val="1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1F3864"/>
      <sz val="12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2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2" fontId="3" fillId="0" borderId="1" pivotButton="0" quotePrefix="0" xfId="0"/>
    <xf numFmtId="4" fontId="3" fillId="0" borderId="1" pivotButton="0" quotePrefix="0" xfId="0"/>
    <xf numFmtId="0" fontId="2" fillId="3" borderId="1" pivotButton="0" quotePrefix="0" xfId="0"/>
    <xf numFmtId="0" fontId="6" fillId="3" borderId="1" pivotButton="0" quotePrefix="0" xfId="0"/>
    <xf numFmtId="1" fontId="2" fillId="3" borderId="1" applyAlignment="1" pivotButton="0" quotePrefix="0" xfId="0">
      <alignment horizontal="center" vertical="top"/>
    </xf>
    <xf numFmtId="2" fontId="2" fillId="3" borderId="1" applyAlignment="1" pivotButton="0" quotePrefix="0" xfId="0">
      <alignment horizontal="right" vertical="top"/>
    </xf>
    <xf numFmtId="4" fontId="2" fillId="3" borderId="1" applyAlignment="1" pivotButton="0" quotePrefix="0" xfId="0">
      <alignment horizontal="right" vertical="top"/>
    </xf>
    <xf numFmtId="0" fontId="0" fillId="3" borderId="1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4" fontId="3" fillId="0" borderId="1" applyAlignment="1" pivotButton="0" quotePrefix="0" xfId="0">
      <alignment horizontal="right" vertical="top"/>
    </xf>
    <xf numFmtId="1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HS summary</author>
  </authors>
  <commentList>
    <comment ref="B13" authorId="0" shapeId="0">
      <text>
        <t>Zdroj: dodací list 0924280295 — Net Weight 23 KG (hmotnost celé zásilky).</t>
      </text>
    </comment>
    <comment ref="B14" authorId="0" shapeId="0">
      <text>
        <t>Zdroj: dodací list 0924280295 — Gross Weight 34 KG (hmotnost celé zásilky).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2" customWidth="1" min="3" max="3"/>
    <col width="14" customWidth="1" min="4" max="4"/>
    <col width="14" customWidth="1" min="5" max="5"/>
    <col width="16" customWidth="1" min="6" max="6"/>
    <col width="14" customWidth="1" min="7" max="7"/>
    <col width="46" customWidth="1" min="8" max="8"/>
  </cols>
  <sheetData>
    <row r="1">
      <c r="A1" s="1" t="inlineStr">
        <is>
          <t>HS Code Summary — Hitachi Energy Czech Republic s.r.o., zakázka 139788 (VÝVOZ / EXPORT do Norska)</t>
        </is>
      </c>
    </row>
    <row r="3">
      <c r="A3" s="2" t="inlineStr">
        <is>
          <t>Odesílatel / vývozce (sender)</t>
        </is>
      </c>
      <c r="B3" s="3" t="inlineStr">
        <is>
          <t>Hitachi Energy Czech Republic s.r.o., CZ PGGA 2875 Trutnov Eng&amp;Proj, Průmyslová 137, 541 01 Trutnov, Česká republika</t>
        </is>
      </c>
    </row>
    <row r="4">
      <c r="A4" s="2" t="inlineStr">
        <is>
          <t>Příjemce (sold to / bill to)</t>
        </is>
      </c>
      <c r="B4" s="3" t="inlineStr">
        <is>
          <t>Hitachi Energy Norway AS, Grid Automation, Innspurten 11 D, 0663 Oslo, Norsko — VAT NO921186061MVA</t>
        </is>
      </c>
    </row>
    <row r="5">
      <c r="A5" s="2" t="inlineStr">
        <is>
          <t>Místo dodání (ship to)</t>
        </is>
      </c>
      <c r="B5" s="3" t="inlineStr">
        <is>
          <t>NTG Road Norway AS, Kongeveien 47, 1412 Sofiemyr, Norsko</t>
        </is>
      </c>
    </row>
    <row r="6">
      <c r="A6" s="2" t="inlineStr">
        <is>
          <t>Zakázka / Sales Order No.</t>
        </is>
      </c>
      <c r="B6" s="3" t="inlineStr">
        <is>
          <t>139788</t>
        </is>
      </c>
    </row>
    <row r="7">
      <c r="A7" s="2" t="inlineStr">
        <is>
          <t>Proforma faktura č.</t>
        </is>
      </c>
      <c r="B7" s="3" t="inlineStr">
        <is>
          <t>810679292 ze dne 3.8.2026</t>
        </is>
      </c>
    </row>
    <row r="8">
      <c r="A8" s="2" t="inlineStr">
        <is>
          <t>Dodací list (Delivery Note)</t>
        </is>
      </c>
      <c r="B8" s="3" t="inlineStr">
        <is>
          <t>0924280295</t>
        </is>
      </c>
    </row>
    <row r="9">
      <c r="A9" s="2" t="inlineStr">
        <is>
          <t>Objednávka zákazníka</t>
        </is>
      </c>
      <c r="B9" s="3" t="inlineStr">
        <is>
          <t>4501579995</t>
        </is>
      </c>
    </row>
    <row r="10">
      <c r="A10" s="2" t="inlineStr">
        <is>
          <t>Incoterm (dodací doložka)</t>
        </is>
      </c>
      <c r="B10" s="3" t="inlineStr">
        <is>
          <t>DAP Sofiemyr</t>
        </is>
      </c>
    </row>
    <row r="11">
      <c r="A11" s="2" t="inlineStr">
        <is>
          <t>Měna</t>
        </is>
      </c>
      <c r="B11" s="3" t="inlineStr">
        <is>
          <t>EUR (kurz 1 EUR = 24,44 CZK)</t>
        </is>
      </c>
    </row>
    <row r="12">
      <c r="A12" s="2" t="inlineStr">
        <is>
          <t>Balení</t>
        </is>
      </c>
      <c r="B12" s="3" t="inlineStr">
        <is>
          <t>1 kolo / paleta, 80 x 60 x 50 cm — nebezpečné zboží: NE</t>
        </is>
      </c>
    </row>
    <row r="13">
      <c r="A13" s="2" t="inlineStr">
        <is>
          <t>Celková čistá hmotnost zásilky NW (kg)</t>
        </is>
      </c>
      <c r="B13" s="4" t="n">
        <v>23</v>
      </c>
    </row>
    <row r="14">
      <c r="A14" s="2" t="inlineStr">
        <is>
          <t>Celková hrubá hmotnost zásilky GW (kg)</t>
        </is>
      </c>
      <c r="B14" s="4" t="n">
        <v>34</v>
      </c>
    </row>
    <row r="16" ht="32" customHeight="1">
      <c r="A16" s="5" t="inlineStr">
        <is>
          <t>HS kód</t>
        </is>
      </c>
      <c r="B16" s="5" t="inlineStr">
        <is>
          <t>Popis zboží (CZ)</t>
        </is>
      </c>
      <c r="C16" s="5" t="inlineStr">
        <is>
          <t>Množství (ks)</t>
        </is>
      </c>
      <c r="D16" s="5" t="inlineStr">
        <is>
          <t>Čistá hmotnost NW (kg)</t>
        </is>
      </c>
      <c r="E16" s="5" t="inlineStr">
        <is>
          <t>Hrubá hmotnost GW (kg)</t>
        </is>
      </c>
      <c r="F16" s="5" t="inlineStr">
        <is>
          <t>Hodnota / celní hodnota (EUR)</t>
        </is>
      </c>
      <c r="G16" s="5" t="inlineStr">
        <is>
          <t>Země původu (CoO)</t>
        </is>
      </c>
      <c r="H16" s="5" t="inlineStr">
        <is>
          <t>Poznámka</t>
        </is>
      </c>
    </row>
    <row r="17" ht="46" customHeight="1">
      <c r="A17" s="6" t="inlineStr">
        <is>
          <t>85176200</t>
        </is>
      </c>
      <c r="B17" s="7" t="inlineStr">
        <is>
          <t>Zařízení pro příjem, konverzi a vysílání nebo regeneraci hlasu, obrazů nebo jiných dat, včetně přepínacích a směrovacích přístrojů</t>
        </is>
      </c>
      <c r="C17" s="8" t="n">
        <v>3</v>
      </c>
      <c r="D17" s="9">
        <f>$B$13*F17/$F$23</f>
        <v>2.1299980041248086</v>
        <v/>
      </c>
      <c r="E17" s="9">
        <f>$B$14*F17/$F$23</f>
        <v>3.148692701749717</v>
        <v/>
      </c>
      <c r="F17" s="10" t="n">
        <v>1392</v>
      </c>
      <c r="G17" s="8" t="inlineStr">
        <is>
          <t>DE</t>
        </is>
      </c>
      <c r="H17" s="7" t="inlineStr">
        <is>
          <t>Pol. 1106 — M-FAST RJ45 modul</t>
        </is>
      </c>
    </row>
    <row r="18" ht="46" customHeight="1">
      <c r="A18" s="6" t="inlineStr">
        <is>
          <t>85364900</t>
        </is>
      </c>
      <c r="B18" s="7" t="inlineStr">
        <is>
          <t>Relé pro napětí &gt; 60 V, ale &lt;= 1 000 V</t>
        </is>
      </c>
      <c r="C18" s="8" t="n">
        <v>6</v>
      </c>
      <c r="D18" s="9">
        <f>$B$13*F18/$F$23</f>
        <v>9.364646397445279</v>
        <v/>
      </c>
      <c r="E18" s="9">
        <f>$B$14*F18/$F$23</f>
        <v>13.84339032665824</v>
        <v/>
      </c>
      <c r="F18" s="10" t="n">
        <v>6120</v>
      </c>
      <c r="G18" s="8" t="inlineStr">
        <is>
          <t>JP</t>
        </is>
      </c>
      <c r="H18" s="7" t="inlineStr">
        <is>
          <t>Pol. 1116 — REL-IR4/LDP-220DC/4X21_2903682</t>
        </is>
      </c>
    </row>
    <row r="19" ht="46" customHeight="1">
      <c r="A19" s="6" t="inlineStr">
        <is>
          <t>85365080</t>
        </is>
      </c>
      <c r="B19" s="7" t="inlineStr">
        <is>
          <t>Vypínače a spínače pro napětí &gt; 60 V, ale &lt;= 1 000 V</t>
        </is>
      </c>
      <c r="C19" s="8" t="n">
        <v>2</v>
      </c>
      <c r="D19" s="9">
        <f>$B$13*F19/$F$23</f>
        <v>2.7726698157141905</v>
        <v/>
      </c>
      <c r="E19" s="9">
        <f>$B$14*F19/$F$23</f>
        <v>4.09872929279489</v>
        <v/>
      </c>
      <c r="F19" s="10" t="n">
        <v>1812</v>
      </c>
      <c r="G19" s="8" t="inlineStr">
        <is>
          <t>SE</t>
        </is>
      </c>
      <c r="H19" s="7" t="inlineStr">
        <is>
          <t>Pol. 1076 — RTXP18 - RK 926 115-BF</t>
        </is>
      </c>
    </row>
    <row r="20" ht="46" customHeight="1">
      <c r="A20" s="6" t="inlineStr">
        <is>
          <t>85365090</t>
        </is>
      </c>
      <c r="B20" s="7" t="inlineStr">
        <is>
          <t>Ostatní vypínače a spínače pro elektrická zařízení na napětí do 1 000 V</t>
        </is>
      </c>
      <c r="C20" s="8" t="n">
        <v>2</v>
      </c>
      <c r="D20" s="9">
        <f>$B$13*F20/$F$23</f>
        <v>4.988357394717584</v>
        <v/>
      </c>
      <c r="E20" s="9">
        <f>$B$14*F20/$F$23</f>
        <v>7.374093540017298</v>
        <v/>
      </c>
      <c r="F20" s="10" t="n">
        <v>3260</v>
      </c>
      <c r="G20" s="8" t="inlineStr">
        <is>
          <t>FI</t>
        </is>
      </c>
      <c r="H20" s="7" t="inlineStr">
        <is>
          <t>Pol. 1066 — Protection REF 615-C_HBFCACABNBA4BNN11G</t>
        </is>
      </c>
    </row>
    <row r="21" ht="46" customHeight="1">
      <c r="A21" s="6" t="inlineStr">
        <is>
          <t>85371000</t>
        </is>
      </c>
      <c r="B21" s="7" t="inlineStr">
        <is>
          <t>Rozvaděče, panely, konzoly, stoly, skříně a jiné základny, vybavené dvěma nebo více zařízeními pro elektrické řízení nebo rozvod elektřiny, pro napětí nepřesahující 1 000 V</t>
        </is>
      </c>
      <c r="C21" s="8" t="n">
        <v>1</v>
      </c>
      <c r="D21" s="9">
        <f>$B$13*F21/$F$23</f>
        <v>2.455924422859424</v>
        <v/>
      </c>
      <c r="E21" s="9">
        <f>$B$14*F21/$F$23</f>
        <v>3.6304969729226264</v>
        <v/>
      </c>
      <c r="F21" s="10" t="n">
        <v>1605</v>
      </c>
      <c r="G21" s="8" t="inlineStr">
        <is>
          <t>UK</t>
        </is>
      </c>
      <c r="H21" s="7" t="inlineStr">
        <is>
          <t>Pol. 1086 — Prometer Rack 19" + 2x kWh/kVArh_0,4ST2</t>
        </is>
      </c>
    </row>
    <row r="22" ht="46" customHeight="1">
      <c r="A22" s="6" t="inlineStr">
        <is>
          <t>85389099</t>
        </is>
      </c>
      <c r="B22" s="7" t="inlineStr">
        <is>
          <t>Části a součásti vhodné pro použití výhradně nebo hlavně se zařízeními čísel 8535, 8536 nebo 8537, jinde neuvedené ani nezahrnuté (ostatní). Jde o elektrické díly pro spínání, ochranu nebo připojení elektrických obvodů</t>
        </is>
      </c>
      <c r="C22" s="8" t="n">
        <v>2</v>
      </c>
      <c r="D22" s="9">
        <f>$B$13*F22/$F$23</f>
        <v>1.2884039651387134</v>
        <v/>
      </c>
      <c r="E22" s="9">
        <f>$B$14*F22/$F$23</f>
        <v>1.9045971658572285</v>
        <v/>
      </c>
      <c r="F22" s="10" t="n">
        <v>842</v>
      </c>
      <c r="G22" s="8" t="inlineStr">
        <is>
          <t>SE, PL</t>
        </is>
      </c>
      <c r="H22" s="7" t="inlineStr">
        <is>
          <t>Sloučeny 2 položky: 1056 Resistor SHUNT (3 resistors), 440,00 EUR, CoO SE + 1096 IED card 1MRK000508-CD, 402,00 EUR, CoO PL</t>
        </is>
      </c>
    </row>
    <row r="23">
      <c r="A23" s="11" t="inlineStr">
        <is>
          <t>CELKEM</t>
        </is>
      </c>
      <c r="B23" s="12" t="inlineStr">
        <is>
          <t>6 unikátních HS kódů (7 fakturačních položek)</t>
        </is>
      </c>
      <c r="C23" s="13">
        <f>SUM(C17:C22)</f>
        <v>16.0</v>
        <v/>
      </c>
      <c r="D23" s="14">
        <f>SUM(D17:D22)</f>
        <v>23.0</v>
        <v/>
      </c>
      <c r="E23" s="14">
        <f>SUM(E17:E22)</f>
        <v>34.0</v>
        <v/>
      </c>
      <c r="F23" s="15">
        <f>SUM(F17:F22)</f>
        <v>15031.0</v>
        <v/>
      </c>
      <c r="G23" s="16" t="n"/>
      <c r="H23" s="16" t="n"/>
    </row>
    <row r="25" ht="15" customHeight="1">
      <c r="A25" s="17" t="inlineStr">
        <is>
          <t>Poznámky a předpoklady</t>
        </is>
      </c>
    </row>
    <row r="26" ht="30" customHeight="1">
      <c r="A26" s="18" t="inlineStr">
        <is>
          <t>• Zásilka má jednoho odesílatele (Hitachi Energy Czech Republic s.r.o., Trutnov), proto je klasifikace provedena v jedné skupině a položky jsou sloučeny na unikátní HS kódy.</t>
        </is>
      </c>
    </row>
    <row r="27" ht="30" customHeight="1">
      <c r="A27" s="18" t="inlineStr">
        <is>
          <t>• HMOTNOSTI: doklady neuvádějí hmotnost na jednotlivé položky — proforma faktura má u každé položky „Net Weight 0“. K dispozici je pouze celková hmotnost zásilky z dodacího listu (NW 23 kg, GW 34 kg). Hmotnosti na HS kód jsou proto ROZPOČTENY POMĚREM K HODNOTĚ položek. Pokud máte skutečné hmotnosti položek, přepište je a součty budou souhlasit s 23 / 34 kg.</t>
        </is>
      </c>
    </row>
    <row r="28" ht="30" customHeight="1">
      <c r="A28" s="18" t="inlineStr">
        <is>
          <t>• Celková hodnota 15 031,00 EUR souhlasí s částkou „Total net amount“ na proforma faktuře 810679292.</t>
        </is>
      </c>
    </row>
    <row r="29" ht="30" customHeight="1">
      <c r="A29" s="18" t="inlineStr">
        <is>
          <t>• Na zásilku nebyla uplatněna žádná obchodní sleva — fakturovaná částka odpovídá součtu položek.</t>
        </is>
      </c>
    </row>
    <row r="30" ht="30" customHeight="1">
      <c r="A30" s="18" t="inlineStr">
        <is>
          <t>• Jde o VÝVOZ z EU do Norska. Dle zadání se neřeší preferenční věta ani dovozní pravidla (clo, antidumping, CBAM) — země původu je uvedena pouze informativně z proforma faktury.</t>
        </is>
      </c>
    </row>
    <row r="31" ht="30" customHeight="1">
      <c r="A31" s="18" t="inlineStr">
        <is>
          <t>• Množství je v proforma faktuře i dodacím listu uvedeno v kusech (PC / KS), celkem 16 ks.</t>
        </is>
      </c>
    </row>
  </sheetData>
  <mergeCells count="18">
    <mergeCell ref="B8:H8"/>
    <mergeCell ref="A26:H26"/>
    <mergeCell ref="A30:H30"/>
    <mergeCell ref="B9:H9"/>
    <mergeCell ref="A29:H29"/>
    <mergeCell ref="A25:H25"/>
    <mergeCell ref="A27:H27"/>
    <mergeCell ref="B4:H4"/>
    <mergeCell ref="A31:H31"/>
    <mergeCell ref="B12:H12"/>
    <mergeCell ref="A28:H28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6" customWidth="1" min="3" max="3"/>
    <col width="13" customWidth="1" min="4" max="4"/>
    <col width="12" customWidth="1" min="5" max="5"/>
    <col width="8" customWidth="1" min="6" max="6"/>
    <col width="15" customWidth="1" min="7" max="7"/>
  </cols>
  <sheetData>
    <row r="1">
      <c r="A1" s="19" t="inlineStr">
        <is>
          <t>Zdrojové položky — proforma faktura 810679292 / dodací list 0924280295</t>
        </is>
      </c>
    </row>
    <row r="3">
      <c r="A3" s="5" t="inlineStr">
        <is>
          <t>Pol. č.</t>
        </is>
      </c>
      <c r="B3" s="5" t="inlineStr">
        <is>
          <t>Materiál č.</t>
        </is>
      </c>
      <c r="C3" s="5" t="inlineStr">
        <is>
          <t>Popis (dle dokladu)</t>
        </is>
      </c>
      <c r="D3" s="5" t="inlineStr">
        <is>
          <t>Množství (ks)</t>
        </is>
      </c>
      <c r="E3" s="5" t="inlineStr">
        <is>
          <t>HS kód</t>
        </is>
      </c>
      <c r="F3" s="5" t="inlineStr">
        <is>
          <t>CoO</t>
        </is>
      </c>
      <c r="G3" s="5" t="inlineStr">
        <is>
          <t>Hodnota (EUR)</t>
        </is>
      </c>
    </row>
    <row r="4">
      <c r="A4" s="20" t="inlineStr">
        <is>
          <t>1056</t>
        </is>
      </c>
      <c r="B4" s="20" t="inlineStr">
        <is>
          <t>1KHY139788R0005</t>
        </is>
      </c>
      <c r="C4" s="21" t="inlineStr">
        <is>
          <t>Resistor SHUNT ( 3 resistors)</t>
        </is>
      </c>
      <c r="D4" s="22" t="n">
        <v>1</v>
      </c>
      <c r="E4" s="22" t="inlineStr">
        <is>
          <t>85389099</t>
        </is>
      </c>
      <c r="F4" s="22" t="inlineStr">
        <is>
          <t>SE</t>
        </is>
      </c>
      <c r="G4" s="23" t="n">
        <v>440</v>
      </c>
    </row>
    <row r="5">
      <c r="A5" s="20" t="inlineStr">
        <is>
          <t>1066</t>
        </is>
      </c>
      <c r="B5" s="20" t="inlineStr">
        <is>
          <t>1KHY139788R0008</t>
        </is>
      </c>
      <c r="C5" s="21" t="inlineStr">
        <is>
          <t>Protection REF 615-C_HBFCACABNBA4BNN11G</t>
        </is>
      </c>
      <c r="D5" s="22" t="n">
        <v>2</v>
      </c>
      <c r="E5" s="22" t="inlineStr">
        <is>
          <t>85365090</t>
        </is>
      </c>
      <c r="F5" s="22" t="inlineStr">
        <is>
          <t>FI</t>
        </is>
      </c>
      <c r="G5" s="23" t="n">
        <v>3260</v>
      </c>
    </row>
    <row r="6">
      <c r="A6" s="20" t="inlineStr">
        <is>
          <t>1076</t>
        </is>
      </c>
      <c r="B6" s="20" t="inlineStr">
        <is>
          <t>1KHY139788R0034</t>
        </is>
      </c>
      <c r="C6" s="21" t="inlineStr">
        <is>
          <t>RTXP18 - RK 926 115-BF</t>
        </is>
      </c>
      <c r="D6" s="22" t="n">
        <v>2</v>
      </c>
      <c r="E6" s="22" t="inlineStr">
        <is>
          <t>85365080</t>
        </is>
      </c>
      <c r="F6" s="22" t="inlineStr">
        <is>
          <t>SE</t>
        </is>
      </c>
      <c r="G6" s="23" t="n">
        <v>1812</v>
      </c>
    </row>
    <row r="7">
      <c r="A7" s="20" t="inlineStr">
        <is>
          <t>1086</t>
        </is>
      </c>
      <c r="B7" s="20" t="inlineStr">
        <is>
          <t>1KHY139788R0045</t>
        </is>
      </c>
      <c r="C7" s="21" t="inlineStr">
        <is>
          <t>Prometer Rack 19" + 2x kWh/kVArh_0,4ST2</t>
        </is>
      </c>
      <c r="D7" s="22" t="n">
        <v>1</v>
      </c>
      <c r="E7" s="22" t="inlineStr">
        <is>
          <t>85371000</t>
        </is>
      </c>
      <c r="F7" s="22" t="inlineStr">
        <is>
          <t>UK</t>
        </is>
      </c>
      <c r="G7" s="23" t="n">
        <v>1605</v>
      </c>
    </row>
    <row r="8">
      <c r="A8" s="20" t="inlineStr">
        <is>
          <t>1096</t>
        </is>
      </c>
      <c r="B8" s="20" t="inlineStr">
        <is>
          <t>1KHY139788R0050</t>
        </is>
      </c>
      <c r="C8" s="21" t="inlineStr">
        <is>
          <t>IED card 1MRK000508-CD</t>
        </is>
      </c>
      <c r="D8" s="22" t="n">
        <v>1</v>
      </c>
      <c r="E8" s="22" t="inlineStr">
        <is>
          <t>85389099</t>
        </is>
      </c>
      <c r="F8" s="22" t="inlineStr">
        <is>
          <t>PL</t>
        </is>
      </c>
      <c r="G8" s="23" t="n">
        <v>402</v>
      </c>
    </row>
    <row r="9">
      <c r="A9" s="20" t="inlineStr">
        <is>
          <t>1106</t>
        </is>
      </c>
      <c r="B9" s="20" t="inlineStr">
        <is>
          <t>1KHY139788R0051</t>
        </is>
      </c>
      <c r="C9" s="21" t="inlineStr">
        <is>
          <t>M-FAST RJ45 modul</t>
        </is>
      </c>
      <c r="D9" s="22" t="n">
        <v>3</v>
      </c>
      <c r="E9" s="22" t="inlineStr">
        <is>
          <t>85176200</t>
        </is>
      </c>
      <c r="F9" s="22" t="inlineStr">
        <is>
          <t>DE</t>
        </is>
      </c>
      <c r="G9" s="23" t="n">
        <v>1392</v>
      </c>
    </row>
    <row r="10">
      <c r="A10" s="20" t="inlineStr">
        <is>
          <t>1116</t>
        </is>
      </c>
      <c r="B10" s="20" t="inlineStr">
        <is>
          <t>1KHY139788R0054</t>
        </is>
      </c>
      <c r="C10" s="21" t="inlineStr">
        <is>
          <t>REL-IR4/LDP-220DC/4X21_2903682</t>
        </is>
      </c>
      <c r="D10" s="22" t="n">
        <v>6</v>
      </c>
      <c r="E10" s="22" t="inlineStr">
        <is>
          <t>85364900</t>
        </is>
      </c>
      <c r="F10" s="22" t="inlineStr">
        <is>
          <t>JP</t>
        </is>
      </c>
      <c r="G10" s="23" t="n">
        <v>6120</v>
      </c>
    </row>
    <row r="11">
      <c r="A11" s="11" t="inlineStr">
        <is>
          <t>CELKEM</t>
        </is>
      </c>
      <c r="B11" s="16" t="n"/>
      <c r="C11" s="16" t="n"/>
      <c r="D11" s="24">
        <f>SUM(D4:D10)</f>
        <v>16.0</v>
        <v/>
      </c>
      <c r="E11" s="16" t="n"/>
      <c r="F11" s="16" t="n"/>
      <c r="G11" s="25">
        <f>SUM(G4:G10)</f>
        <v>15031.0</v>
        <v/>
      </c>
    </row>
    <row r="13" ht="32" customHeight="1">
      <c r="A13" s="26" t="inlineStr">
        <is>
          <t>Pozn.: částka uvedená v proforma faktuře na řádku „Net price per unit“ je ve skutečnosti čistá částka za položku — součet 15 031,00 EUR odpovídá „Total net amount“ faktury. Hmotnosti na položku doklady neuvádějí (Net Weight 0).</t>
        </is>
      </c>
    </row>
  </sheetData>
  <mergeCells count="2">
    <mergeCell ref="A13:G1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2026-08-03T10:27:54Z</dcterms:created>
  <dcterms:modified xsi:type="dcterms:W3CDTF">2026-08-03T10:27:54Z</dcterms:modified>
</cp:coreProperties>
</file>