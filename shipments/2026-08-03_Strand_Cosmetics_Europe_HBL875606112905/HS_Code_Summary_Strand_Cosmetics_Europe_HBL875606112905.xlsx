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S Summary" sheetId="1" state="visible" r:id="rId3"/>
    <sheet name="Dokumenty a poznámky" sheetId="2" state="visible" r:id="rId4"/>
    <sheet name="Výpočet cla a DPH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<sst xmlns="http://schemas.openxmlformats.org/spreadsheetml/2006/main" count="169" uniqueCount="156">
  <si>
    <t xml:space="preserve">Odesílatel (sender)</t>
  </si>
  <si>
    <t xml:space="preserve">HS kód – EU (TARIC)</t>
  </si>
  <si>
    <t xml:space="preserve">HS kód dle dokladů</t>
  </si>
  <si>
    <t xml:space="preserve">Popis zboží (CZ)</t>
  </si>
  <si>
    <t xml:space="preserve">Popis zboží (dle faktury)</t>
  </si>
  <si>
    <t xml:space="preserve">Země původu (COO)</t>
  </si>
  <si>
    <t xml:space="preserve">Množství (ks)</t>
  </si>
  <si>
    <t xml:space="preserve">Čistá hmotnost (kg)</t>
  </si>
  <si>
    <t xml:space="preserve">Hrubá hmotnost (kg)</t>
  </si>
  <si>
    <t xml:space="preserve">Cena / celní hodnota (USD)</t>
  </si>
  <si>
    <t xml:space="preserve">Incoterm</t>
  </si>
  <si>
    <t xml:space="preserve">Příznak</t>
  </si>
  <si>
    <t xml:space="preserve">Poznámka (TARIC / CBAM / antidumping)</t>
  </si>
  <si>
    <t xml:space="preserve">VITRO ENVASES SA DE CV
Carretera Mexico-Toluca KM 57.5, Toluca,
Estado de Mexico, MEXICO (RFC VEN201019HU2)</t>
  </si>
  <si>
    <t xml:space="preserve">7010 90 99 00</t>
  </si>
  <si>
    <t xml:space="preserve">7010909999</t>
  </si>
  <si>
    <t xml:space="preserve">Skleněné obaly používané pro přepravu nebo k balení zboží, z barevného skla, s jmenovitým objemem menším než 2,5 l, pro ostatní výrobky (kosmetické skleněné lahvičky, dekorované, objem 64 ml)</t>
  </si>
  <si>
    <t xml:space="preserve">EMPTY GLASS BOTTLES – COSMETIC GLASS COLOR DECORATED WITH 64 ML OF CAPACITY</t>
  </si>
  <si>
    <t xml:space="preserve">MX (nedoloženo)</t>
  </si>
  <si>
    <t xml:space="preserve">EXW Toluca, Mexiko</t>
  </si>
  <si>
    <t xml:space="preserve">⚠️ BEZ PREFERENČNÍ VĚTY</t>
  </si>
  <si>
    <t xml:space="preserve">Celní sazba pro 3. země 5 % (ECIT kap. 70, MJ p/st, souv. předpis N8). CBAM: NE (sklo není zboží CBAM). Antidumping: NE. Bez preferenčního důkazu původu → clo 5 %; s platným důkazem 0 %.</t>
  </si>
  <si>
    <t xml:space="preserve">CELKEM</t>
  </si>
  <si>
    <t xml:space="preserve">Legenda / poznámky k zásilce</t>
  </si>
  <si>
    <t xml:space="preserve">🔴 ČERVENÁ</t>
  </si>
  <si>
    <t xml:space="preserve">Ve fakturách ani v HBL NENÍ preferenční věta (prohlášení o preferenčním původu) a nebyl doložen EUR.1 / prohlášení o původu REX → uplatní se celní sazba pro 3. země 5 %.</t>
  </si>
  <si>
    <t xml:space="preserve">Zatřídění</t>
  </si>
  <si>
    <t xml:space="preserve">Zásilka je zatříděna nejprve dle odesílatele, poté dle HS kódu. Jeden odesílatel (Vitro Envases SA de CV) a jeden HS kód → 1 řádek.</t>
  </si>
  <si>
    <t xml:space="preserve">EXW Toluca, Mexiko (faktura: „EXW, Toluca Mexico"; HBL: „INCOTERM: EXW", freight collect).</t>
  </si>
  <si>
    <t xml:space="preserve">Popis CZ</t>
  </si>
  <si>
    <t xml:space="preserve">V dokladech zásilky NENÍ český popis zboží. Český popis převzat ze znění celního sazebníku (ECIT, kapitola 70) + doplněn dle anglického popisu na faktuře.</t>
  </si>
  <si>
    <t xml:space="preserve">Celní hodnota</t>
  </si>
  <si>
    <t xml:space="preserve">Fakturovaná hodnota 31 040,00 USD je EXW Toluca. Do celní hodnoty je nutno PŘIČÍST dopravu/manipulaci do místa vstupu do EU (Hamburk) – v podkladech chybí. Viz list „Výpočet cla a DPH".</t>
  </si>
  <si>
    <t xml:space="preserve">Sleva</t>
  </si>
  <si>
    <t xml:space="preserve">Na faktuře není uvedena žádná obchodní sleva → proporcionální rozpuštění slevy se neuplatní.</t>
  </si>
  <si>
    <t xml:space="preserve">CBAM</t>
  </si>
  <si>
    <t xml:space="preserve">Neuplatní se – sklo (kap. 70) není zbožím CBAM.</t>
  </si>
  <si>
    <t xml:space="preserve">Antidumping</t>
  </si>
  <si>
    <t xml:space="preserve">Neuplatní se – na 7010 90 99 z Mexika nejsou antidumpingová opatření.</t>
  </si>
  <si>
    <t xml:space="preserve">▌ ⚠️ KRITICKÉ: PREFERENČNÍ PŮVOD (COO)</t>
  </si>
  <si>
    <t xml:space="preserve">V žádném z dodaných dokladů NENÍ preferenční věta (prohlášení o preferenčním původu).</t>
  </si>
  <si>
    <t xml:space="preserve">Prohledána faktura Vitro Envases 93 73593 i HBL – žádné prohlášení vývozce, žádné číslo</t>
  </si>
  <si>
    <t xml:space="preserve">celního povolení, žádný odkaz na EUR.1 ani na prohlášení o původu (REX).</t>
  </si>
  <si>
    <t xml:space="preserve">Důsledek: uplatní se celní sazba pro 3. země 5 % (KN 7010 90 99).</t>
  </si>
  <si>
    <t xml:space="preserve">Při doložení platného preferenčního důkazu původu (Mexiko) by clo bylo 0 %.</t>
  </si>
  <si>
    <t xml:space="preserve">Orientační rozdíl pouze z fakturované hodnoty: 5 % z 31 040 USD = 1 552 USD.</t>
  </si>
  <si>
    <t xml:space="preserve">Skutečný rozdíl bude vyšší – celní hodnota se navýší o dopravu do Hamburku.</t>
  </si>
  <si>
    <t xml:space="preserve">→ DOPORUČENÍ: vyžádat od Vitro Envases SA de CV preferenční důkaz původu PŘED podáním</t>
  </si>
  <si>
    <t xml:space="preserve">   celního prohlášení, případně následně požádat o dodatečné vrácení cla.</t>
  </si>
  <si>
    <t xml:space="preserve">   Formu důkazu OVĚŘIT k datu propuštění: dle Globální dohody EU–Mexiko (rozhodnutí</t>
  </si>
  <si>
    <t xml:space="preserve">   2/2000) je to EUR.1 nebo fakturační prohlášení; modernizovaná dohoda má tyto</t>
  </si>
  <si>
    <t xml:space="preserve">   doklady nahradit prohlášením o původu registrovaného vývozce (REX).</t>
  </si>
  <si>
    <t xml:space="preserve">   Neověřeno u primárního zdroje – potvrdit s celní správou / u dovozce.</t>
  </si>
  <si>
    <t xml:space="preserve">▌ DODANÉ DOKUMENTY (stav 3.8.2026)</t>
  </si>
  <si>
    <t xml:space="preserve">✓ House Bill of Lading – SACO Shipping Line Ltd, HBL INTERVERHAM875606 / BKG EXITVERHAM875606</t>
  </si>
  <si>
    <t xml:space="preserve">✓ Faktura (CFDI) Vitro Envases SA de CV – Serie a Folio 93 73593, FI 5850073593, 18.5.2026</t>
  </si>
  <si>
    <t xml:space="preserve">✓ Rozhodnutí o registraci k DPH – STRAND COSMETICS EUROPE SAS, DIČ CZ687973416</t>
  </si>
  <si>
    <t xml:space="preserve">   (Finanční úřad pro Moravskoslezský kraj, čj. 45604/26/3201-00512-804461)</t>
  </si>
  <si>
    <t xml:space="preserve">CHYBÍ / NUTNO DOPLNIT:</t>
  </si>
  <si>
    <t xml:space="preserve">✗ Preferenční důkaz původu (viz výše) – kritické</t>
  </si>
  <si>
    <t xml:space="preserve">✗ Packing list</t>
  </si>
  <si>
    <t xml:space="preserve">✗ Doklad o přepravních nákladech Toluca → Veracruz → Hamburk (nutné pro celní hodnotu)</t>
  </si>
  <si>
    <t xml:space="preserve">✗ Plná moc k zastupování v celním řízení</t>
  </si>
  <si>
    <t xml:space="preserve">✗ Čestné prohlášení o obalech (EKO-KOM) – 5 palet</t>
  </si>
  <si>
    <t xml:space="preserve">✗ EORI číslo dovozce (dle rozhodnutí FÚ nutno odlišné EORI oznámit správci daně)</t>
  </si>
  <si>
    <t xml:space="preserve">▌ ÚDAJE O ZÁSILCE</t>
  </si>
  <si>
    <t xml:space="preserve">Odesílatel (shipper):      VITRO ENVASES SA DE CV, Toluca, Estado de Mexico, Mexiko</t>
  </si>
  <si>
    <t xml:space="preserve">Příjemce (consignee):      MARVINPAC, Na Dlouhém 86, 251 01 Říčany-Jažlovice, CZ24666807</t>
  </si>
  <si>
    <t xml:space="preserve">Notify party:              ORVEON GLOBAL US LLC, Fifth Ave 500, New York, USA</t>
  </si>
  <si>
    <t xml:space="preserve">Kupující (sold to):        ORVEON GLOBAL US LLC (dle faktury)</t>
  </si>
  <si>
    <t xml:space="preserve">Místo dodání (HBL):        MS BEAUTILAB SAS, Na Dlouhém 86, 251 01 Říčany-Jažlovice</t>
  </si>
  <si>
    <t xml:space="preserve">Dovozce / klient:          STRAND COSMETICS EUROPE SAS, DIČ CZ687973416</t>
  </si>
  <si>
    <t xml:space="preserve">Loď / plavba:              HENRIKA SCHULTE</t>
  </si>
  <si>
    <t xml:space="preserve">Místo převzetí:            Toluca, Mexiko</t>
  </si>
  <si>
    <t xml:space="preserve">Přístav nalodění:          Veracruz, Mexiko</t>
  </si>
  <si>
    <t xml:space="preserve">Přístav vylodění:          Hamburk, Německo</t>
  </si>
  <si>
    <t xml:space="preserve">Místo dodání:              Praha, Česká republika</t>
  </si>
  <si>
    <t xml:space="preserve">Kontejner / plomba:        MSMU7729480 / EU27238510, 1 x 40 HC, LCL/LCL</t>
  </si>
  <si>
    <t xml:space="preserve">MBL:                       MEDUXF899041</t>
  </si>
  <si>
    <t xml:space="preserve">Datum vystavení HBL:       Mexico City, 30.5.2026</t>
  </si>
  <si>
    <t xml:space="preserve">Balení:                    5 palet, 16 000 ks</t>
  </si>
  <si>
    <t xml:space="preserve">Hrubá hmotnost:            2 976,000 kg (faktura i HBL – shoda ✓)</t>
  </si>
  <si>
    <t xml:space="preserve">Čistá hmotnost:            2 640,000 kg (faktura)</t>
  </si>
  <si>
    <t xml:space="preserve">Objem:                     5,852 m³</t>
  </si>
  <si>
    <t xml:space="preserve">Fakturovaná hodnota:       31 040,00 USD (16 000 ks × 1,94 USD/ks; IVA 0 %)</t>
  </si>
  <si>
    <t xml:space="preserve">Platební podmínky:         Net 75</t>
  </si>
  <si>
    <t xml:space="preserve">▌ INCOTERM</t>
  </si>
  <si>
    <t xml:space="preserve">Faktura, pole „CONDICIONES DE VENTA / SALES CONDITIONS": EXW, Toluca Mexico</t>
  </si>
  <si>
    <t xml:space="preserve">HBL: „INCOTERM: EXW", přepravné FREIGHT COLLECT, CFS poplatky v místě určení</t>
  </si>
  <si>
    <t xml:space="preserve">(quay dues, delivery order fees) na účet příjemce.</t>
  </si>
  <si>
    <t xml:space="preserve">▌ CELNÍ HODNOTA</t>
  </si>
  <si>
    <t xml:space="preserve">Při EXW nese kupující veškeré náklady od závodu odesílatele. Do celní hodnoty</t>
  </si>
  <si>
    <t xml:space="preserve">je nutno dle čl. 71 UKC připočíst náklady na dopravu, nakládku a manipulaci</t>
  </si>
  <si>
    <t xml:space="preserve">až do místa vstupu do celního území EU (Hamburk):</t>
  </si>
  <si>
    <t xml:space="preserve">  – vnitrozemská přeprava Toluca → Veracruz</t>
  </si>
  <si>
    <t xml:space="preserve">  – námořní přepravné Veracruz → Hamburk</t>
  </si>
  <si>
    <t xml:space="preserve">  – pojištění (pokud bylo sjednáno)</t>
  </si>
  <si>
    <t xml:space="preserve">Náklady po vstupu do EU (Hamburk → Praha) lze odečíst, jsou-li vykázány odděleně.</t>
  </si>
  <si>
    <t xml:space="preserve">Tyto částky NEJSOU v dodaných podkladech – nutno doplnit (list „Výpočet cla a DPH").</t>
  </si>
  <si>
    <t xml:space="preserve">▌ CBAM</t>
  </si>
  <si>
    <t xml:space="preserve">Neuplatní se. CBAM pokrývá cement, železo a ocel, hliník, hnojiva, elektřinu a vodík.</t>
  </si>
  <si>
    <t xml:space="preserve">Sklo (kapitola 70) mezi zboží CBAM nepatří.</t>
  </si>
  <si>
    <t xml:space="preserve">▌ ANTIDUMPING</t>
  </si>
  <si>
    <t xml:space="preserve">Neuplatní se. Na KN 7010 90 99 nejsou při dovozu z Mexika antidumpingová opatření.</t>
  </si>
  <si>
    <t xml:space="preserve">V ECIT není u této položky ve sloupci „obchodně politická opatření – dovoz" nic uvedeno.</t>
  </si>
  <si>
    <t xml:space="preserve">(údaj DURX u 7010 90 99 se týká VÝVOZU, na dovoz nemá vliv).</t>
  </si>
  <si>
    <t xml:space="preserve">▌ ZATŘÍDĚNÍ KN – POZNÁMKA</t>
  </si>
  <si>
    <t xml:space="preserve">Odesílatel deklaruje mexickou fracción 7010909999. Ve struktuře KN odpovídá:</t>
  </si>
  <si>
    <t xml:space="preserve">7010 90 – ostatní → jmenovitý objem menší než 2,5 l → pro ostatní výrobky (ne nápoje/</t>
  </si>
  <si>
    <t xml:space="preserve">potraviny, ne farmacie) → z barevného skla = 7010 90 99, celní sazba 5 %.</t>
  </si>
  <si>
    <t xml:space="preserve">Pozn.: pokud jde ve skutečnosti o bezbarvé sklo pouze barevně dekorované, náleží</t>
  </si>
  <si>
    <t xml:space="preserve">kód 7010 90 91. Celní sazba je v obou případech 5 % → na výši cla to nemá vliv.</t>
  </si>
  <si>
    <t xml:space="preserve">▌ SLEVA</t>
  </si>
  <si>
    <t xml:space="preserve">Na faktuře 93 73593 není uvedena žádná obchodní sleva.</t>
  </si>
  <si>
    <t xml:space="preserve">Proporcionální rozpuštění slevy do celní hodnoty se proto neuplatní.</t>
  </si>
  <si>
    <t xml:space="preserve">VÝPOČET CLA A DPH – orientační</t>
  </si>
  <si>
    <t xml:space="preserve">Žlutá pole = doplňte. Ostatní se dopočítají vzorcem.</t>
  </si>
  <si>
    <t xml:space="preserve">POZOR: částky v CZK zůstávají nulové, dokud nedoplníte celní kurz USD/CZK (B12).</t>
  </si>
  <si>
    <t xml:space="preserve">Fakturovaná hodnota EXW Toluca</t>
  </si>
  <si>
    <t xml:space="preserve">USD</t>
  </si>
  <si>
    <t xml:space="preserve">Faktura Vitro Envases 93 73593 (16 000 ks × 1,94 USD)</t>
  </si>
  <si>
    <t xml:space="preserve">+ Doprava a manipulace Toluca → Hamburk</t>
  </si>
  <si>
    <t xml:space="preserve">CHYBÍ v podkladech – doplňte (freight collect, LCL)</t>
  </si>
  <si>
    <t xml:space="preserve">+ Pojištění</t>
  </si>
  <si>
    <t xml:space="preserve">Doplňte, pokud bylo sjednáno</t>
  </si>
  <si>
    <t xml:space="preserve">Σ Celní hodnota (USD)</t>
  </si>
  <si>
    <t xml:space="preserve">Čl. 70 a 71 UKC – hodnota v místě vstupu do EU (Hamburk)</t>
  </si>
  <si>
    <t xml:space="preserve">Celní sazba – 3. země (bez preference)</t>
  </si>
  <si>
    <t xml:space="preserve">KN 7010 90 99, ECIT kapitola 70</t>
  </si>
  <si>
    <t xml:space="preserve">Σ Clo (USD)</t>
  </si>
  <si>
    <t xml:space="preserve">Nezávislé na kurzu – použitelné hned</t>
  </si>
  <si>
    <t xml:space="preserve">Celní kurz USD/CZK</t>
  </si>
  <si>
    <t xml:space="preserve">CZK/USD</t>
  </si>
  <si>
    <t xml:space="preserve">Kurz platný pro měsíc propuštění – doplňte</t>
  </si>
  <si>
    <t xml:space="preserve">Σ Celní hodnota (CZK)</t>
  </si>
  <si>
    <t xml:space="preserve">CZK</t>
  </si>
  <si>
    <t xml:space="preserve">Σ Clo (CZK)</t>
  </si>
  <si>
    <t xml:space="preserve">Kód A00</t>
  </si>
  <si>
    <t xml:space="preserve">+ Doprava Hamburk → místo určení v ČR</t>
  </si>
  <si>
    <t xml:space="preserve">Vstupuje do základu DPH – doplňte</t>
  </si>
  <si>
    <t xml:space="preserve">Σ Základ DPH (CZK)</t>
  </si>
  <si>
    <t xml:space="preserve">Celní hodnota + clo + náklady do prvního místa určení v ČR</t>
  </si>
  <si>
    <t xml:space="preserve">Sazba DPH</t>
  </si>
  <si>
    <t xml:space="preserve">Základní sazba ČR</t>
  </si>
  <si>
    <t xml:space="preserve">Σ DPH (CZK)</t>
  </si>
  <si>
    <t xml:space="preserve">Kód B00</t>
  </si>
  <si>
    <t xml:space="preserve">SROVNÁNÍ: s preferenčním původem</t>
  </si>
  <si>
    <t xml:space="preserve">Celní sazba s platným důkazem původu (Mexiko)</t>
  </si>
  <si>
    <t xml:space="preserve">Preferenční sazba dle Globální dohody EU–Mexiko</t>
  </si>
  <si>
    <t xml:space="preserve">Σ Clo při preferenci (USD)</t>
  </si>
  <si>
    <t xml:space="preserve">Σ ÚSPORA při doložení původu (USD)</t>
  </si>
  <si>
    <t xml:space="preserve">Rozdíl oproti sazbě pro 3. země</t>
  </si>
  <si>
    <t xml:space="preserve">Σ ÚSPORA při doložení původu (CZK)</t>
  </si>
  <si>
    <t xml:space="preserve">Přepočet celním kurzem</t>
  </si>
  <si>
    <t xml:space="preserve">Orientačně jen z fakturované hodnoty (bez dopravy): 5 % z 31 040,00 USD = 1 552,00 USD.</t>
  </si>
  <si>
    <t xml:space="preserve">Skutečná částka bude vyšší – celní hodnota se navýší o dopravu do Hamburku.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</si>
</sst>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0"/>
    <numFmt numFmtId="167" formatCode="#,##0.0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D9E1F2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7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26"/>
    <col collapsed="false" customWidth="true" hidden="false" outlineLevel="0" max="13" min="13" style="0" width="60"/>
  </cols>
  <sheetData>
    <row r="1" customFormat="false" ht="4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91.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3" t="n">
        <v>16000</v>
      </c>
      <c r="H2" s="4" t="n">
        <v>2640</v>
      </c>
      <c r="I2" s="4" t="n">
        <v>2976</v>
      </c>
      <c r="J2" s="5" t="n">
        <v>31040</v>
      </c>
      <c r="K2" s="2" t="s">
        <v>19</v>
      </c>
      <c r="L2" s="6" t="s">
        <v>20</v>
      </c>
      <c r="M2" s="2" t="s">
        <v>21</v>
      </c>
    </row>
    <row r="3" customFormat="false" ht="15" hidden="false" customHeight="false" outlineLevel="0" collapsed="false">
      <c r="A3" s="7" t="s">
        <v>22</v>
      </c>
      <c r="B3" s="7"/>
      <c r="C3" s="7"/>
      <c r="D3" s="7"/>
      <c r="E3" s="7"/>
      <c r="F3" s="7"/>
      <c r="G3" s="8" t="n">
        <f aca="false">SUM(G2:G2)</f>
        <v>16000</v>
      </c>
      <c r="H3" s="9" t="n">
        <f aca="false">SUM(H2:H2)</f>
        <v>2640</v>
      </c>
      <c r="I3" s="9" t="n">
        <f aca="false">SUM(I2:I2)</f>
        <v>2976</v>
      </c>
      <c r="J3" s="10" t="n">
        <f aca="false">SUM(J2:J2)</f>
        <v>31040</v>
      </c>
      <c r="K3" s="7"/>
      <c r="L3" s="7"/>
      <c r="M3" s="7"/>
    </row>
    <row r="4" customFormat="false" ht="15" hidden="false" customHeight="false" outlineLevel="0" collapsed="false">
      <c r="A4" s="11"/>
      <c r="B4" s="12"/>
    </row>
    <row r="5" customFormat="false" ht="15" hidden="false" customHeight="false" outlineLevel="0" collapsed="false">
      <c r="A5" s="13" t="s">
        <v>23</v>
      </c>
      <c r="B5" s="12"/>
    </row>
    <row r="6" customFormat="false" ht="68.65" hidden="false" customHeight="false" outlineLevel="0" collapsed="false">
      <c r="A6" s="14" t="s">
        <v>24</v>
      </c>
      <c r="B6" s="12" t="s">
        <v>25</v>
      </c>
    </row>
    <row r="7" customFormat="false" ht="57.45" hidden="false" customHeight="false" outlineLevel="0" collapsed="false">
      <c r="A7" s="15" t="s">
        <v>26</v>
      </c>
      <c r="B7" s="12" t="s">
        <v>27</v>
      </c>
    </row>
    <row r="8" customFormat="false" ht="46.25" hidden="false" customHeight="false" outlineLevel="0" collapsed="false">
      <c r="A8" s="15" t="s">
        <v>10</v>
      </c>
      <c r="B8" s="12" t="s">
        <v>28</v>
      </c>
    </row>
    <row r="9" customFormat="false" ht="68.65" hidden="false" customHeight="false" outlineLevel="0" collapsed="false">
      <c r="A9" s="15" t="s">
        <v>29</v>
      </c>
      <c r="B9" s="12" t="s">
        <v>30</v>
      </c>
    </row>
    <row r="10" customFormat="false" ht="91" hidden="false" customHeight="false" outlineLevel="0" collapsed="false">
      <c r="A10" s="15" t="s">
        <v>31</v>
      </c>
      <c r="B10" s="12" t="s">
        <v>32</v>
      </c>
    </row>
    <row r="11" customFormat="false" ht="46.25" hidden="false" customHeight="false" outlineLevel="0" collapsed="false">
      <c r="A11" s="15" t="s">
        <v>33</v>
      </c>
      <c r="B11" s="12" t="s">
        <v>34</v>
      </c>
    </row>
    <row r="12" customFormat="false" ht="23.85" hidden="false" customHeight="false" outlineLevel="0" collapsed="false">
      <c r="A12" s="15" t="s">
        <v>35</v>
      </c>
      <c r="B12" s="12" t="s">
        <v>36</v>
      </c>
    </row>
    <row r="13" customFormat="false" ht="35.05" hidden="false" customHeight="false" outlineLevel="0" collapsed="false">
      <c r="A13" s="15" t="s">
        <v>37</v>
      </c>
      <c r="B13" s="12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5"/>
  </cols>
  <sheetData>
    <row r="1" customFormat="false" ht="15" hidden="false" customHeight="false" outlineLevel="0" collapsed="false">
      <c r="A1" s="16" t="s">
        <v>39</v>
      </c>
    </row>
    <row r="2" customFormat="false" ht="15" hidden="false" customHeight="false" outlineLevel="0" collapsed="false">
      <c r="A2" s="17" t="s">
        <v>40</v>
      </c>
    </row>
    <row r="3" customFormat="false" ht="15" hidden="false" customHeight="false" outlineLevel="0" collapsed="false">
      <c r="A3" s="11" t="s">
        <v>41</v>
      </c>
    </row>
    <row r="4" customFormat="false" ht="15" hidden="false" customHeight="false" outlineLevel="0" collapsed="false">
      <c r="A4" s="11" t="s">
        <v>42</v>
      </c>
    </row>
    <row r="5" customFormat="false" ht="15" hidden="false" customHeight="false" outlineLevel="0" collapsed="false">
      <c r="A5" s="11"/>
    </row>
    <row r="6" customFormat="false" ht="15" hidden="false" customHeight="false" outlineLevel="0" collapsed="false">
      <c r="A6" s="11" t="s">
        <v>43</v>
      </c>
    </row>
    <row r="7" customFormat="false" ht="15" hidden="false" customHeight="false" outlineLevel="0" collapsed="false">
      <c r="A7" s="11" t="s">
        <v>44</v>
      </c>
    </row>
    <row r="8" customFormat="false" ht="15" hidden="false" customHeight="false" outlineLevel="0" collapsed="false">
      <c r="A8" s="11" t="s">
        <v>45</v>
      </c>
    </row>
    <row r="9" customFormat="false" ht="15" hidden="false" customHeight="false" outlineLevel="0" collapsed="false">
      <c r="A9" s="11" t="s">
        <v>46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1" t="s">
        <v>47</v>
      </c>
    </row>
    <row r="12" customFormat="false" ht="15" hidden="false" customHeight="false" outlineLevel="0" collapsed="false">
      <c r="A12" s="11" t="s">
        <v>48</v>
      </c>
    </row>
    <row r="13" customFormat="false" ht="15" hidden="false" customHeight="false" outlineLevel="0" collapsed="false">
      <c r="A13" s="11" t="s">
        <v>49</v>
      </c>
    </row>
    <row r="14" customFormat="false" ht="15" hidden="false" customHeight="false" outlineLevel="0" collapsed="false">
      <c r="A14" s="11" t="s">
        <v>50</v>
      </c>
    </row>
    <row r="15" customFormat="false" ht="15" hidden="false" customHeight="false" outlineLevel="0" collapsed="false">
      <c r="A15" s="11" t="s">
        <v>51</v>
      </c>
    </row>
    <row r="16" customFormat="false" ht="15" hidden="false" customHeight="false" outlineLevel="0" collapsed="false">
      <c r="A16" s="11" t="s">
        <v>52</v>
      </c>
    </row>
    <row r="17" customFormat="false" ht="15" hidden="false" customHeight="false" outlineLevel="0" collapsed="false">
      <c r="A17" s="11"/>
    </row>
    <row r="18" customFormat="false" ht="15" hidden="false" customHeight="false" outlineLevel="0" collapsed="false">
      <c r="A18" s="16" t="s">
        <v>53</v>
      </c>
    </row>
    <row r="19" customFormat="false" ht="15" hidden="false" customHeight="false" outlineLevel="0" collapsed="false">
      <c r="A19" s="11" t="s">
        <v>54</v>
      </c>
    </row>
    <row r="20" customFormat="false" ht="15" hidden="false" customHeight="false" outlineLevel="0" collapsed="false">
      <c r="A20" s="11" t="s">
        <v>55</v>
      </c>
    </row>
    <row r="21" customFormat="false" ht="15" hidden="false" customHeight="false" outlineLevel="0" collapsed="false">
      <c r="A21" s="11" t="s">
        <v>56</v>
      </c>
    </row>
    <row r="22" customFormat="false" ht="15" hidden="false" customHeight="false" outlineLevel="0" collapsed="false">
      <c r="A22" s="11" t="s">
        <v>57</v>
      </c>
    </row>
    <row r="23" customFormat="false" ht="15" hidden="false" customHeight="false" outlineLevel="0" collapsed="false">
      <c r="A23" s="11"/>
    </row>
    <row r="24" customFormat="false" ht="15" hidden="false" customHeight="false" outlineLevel="0" collapsed="false">
      <c r="A24" s="17" t="s">
        <v>58</v>
      </c>
    </row>
    <row r="25" customFormat="false" ht="15" hidden="false" customHeight="false" outlineLevel="0" collapsed="false">
      <c r="A25" s="11" t="s">
        <v>59</v>
      </c>
    </row>
    <row r="26" customFormat="false" ht="15" hidden="false" customHeight="false" outlineLevel="0" collapsed="false">
      <c r="A26" s="11" t="s">
        <v>60</v>
      </c>
    </row>
    <row r="27" customFormat="false" ht="15" hidden="false" customHeight="false" outlineLevel="0" collapsed="false">
      <c r="A27" s="11" t="s">
        <v>61</v>
      </c>
    </row>
    <row r="28" customFormat="false" ht="15" hidden="false" customHeight="false" outlineLevel="0" collapsed="false">
      <c r="A28" s="11" t="s">
        <v>62</v>
      </c>
    </row>
    <row r="29" customFormat="false" ht="15" hidden="false" customHeight="false" outlineLevel="0" collapsed="false">
      <c r="A29" s="11" t="s">
        <v>63</v>
      </c>
    </row>
    <row r="30" customFormat="false" ht="15" hidden="false" customHeight="false" outlineLevel="0" collapsed="false">
      <c r="A30" s="11" t="s">
        <v>64</v>
      </c>
    </row>
    <row r="31" customFormat="false" ht="15" hidden="false" customHeight="false" outlineLevel="0" collapsed="false">
      <c r="A31" s="11"/>
    </row>
    <row r="32" customFormat="false" ht="15" hidden="false" customHeight="false" outlineLevel="0" collapsed="false">
      <c r="A32" s="16" t="s">
        <v>65</v>
      </c>
    </row>
    <row r="33" customFormat="false" ht="15" hidden="false" customHeight="false" outlineLevel="0" collapsed="false">
      <c r="A33" s="11" t="s">
        <v>66</v>
      </c>
    </row>
    <row r="34" customFormat="false" ht="15" hidden="false" customHeight="false" outlineLevel="0" collapsed="false">
      <c r="A34" s="11" t="s">
        <v>67</v>
      </c>
    </row>
    <row r="35" customFormat="false" ht="15" hidden="false" customHeight="false" outlineLevel="0" collapsed="false">
      <c r="A35" s="11" t="s">
        <v>68</v>
      </c>
    </row>
    <row r="36" customFormat="false" ht="15" hidden="false" customHeight="false" outlineLevel="0" collapsed="false">
      <c r="A36" s="11" t="s">
        <v>69</v>
      </c>
    </row>
    <row r="37" customFormat="false" ht="15" hidden="false" customHeight="false" outlineLevel="0" collapsed="false">
      <c r="A37" s="11" t="s">
        <v>70</v>
      </c>
    </row>
    <row r="38" customFormat="false" ht="15" hidden="false" customHeight="false" outlineLevel="0" collapsed="false">
      <c r="A38" s="11" t="s">
        <v>71</v>
      </c>
    </row>
    <row r="39" customFormat="false" ht="15" hidden="false" customHeight="false" outlineLevel="0" collapsed="false">
      <c r="A39" s="11"/>
    </row>
    <row r="40" customFormat="false" ht="15" hidden="false" customHeight="false" outlineLevel="0" collapsed="false">
      <c r="A40" s="11" t="s">
        <v>72</v>
      </c>
    </row>
    <row r="41" customFormat="false" ht="15" hidden="false" customHeight="false" outlineLevel="0" collapsed="false">
      <c r="A41" s="11" t="s">
        <v>73</v>
      </c>
    </row>
    <row r="42" customFormat="false" ht="15" hidden="false" customHeight="false" outlineLevel="0" collapsed="false">
      <c r="A42" s="11" t="s">
        <v>74</v>
      </c>
    </row>
    <row r="43" customFormat="false" ht="15" hidden="false" customHeight="false" outlineLevel="0" collapsed="false">
      <c r="A43" s="11" t="s">
        <v>75</v>
      </c>
    </row>
    <row r="44" customFormat="false" ht="15" hidden="false" customHeight="false" outlineLevel="0" collapsed="false">
      <c r="A44" s="11" t="s">
        <v>76</v>
      </c>
    </row>
    <row r="45" customFormat="false" ht="15" hidden="false" customHeight="false" outlineLevel="0" collapsed="false">
      <c r="A45" s="11" t="s">
        <v>77</v>
      </c>
    </row>
    <row r="46" customFormat="false" ht="15" hidden="false" customHeight="false" outlineLevel="0" collapsed="false">
      <c r="A46" s="11" t="s">
        <v>78</v>
      </c>
    </row>
    <row r="47" customFormat="false" ht="15" hidden="false" customHeight="false" outlineLevel="0" collapsed="false">
      <c r="A47" s="11" t="s">
        <v>79</v>
      </c>
    </row>
    <row r="48" customFormat="false" ht="15" hidden="false" customHeight="false" outlineLevel="0" collapsed="false">
      <c r="A48" s="11"/>
    </row>
    <row r="49" customFormat="false" ht="15" hidden="false" customHeight="false" outlineLevel="0" collapsed="false">
      <c r="A49" s="11" t="s">
        <v>80</v>
      </c>
    </row>
    <row r="50" customFormat="false" ht="15" hidden="false" customHeight="false" outlineLevel="0" collapsed="false">
      <c r="A50" s="11" t="s">
        <v>81</v>
      </c>
    </row>
    <row r="51" customFormat="false" ht="15" hidden="false" customHeight="false" outlineLevel="0" collapsed="false">
      <c r="A51" s="11" t="s">
        <v>82</v>
      </c>
    </row>
    <row r="52" customFormat="false" ht="15" hidden="false" customHeight="false" outlineLevel="0" collapsed="false">
      <c r="A52" s="11" t="s">
        <v>83</v>
      </c>
    </row>
    <row r="53" customFormat="false" ht="15" hidden="false" customHeight="false" outlineLevel="0" collapsed="false">
      <c r="A53" s="11" t="s">
        <v>84</v>
      </c>
    </row>
    <row r="54" customFormat="false" ht="15" hidden="false" customHeight="false" outlineLevel="0" collapsed="false">
      <c r="A54" s="11" t="s">
        <v>85</v>
      </c>
    </row>
    <row r="55" customFormat="false" ht="15" hidden="false" customHeight="false" outlineLevel="0" collapsed="false">
      <c r="A55" s="11"/>
    </row>
    <row r="56" customFormat="false" ht="15" hidden="false" customHeight="false" outlineLevel="0" collapsed="false">
      <c r="A56" s="16" t="s">
        <v>86</v>
      </c>
    </row>
    <row r="57" customFormat="false" ht="15" hidden="false" customHeight="false" outlineLevel="0" collapsed="false">
      <c r="A57" s="11" t="s">
        <v>19</v>
      </c>
    </row>
    <row r="58" customFormat="false" ht="15" hidden="false" customHeight="false" outlineLevel="0" collapsed="false">
      <c r="A58" s="11" t="s">
        <v>87</v>
      </c>
    </row>
    <row r="59" customFormat="false" ht="15" hidden="false" customHeight="false" outlineLevel="0" collapsed="false">
      <c r="A59" s="11" t="s">
        <v>88</v>
      </c>
    </row>
    <row r="60" customFormat="false" ht="15" hidden="false" customHeight="false" outlineLevel="0" collapsed="false">
      <c r="A60" s="11" t="s">
        <v>89</v>
      </c>
    </row>
    <row r="61" customFormat="false" ht="15" hidden="false" customHeight="false" outlineLevel="0" collapsed="false">
      <c r="A61" s="11"/>
    </row>
    <row r="62" customFormat="false" ht="15" hidden="false" customHeight="false" outlineLevel="0" collapsed="false">
      <c r="A62" s="16" t="s">
        <v>90</v>
      </c>
    </row>
    <row r="63" customFormat="false" ht="15" hidden="false" customHeight="false" outlineLevel="0" collapsed="false">
      <c r="A63" s="11" t="s">
        <v>91</v>
      </c>
    </row>
    <row r="64" customFormat="false" ht="15" hidden="false" customHeight="false" outlineLevel="0" collapsed="false">
      <c r="A64" s="11" t="s">
        <v>92</v>
      </c>
    </row>
    <row r="65" customFormat="false" ht="15" hidden="false" customHeight="false" outlineLevel="0" collapsed="false">
      <c r="A65" s="11" t="s">
        <v>93</v>
      </c>
    </row>
    <row r="66" customFormat="false" ht="15" hidden="false" customHeight="false" outlineLevel="0" collapsed="false">
      <c r="A66" s="11" t="s">
        <v>94</v>
      </c>
    </row>
    <row r="67" customFormat="false" ht="15" hidden="false" customHeight="false" outlineLevel="0" collapsed="false">
      <c r="A67" s="11" t="s">
        <v>95</v>
      </c>
    </row>
    <row r="68" customFormat="false" ht="15" hidden="false" customHeight="false" outlineLevel="0" collapsed="false">
      <c r="A68" s="11" t="s">
        <v>96</v>
      </c>
    </row>
    <row r="69" customFormat="false" ht="15" hidden="false" customHeight="false" outlineLevel="0" collapsed="false">
      <c r="A69" s="11" t="s">
        <v>97</v>
      </c>
    </row>
    <row r="70" customFormat="false" ht="15" hidden="false" customHeight="false" outlineLevel="0" collapsed="false">
      <c r="A70" s="17" t="s">
        <v>98</v>
      </c>
    </row>
    <row r="71" customFormat="false" ht="15" hidden="false" customHeight="false" outlineLevel="0" collapsed="false">
      <c r="A71" s="11"/>
    </row>
    <row r="72" customFormat="false" ht="15" hidden="false" customHeight="false" outlineLevel="0" collapsed="false">
      <c r="A72" s="16" t="s">
        <v>99</v>
      </c>
    </row>
    <row r="73" customFormat="false" ht="15" hidden="false" customHeight="false" outlineLevel="0" collapsed="false">
      <c r="A73" s="11" t="s">
        <v>100</v>
      </c>
    </row>
    <row r="74" customFormat="false" ht="15" hidden="false" customHeight="false" outlineLevel="0" collapsed="false">
      <c r="A74" s="11" t="s">
        <v>101</v>
      </c>
    </row>
    <row r="75" customFormat="false" ht="15" hidden="false" customHeight="false" outlineLevel="0" collapsed="false">
      <c r="A75" s="11"/>
    </row>
    <row r="76" customFormat="false" ht="15" hidden="false" customHeight="false" outlineLevel="0" collapsed="false">
      <c r="A76" s="16" t="s">
        <v>102</v>
      </c>
    </row>
    <row r="77" customFormat="false" ht="15" hidden="false" customHeight="false" outlineLevel="0" collapsed="false">
      <c r="A77" s="11" t="s">
        <v>103</v>
      </c>
    </row>
    <row r="78" customFormat="false" ht="15" hidden="false" customHeight="false" outlineLevel="0" collapsed="false">
      <c r="A78" s="11" t="s">
        <v>104</v>
      </c>
    </row>
    <row r="79" customFormat="false" ht="15" hidden="false" customHeight="false" outlineLevel="0" collapsed="false">
      <c r="A79" s="11" t="s">
        <v>105</v>
      </c>
    </row>
    <row r="80" customFormat="false" ht="15" hidden="false" customHeight="false" outlineLevel="0" collapsed="false">
      <c r="A80" s="11"/>
    </row>
    <row r="81" customFormat="false" ht="15" hidden="false" customHeight="false" outlineLevel="0" collapsed="false">
      <c r="A81" s="16" t="s">
        <v>106</v>
      </c>
    </row>
    <row r="82" customFormat="false" ht="15" hidden="false" customHeight="false" outlineLevel="0" collapsed="false">
      <c r="A82" s="11" t="s">
        <v>107</v>
      </c>
    </row>
    <row r="83" customFormat="false" ht="15" hidden="false" customHeight="false" outlineLevel="0" collapsed="false">
      <c r="A83" s="11" t="s">
        <v>108</v>
      </c>
    </row>
    <row r="84" customFormat="false" ht="15" hidden="false" customHeight="false" outlineLevel="0" collapsed="false">
      <c r="A84" s="11" t="s">
        <v>109</v>
      </c>
    </row>
    <row r="85" customFormat="false" ht="15" hidden="false" customHeight="false" outlineLevel="0" collapsed="false">
      <c r="A85" s="11" t="s">
        <v>110</v>
      </c>
    </row>
    <row r="86" customFormat="false" ht="15" hidden="false" customHeight="false" outlineLevel="0" collapsed="false">
      <c r="A86" s="11" t="s">
        <v>111</v>
      </c>
    </row>
    <row r="87" customFormat="false" ht="15" hidden="false" customHeight="false" outlineLevel="0" collapsed="false">
      <c r="A87" s="11"/>
    </row>
    <row r="88" customFormat="false" ht="15" hidden="false" customHeight="false" outlineLevel="0" collapsed="false">
      <c r="A88" s="16" t="s">
        <v>112</v>
      </c>
    </row>
    <row r="89" customFormat="false" ht="15" hidden="false" customHeight="false" outlineLevel="0" collapsed="false">
      <c r="A89" s="11" t="s">
        <v>113</v>
      </c>
    </row>
    <row r="90" customFormat="false" ht="15" hidden="false" customHeight="false" outlineLevel="0" collapsed="false">
      <c r="A90" s="11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8" t="s">
        <v>115</v>
      </c>
    </row>
    <row r="2" customFormat="false" ht="15" hidden="false" customHeight="false" outlineLevel="0" collapsed="false">
      <c r="A2" s="19" t="s">
        <v>116</v>
      </c>
    </row>
    <row r="3" customFormat="false" ht="15" hidden="false" customHeight="false" outlineLevel="0" collapsed="false">
      <c r="A3" s="17" t="s">
        <v>117</v>
      </c>
    </row>
    <row r="5" customFormat="false" ht="15" hidden="false" customHeight="false" outlineLevel="0" collapsed="false">
      <c r="A5" s="11" t="s">
        <v>118</v>
      </c>
      <c r="B5" s="20" t="n">
        <v>31040</v>
      </c>
      <c r="C5" s="11" t="s">
        <v>119</v>
      </c>
      <c r="D5" s="12" t="s">
        <v>120</v>
      </c>
    </row>
    <row r="6" customFormat="false" ht="15" hidden="false" customHeight="false" outlineLevel="0" collapsed="false">
      <c r="A6" s="11" t="s">
        <v>121</v>
      </c>
      <c r="B6" s="21" t="n">
        <v>0</v>
      </c>
      <c r="C6" s="11" t="s">
        <v>119</v>
      </c>
      <c r="D6" s="12" t="s">
        <v>122</v>
      </c>
    </row>
    <row r="7" customFormat="false" ht="15" hidden="false" customHeight="false" outlineLevel="0" collapsed="false">
      <c r="A7" s="11" t="s">
        <v>123</v>
      </c>
      <c r="B7" s="21" t="n">
        <v>0</v>
      </c>
      <c r="C7" s="11" t="s">
        <v>119</v>
      </c>
      <c r="D7" s="12" t="s">
        <v>124</v>
      </c>
    </row>
    <row r="8" customFormat="false" ht="15" hidden="false" customHeight="false" outlineLevel="0" collapsed="false">
      <c r="A8" s="15" t="s">
        <v>125</v>
      </c>
      <c r="B8" s="22" t="n">
        <f aca="false">B5+B6+B7</f>
        <v>31040</v>
      </c>
      <c r="C8" s="11" t="s">
        <v>119</v>
      </c>
      <c r="D8" s="12" t="s">
        <v>126</v>
      </c>
    </row>
    <row r="10" customFormat="false" ht="15" hidden="false" customHeight="false" outlineLevel="0" collapsed="false">
      <c r="A10" s="11" t="s">
        <v>127</v>
      </c>
      <c r="B10" s="23" t="n">
        <v>0.05</v>
      </c>
      <c r="C10" s="11"/>
      <c r="D10" s="12" t="s">
        <v>128</v>
      </c>
    </row>
    <row r="11" customFormat="false" ht="15" hidden="false" customHeight="false" outlineLevel="0" collapsed="false">
      <c r="A11" s="15" t="s">
        <v>129</v>
      </c>
      <c r="B11" s="22" t="n">
        <f aca="false">B8*B10</f>
        <v>1552</v>
      </c>
      <c r="C11" s="11" t="s">
        <v>119</v>
      </c>
      <c r="D11" s="12" t="s">
        <v>130</v>
      </c>
    </row>
    <row r="12" customFormat="false" ht="15" hidden="false" customHeight="false" outlineLevel="0" collapsed="false">
      <c r="A12" s="11" t="s">
        <v>131</v>
      </c>
      <c r="B12" s="24" t="n">
        <v>0</v>
      </c>
      <c r="C12" s="11" t="s">
        <v>132</v>
      </c>
      <c r="D12" s="12" t="s">
        <v>133</v>
      </c>
    </row>
    <row r="13" customFormat="false" ht="15" hidden="false" customHeight="false" outlineLevel="0" collapsed="false">
      <c r="A13" s="15" t="s">
        <v>134</v>
      </c>
      <c r="B13" s="22" t="n">
        <f aca="false">B8*B12</f>
        <v>0</v>
      </c>
      <c r="C13" s="11" t="s">
        <v>135</v>
      </c>
      <c r="D13" s="12"/>
    </row>
    <row r="14" customFormat="false" ht="15" hidden="false" customHeight="false" outlineLevel="0" collapsed="false">
      <c r="A14" s="15" t="s">
        <v>136</v>
      </c>
      <c r="B14" s="22" t="n">
        <f aca="false">B11*B12</f>
        <v>0</v>
      </c>
      <c r="C14" s="11" t="s">
        <v>135</v>
      </c>
      <c r="D14" s="12" t="s">
        <v>137</v>
      </c>
    </row>
    <row r="16" customFormat="false" ht="15" hidden="false" customHeight="false" outlineLevel="0" collapsed="false">
      <c r="A16" s="11" t="s">
        <v>138</v>
      </c>
      <c r="B16" s="21" t="n">
        <v>0</v>
      </c>
      <c r="C16" s="11" t="s">
        <v>135</v>
      </c>
      <c r="D16" s="12" t="s">
        <v>139</v>
      </c>
    </row>
    <row r="17" customFormat="false" ht="15" hidden="false" customHeight="false" outlineLevel="0" collapsed="false">
      <c r="A17" s="15" t="s">
        <v>140</v>
      </c>
      <c r="B17" s="22" t="n">
        <f aca="false">B13+B14+B16</f>
        <v>0</v>
      </c>
      <c r="C17" s="11" t="s">
        <v>135</v>
      </c>
      <c r="D17" s="12" t="s">
        <v>141</v>
      </c>
    </row>
    <row r="18" customFormat="false" ht="15" hidden="false" customHeight="false" outlineLevel="0" collapsed="false">
      <c r="A18" s="11" t="s">
        <v>142</v>
      </c>
      <c r="B18" s="23" t="n">
        <v>0.21</v>
      </c>
      <c r="C18" s="11"/>
      <c r="D18" s="12" t="s">
        <v>143</v>
      </c>
    </row>
    <row r="19" customFormat="false" ht="15" hidden="false" customHeight="false" outlineLevel="0" collapsed="false">
      <c r="A19" s="15" t="s">
        <v>144</v>
      </c>
      <c r="B19" s="22" t="n">
        <f aca="false">B17*B18</f>
        <v>0</v>
      </c>
      <c r="C19" s="11" t="s">
        <v>135</v>
      </c>
      <c r="D19" s="12" t="s">
        <v>145</v>
      </c>
    </row>
    <row r="21" customFormat="false" ht="15" hidden="false" customHeight="false" outlineLevel="0" collapsed="false">
      <c r="A21" s="16" t="s">
        <v>146</v>
      </c>
    </row>
    <row r="22" customFormat="false" ht="15" hidden="false" customHeight="false" outlineLevel="0" collapsed="false">
      <c r="A22" s="11" t="s">
        <v>147</v>
      </c>
      <c r="B22" s="23" t="n">
        <v>0</v>
      </c>
      <c r="C22" s="11"/>
      <c r="D22" s="12" t="s">
        <v>148</v>
      </c>
    </row>
    <row r="23" customFormat="false" ht="15" hidden="false" customHeight="false" outlineLevel="0" collapsed="false">
      <c r="A23" s="15" t="s">
        <v>149</v>
      </c>
      <c r="B23" s="22" t="n">
        <f aca="false">B8*B22</f>
        <v>0</v>
      </c>
      <c r="C23" s="11" t="s">
        <v>119</v>
      </c>
      <c r="D23" s="12"/>
    </row>
    <row r="24" customFormat="false" ht="15" hidden="false" customHeight="false" outlineLevel="0" collapsed="false">
      <c r="A24" s="15" t="s">
        <v>150</v>
      </c>
      <c r="B24" s="25" t="n">
        <f aca="false">B11-B23</f>
        <v>1552</v>
      </c>
      <c r="C24" s="11" t="s">
        <v>119</v>
      </c>
      <c r="D24" s="12" t="s">
        <v>151</v>
      </c>
    </row>
    <row r="25" customFormat="false" ht="15" hidden="false" customHeight="false" outlineLevel="0" collapsed="false">
      <c r="A25" s="15" t="s">
        <v>152</v>
      </c>
      <c r="B25" s="25" t="n">
        <f aca="false">B24*B12</f>
        <v>0</v>
      </c>
      <c r="C25" s="11" t="s">
        <v>135</v>
      </c>
      <c r="D25" s="12" t="s">
        <v>153</v>
      </c>
    </row>
    <row r="27" customFormat="false" ht="15" hidden="false" customHeight="false" outlineLevel="0" collapsed="false">
      <c r="A27" s="19" t="s">
        <v>154</v>
      </c>
    </row>
    <row r="28" customFormat="false" ht="15" hidden="false" customHeight="false" outlineLevel="0" collapsed="false">
      <c r="A28" s="19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2026-08-03T08:46:13Z</dcterms:created>
  <dc:creator>openpyxl</dc:creator>
  <dc:description/>
  <dc:language>en-US</dc:language>
  <cp:lastModifiedBy/>
  <dcterms:modified xsi:type="dcterms:W3CDTF">2026-08-03T08:46:13Z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