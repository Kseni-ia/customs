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ouhrn" sheetId="1" state="visible" r:id="rId1"/>
    <sheet name="Oprava JSD – pro IT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sz val="1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4" borderId="0" pivotButton="0" quotePrefix="0" xfId="0"/>
    <xf numFmtId="0" fontId="0" fillId="4" borderId="0" pivotButton="0" quotePrefix="0" xfId="0"/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5" fillId="4" borderId="0" pivotButton="0" quotePrefix="0" xfId="0"/>
    <xf numFmtId="0" fontId="6" fillId="0" borderId="0" pivotButton="0" quotePrefix="0" xfId="0"/>
    <xf numFmtId="0" fontId="6" fillId="5" borderId="1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0" customWidth="1" min="3" max="3"/>
    <col width="14" customWidth="1" min="4" max="4"/>
    <col width="15" customWidth="1" min="5" max="5"/>
    <col width="15" customWidth="1" min="6" max="6"/>
    <col width="16" customWidth="1" min="7" max="7"/>
    <col width="13" customWidth="1" min="8" max="8"/>
    <col width="10" customWidth="1" min="9" max="9"/>
    <col width="58" customWidth="1" min="10" max="10"/>
  </cols>
  <sheetData>
    <row r="1">
      <c r="A1" s="1" t="inlineStr">
        <is>
          <t>SOUHRN HS KÓDŮ – SONAVOX, zásilka CZ26012998 (kontejner CICU1037696)</t>
        </is>
      </c>
    </row>
    <row r="2">
      <c r="A2" s="2" t="inlineStr">
        <is>
          <t>Odesílatel je nadřazen HS kódu – zásilka je členěna nejprve podle odesílatele, poté podle unikátního HS kódu. Stejný HS kód u různých odesílatelů zůstává na samostatných řádcích.</t>
        </is>
      </c>
    </row>
    <row r="4" ht="32" customHeight="1">
      <c r="A4" s="3" t="inlineStr">
        <is>
          <t>HS kód</t>
        </is>
      </c>
      <c r="B4" s="3" t="inlineStr">
        <is>
          <t>Popis zboží (CZ)</t>
        </is>
      </c>
      <c r="C4" s="3" t="inlineStr">
        <is>
          <t>Země původu</t>
        </is>
      </c>
      <c r="D4" s="3" t="inlineStr">
        <is>
          <t>Množství (ks)</t>
        </is>
      </c>
      <c r="E4" s="3" t="inlineStr">
        <is>
          <t>Čistá hmotnost (kg)</t>
        </is>
      </c>
      <c r="F4" s="3" t="inlineStr">
        <is>
          <t>Hrubá hmotnost (kg)</t>
        </is>
      </c>
      <c r="G4" s="3" t="inlineStr">
        <is>
          <t>Celní hodnota (EUR)</t>
        </is>
      </c>
      <c r="H4" s="3" t="inlineStr">
        <is>
          <t>Celní sazba 2026</t>
        </is>
      </c>
      <c r="I4" s="3" t="inlineStr">
        <is>
          <t>Příznak</t>
        </is>
      </c>
      <c r="J4" s="3" t="inlineStr">
        <is>
          <t>Poznámka / TARIC</t>
        </is>
      </c>
    </row>
    <row r="5">
      <c r="A5" s="4" t="inlineStr">
        <is>
          <t>ODESÍLATEL: Suzhou Sonavox Electronics Co., Ltd (faktura CZ20260814-1 / CI-C001E260814002)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8518 9000 00</t>
        </is>
      </c>
      <c r="B6" s="7" t="inlineStr">
        <is>
          <t>Části a součásti autoreproduktorů – magnetický obvod (ceramics circle)</t>
        </is>
      </c>
      <c r="C6" s="6" t="inlineStr">
        <is>
          <t>CN</t>
        </is>
      </c>
      <c r="D6" s="6" t="n">
        <v>46080</v>
      </c>
      <c r="E6" s="6" t="n">
        <v>16358.4</v>
      </c>
      <c r="F6" s="6" t="n">
        <v>16952.8</v>
      </c>
      <c r="G6" s="6" t="n">
        <v>21346.56</v>
      </c>
      <c r="H6" s="6" t="inlineStr">
        <is>
          <t>0 %</t>
        </is>
      </c>
      <c r="I6" s="6" t="inlineStr"/>
      <c r="J6" s="7" t="inlineStr">
        <is>
          <t>Části a součásti reproduktorů. Bez CBAM, bez antidumpingu.</t>
        </is>
      </c>
    </row>
    <row r="7">
      <c r="A7" s="8" t="inlineStr">
        <is>
          <t>Mezisoučet</t>
        </is>
      </c>
      <c r="B7" s="9" t="n"/>
      <c r="C7" s="9" t="n"/>
      <c r="D7" s="8" t="n">
        <v>46080</v>
      </c>
      <c r="E7" s="8" t="n">
        <v>16358.4</v>
      </c>
      <c r="F7" s="8" t="n">
        <v>16952.8</v>
      </c>
      <c r="G7" s="8" t="n">
        <v>21346.56</v>
      </c>
      <c r="H7" s="9" t="n"/>
      <c r="I7" s="9" t="n"/>
      <c r="J7" s="9" t="n"/>
    </row>
    <row r="9">
      <c r="A9" s="4" t="inlineStr">
        <is>
          <t>ODESÍLATEL: Suzhou Sonavox International Trading Co., Ltd (faktura CZ20260814 / TR-CZ20260814)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6" t="inlineStr">
        <is>
          <t>8504 5000 90</t>
        </is>
      </c>
      <c r="B10" s="7" t="inlineStr">
        <is>
          <t>Kmitací cívka (voice coil)</t>
        </is>
      </c>
      <c r="C10" s="6" t="inlineStr">
        <is>
          <t>CN</t>
        </is>
      </c>
      <c r="D10" s="6" t="n">
        <v>79500</v>
      </c>
      <c r="E10" s="6" t="n">
        <v>221.88</v>
      </c>
      <c r="F10" s="6" t="n">
        <v>394.29</v>
      </c>
      <c r="G10" s="6" t="n">
        <v>12732.18</v>
      </c>
      <c r="H10" s="6" t="inlineStr">
        <is>
          <t>0 %</t>
        </is>
      </c>
      <c r="I10" s="6" t="inlineStr"/>
      <c r="J10" s="7" t="inlineStr">
        <is>
          <t>Ostatní tlumivky/cívky. Bez CBAM, bez antidumpingu.</t>
        </is>
      </c>
    </row>
    <row r="11">
      <c r="A11" s="6" t="inlineStr">
        <is>
          <t>8518 9000 00</t>
        </is>
      </c>
      <c r="B11" s="7" t="inlineStr">
        <is>
          <t>Části a součásti autoreproduktorů – středící membrána (spider), kontakt / pájecí očko (terminal), membrána s vlnkou (cone), jádro magnetického obvodu (T-yoke)</t>
        </is>
      </c>
      <c r="C11" s="6" t="inlineStr">
        <is>
          <t>CN</t>
        </is>
      </c>
      <c r="D11" s="6" t="n">
        <v>377190</v>
      </c>
      <c r="E11" s="6" t="n">
        <v>5188.4</v>
      </c>
      <c r="F11" s="6" t="n">
        <v>5704</v>
      </c>
      <c r="G11" s="6" t="n">
        <v>27514.42</v>
      </c>
      <c r="H11" s="6" t="inlineStr">
        <is>
          <t>0 %</t>
        </is>
      </c>
      <c r="I11" s="6" t="inlineStr"/>
      <c r="J11" s="7" t="inlineStr">
        <is>
          <t>Části a součásti reproduktorů. Bez CBAM, bez antidumpingu.</t>
        </is>
      </c>
    </row>
    <row r="12">
      <c r="A12" s="6" t="inlineStr">
        <is>
          <t>3926 9097 90</t>
        </is>
      </c>
      <c r="B12" s="7" t="inlineStr">
        <is>
          <t>Ostatní výrobky z plastů – plastové těsnění (gasket)</t>
        </is>
      </c>
      <c r="C12" s="6" t="inlineStr">
        <is>
          <t>CN</t>
        </is>
      </c>
      <c r="D12" s="6" t="n">
        <v>31460</v>
      </c>
      <c r="E12" s="6" t="n">
        <v>235.95</v>
      </c>
      <c r="F12" s="6" t="n">
        <v>250</v>
      </c>
      <c r="G12" s="6" t="n">
        <v>1421.25</v>
      </c>
      <c r="H12" s="6" t="inlineStr">
        <is>
          <t>6,5 %</t>
        </is>
      </c>
      <c r="I12" s="6" t="inlineStr"/>
      <c r="J12" s="7" t="inlineStr">
        <is>
          <t>Ostatní výrobky z plastů. Bez CBAM, bez antidumpingu.</t>
        </is>
      </c>
    </row>
    <row r="13">
      <c r="A13" s="10" t="inlineStr">
        <is>
          <t>7318 1692 90</t>
        </is>
      </c>
      <c r="B13" s="11" t="inlineStr">
        <is>
          <t>Matice (nut)</t>
        </is>
      </c>
      <c r="C13" s="10" t="inlineStr">
        <is>
          <t>CN</t>
        </is>
      </c>
      <c r="D13" s="10" t="n">
        <v>576000</v>
      </c>
      <c r="E13" s="10" t="n">
        <v>959.04</v>
      </c>
      <c r="F13" s="10" t="n">
        <v>993.6</v>
      </c>
      <c r="G13" s="10" t="n">
        <v>40320</v>
      </c>
      <c r="H13" s="10" t="inlineStr">
        <is>
          <t>3,7 %</t>
        </is>
      </c>
      <c r="I13" s="10" t="inlineStr">
        <is>
          <t>CBAM</t>
        </is>
      </c>
      <c r="J13" s="11" t="inlineStr">
        <is>
          <t>CBAM (železo/ocel, KN 7318). OPRAVA HS. Ověřit antidumping – viz list Poznámky.</t>
        </is>
      </c>
    </row>
    <row r="14">
      <c r="A14" s="10" t="inlineStr">
        <is>
          <t>7318 1900 90</t>
        </is>
      </c>
      <c r="B14" s="11" t="inlineStr">
        <is>
          <t>Pružná matice (spring nut)</t>
        </is>
      </c>
      <c r="C14" s="10" t="inlineStr">
        <is>
          <t>CN</t>
        </is>
      </c>
      <c r="D14" s="10" t="n">
        <v>5000</v>
      </c>
      <c r="E14" s="10" t="n">
        <v>2.1</v>
      </c>
      <c r="F14" s="10" t="n">
        <v>3</v>
      </c>
      <c r="G14" s="10" t="n">
        <v>90</v>
      </c>
      <c r="H14" s="10" t="inlineStr">
        <is>
          <t>3,7 %</t>
        </is>
      </c>
      <c r="I14" s="10" t="inlineStr">
        <is>
          <t>CBAM</t>
        </is>
      </c>
      <c r="J14" s="11" t="inlineStr">
        <is>
          <t>CBAM (železo/ocel, KN 7318). OPRAVA HS. Ověřit antidumping + rozpor 7318 16 vs 7318 19 – viz Poznámky.</t>
        </is>
      </c>
    </row>
    <row r="15">
      <c r="A15" s="8" t="inlineStr">
        <is>
          <t>Mezisoučet</t>
        </is>
      </c>
      <c r="B15" s="9" t="n"/>
      <c r="C15" s="9" t="n"/>
      <c r="D15" s="8" t="n">
        <v>1069150</v>
      </c>
      <c r="E15" s="8" t="n">
        <v>6607.37</v>
      </c>
      <c r="F15" s="8" t="n">
        <v>7344.89</v>
      </c>
      <c r="G15" s="8" t="n">
        <v>82077.85000000001</v>
      </c>
      <c r="H15" s="9" t="n"/>
      <c r="I15" s="9" t="n"/>
      <c r="J15" s="9" t="n"/>
    </row>
    <row r="17">
      <c r="A17" s="12" t="inlineStr">
        <is>
          <t>CELKEM ZÁSILKA</t>
        </is>
      </c>
      <c r="B17" s="9" t="n"/>
      <c r="C17" s="9" t="n"/>
      <c r="D17" s="12" t="n">
        <v>1115230</v>
      </c>
      <c r="E17" s="12" t="n">
        <v>22965.77</v>
      </c>
      <c r="F17" s="12" t="n">
        <v>24297.69</v>
      </c>
      <c r="G17" s="12" t="n">
        <v>103424.41</v>
      </c>
      <c r="H17" s="9" t="n"/>
      <c r="I17" s="9" t="n"/>
      <c r="J17" s="9" t="n"/>
    </row>
    <row r="19">
      <c r="A19" s="13" t="inlineStr">
        <is>
          <t>Dodací podmínka (Incoterm): FOB – místo NENÍ na fakturách uvedeno; dle FCR je místo nakládky ZHENGZHOU, HENAN (CN). Nutno doplnit/potvrdit – viz Poznámky.</t>
        </is>
      </c>
    </row>
  </sheetData>
  <mergeCells count="2">
    <mergeCell ref="A5:J5"/>
    <mergeCell ref="A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4" customWidth="1" min="4" max="4"/>
    <col width="20" customWidth="1" min="5" max="5"/>
    <col width="22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52" customWidth="1" min="12" max="12"/>
  </cols>
  <sheetData>
    <row r="1">
      <c r="A1" s="1" t="inlineStr">
        <is>
          <t>ŽÁDOST O OPRAVU CELNÍHO PROHLÁŠENÍ (JSD) – SONAVOX CZ26012998</t>
        </is>
      </c>
    </row>
    <row r="2">
      <c r="A2" s="2" t="inlineStr">
        <is>
          <t>Důvod opravy: nesprávné sazební zařazení (HS kód) u položek spojovacího materiálu. Ostatní údaje JSD (množství, hmotnosti, hodnoty) se nemění.</t>
        </is>
      </c>
    </row>
    <row r="4" ht="32" customHeight="1">
      <c r="A4" s="3" t="inlineStr">
        <is>
          <t>Pol. na faktuře</t>
        </is>
      </c>
      <c r="B4" s="3" t="inlineStr">
        <is>
          <t>Part number</t>
        </is>
      </c>
      <c r="C4" s="3" t="inlineStr">
        <is>
          <t>Popis (EN)</t>
        </is>
      </c>
      <c r="D4" s="3" t="inlineStr">
        <is>
          <t>Popis (CZ)</t>
        </is>
      </c>
      <c r="E4" s="3" t="inlineStr">
        <is>
          <t>HS na původním JSD</t>
        </is>
      </c>
      <c r="F4" s="3" t="inlineStr">
        <is>
          <t>HS správný (opravit na)</t>
        </is>
      </c>
      <c r="G4" s="3" t="inlineStr">
        <is>
          <t>Množství (ks)</t>
        </is>
      </c>
      <c r="H4" s="3" t="inlineStr">
        <is>
          <t>Čistá hmotnost (kg)</t>
        </is>
      </c>
      <c r="I4" s="3" t="inlineStr">
        <is>
          <t>Hrubá hmotnost (kg)</t>
        </is>
      </c>
      <c r="J4" s="3" t="inlineStr">
        <is>
          <t>Celní hodnota (EUR)</t>
        </is>
      </c>
      <c r="K4" s="3" t="inlineStr">
        <is>
          <t>Akce</t>
        </is>
      </c>
      <c r="L4" s="3" t="inlineStr">
        <is>
          <t>Zdroj / odůvodnění</t>
        </is>
      </c>
    </row>
    <row r="5">
      <c r="A5" s="4" t="inlineStr">
        <is>
          <t>ODESÍLATEL: Suzhou Sonavox Electronics Co., Ltd (faktura CZ20260814-1 / CI-C001E260814002)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n">
        <v>1</v>
      </c>
      <c r="B6" s="6" t="inlineStr">
        <is>
          <t>212-8061-1-CZ</t>
        </is>
      </c>
      <c r="C6" s="6" t="inlineStr">
        <is>
          <t>Ceramics circle</t>
        </is>
      </c>
      <c r="D6" s="7" t="inlineStr">
        <is>
          <t>Magnetický obvod (feritový) – součást autoreproduktorů</t>
        </is>
      </c>
      <c r="E6" s="6" t="inlineStr">
        <is>
          <t>doplnit z JSD</t>
        </is>
      </c>
      <c r="F6" s="6" t="inlineStr">
        <is>
          <t>8518 9000 00</t>
        </is>
      </c>
      <c r="G6" s="6" t="n">
        <v>23040</v>
      </c>
      <c r="H6" s="6" t="n">
        <v>11059.2</v>
      </c>
      <c r="I6" s="6" t="n">
        <v>11560</v>
      </c>
      <c r="J6" s="6" t="n">
        <v>15851.52</v>
      </c>
      <c r="K6" s="6" t="inlineStr">
        <is>
          <t>beze změny</t>
        </is>
      </c>
      <c r="L6" s="7" t="inlineStr">
        <is>
          <t>Tabulka „Celní zařazení obvyklých položek Sonavox“ (List1/List2) – zařazení beze změny.</t>
        </is>
      </c>
    </row>
    <row r="7">
      <c r="A7" s="6" t="n">
        <v>2</v>
      </c>
      <c r="B7" s="6" t="inlineStr">
        <is>
          <t>212-65424-CZ</t>
        </is>
      </c>
      <c r="C7" s="6" t="inlineStr">
        <is>
          <t>Ceramics circle</t>
        </is>
      </c>
      <c r="D7" s="7" t="inlineStr">
        <is>
          <t>Magnetický obvod (feritový) – součást autoreproduktorů</t>
        </is>
      </c>
      <c r="E7" s="6" t="inlineStr">
        <is>
          <t>doplnit z JSD</t>
        </is>
      </c>
      <c r="F7" s="6" t="inlineStr">
        <is>
          <t>8518 9000 00</t>
        </is>
      </c>
      <c r="G7" s="6" t="n">
        <v>23040</v>
      </c>
      <c r="H7" s="6" t="n">
        <v>5299.2</v>
      </c>
      <c r="I7" s="6" t="n">
        <v>5392.8</v>
      </c>
      <c r="J7" s="6" t="n">
        <v>5495.04</v>
      </c>
      <c r="K7" s="6" t="inlineStr">
        <is>
          <t>beze změny</t>
        </is>
      </c>
      <c r="L7" s="7" t="inlineStr">
        <is>
          <t>Tabulka „Celní zařazení obvyklých položek Sonavox“ (List1/List2) – zařazení beze změny.</t>
        </is>
      </c>
    </row>
    <row r="9">
      <c r="A9" s="4" t="inlineStr">
        <is>
          <t>ODESÍLATEL: Suzhou Sonavox International Trading Co., Ltd (faktura CZ20260814 / TR-CZ20260814)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6" t="n">
        <v>1</v>
      </c>
      <c r="B10" s="6" t="inlineStr">
        <is>
          <t>010-AF2132S-7.2F-CZ</t>
        </is>
      </c>
      <c r="C10" s="6" t="inlineStr">
        <is>
          <t>Voice coil</t>
        </is>
      </c>
      <c r="D10" s="7" t="inlineStr">
        <is>
          <t>Kmitací cívka – měděný drát navinutý na papírovém válci</t>
        </is>
      </c>
      <c r="E10" s="6" t="inlineStr">
        <is>
          <t>doplnit z JSD</t>
        </is>
      </c>
      <c r="F10" s="6" t="inlineStr">
        <is>
          <t>8504 5000 90</t>
        </is>
      </c>
      <c r="G10" s="6" t="n">
        <v>1500</v>
      </c>
      <c r="H10" s="6" t="n">
        <v>8.4</v>
      </c>
      <c r="I10" s="6" t="n">
        <v>13.73</v>
      </c>
      <c r="J10" s="6" t="n">
        <v>309.9</v>
      </c>
      <c r="K10" s="6" t="inlineStr">
        <is>
          <t>beze změny</t>
        </is>
      </c>
      <c r="L10" s="7" t="inlineStr">
        <is>
          <t>Tabulka „Celní zařazení obvyklých položek Sonavox“ (List1/List2) – zařazení beze změny.</t>
        </is>
      </c>
    </row>
    <row r="11">
      <c r="A11" s="6" t="n">
        <v>2</v>
      </c>
      <c r="B11" s="6" t="inlineStr">
        <is>
          <t>010-AE2832S-1.8A-CZ</t>
        </is>
      </c>
      <c r="C11" s="6" t="inlineStr">
        <is>
          <t>Voice coil</t>
        </is>
      </c>
      <c r="D11" s="7" t="inlineStr">
        <is>
          <t>Kmitací cívka – měděný drát navinutý na papírovém válci</t>
        </is>
      </c>
      <c r="E11" s="6" t="inlineStr">
        <is>
          <t>doplnit z JSD</t>
        </is>
      </c>
      <c r="F11" s="6" t="inlineStr">
        <is>
          <t>8504 5000 90</t>
        </is>
      </c>
      <c r="G11" s="6" t="n">
        <v>31200</v>
      </c>
      <c r="H11" s="6" t="n">
        <v>149.76</v>
      </c>
      <c r="I11" s="6" t="n">
        <v>223.36</v>
      </c>
      <c r="J11" s="6" t="n">
        <v>6698.64</v>
      </c>
      <c r="K11" s="6" t="inlineStr">
        <is>
          <t>beze změny</t>
        </is>
      </c>
      <c r="L11" s="7" t="inlineStr">
        <is>
          <t>Tabulka „Celní zařazení obvyklých položek Sonavox“ (List1/List2) – zařazení beze změny.</t>
        </is>
      </c>
    </row>
    <row r="12">
      <c r="A12" s="6" t="n">
        <v>3</v>
      </c>
      <c r="B12" s="6" t="inlineStr">
        <is>
          <t>010-SD1626S-3.4A-CZ</t>
        </is>
      </c>
      <c r="C12" s="6" t="inlineStr">
        <is>
          <t>Voice coil</t>
        </is>
      </c>
      <c r="D12" s="7" t="inlineStr">
        <is>
          <t>Kmitací cívka – měděný drát navinutý na papírovém válci</t>
        </is>
      </c>
      <c r="E12" s="6" t="inlineStr">
        <is>
          <t>doplnit z JSD</t>
        </is>
      </c>
      <c r="F12" s="6" t="inlineStr">
        <is>
          <t>8504 5000 90</t>
        </is>
      </c>
      <c r="G12" s="6" t="n">
        <v>46800</v>
      </c>
      <c r="H12" s="6" t="n">
        <v>63.72</v>
      </c>
      <c r="I12" s="6" t="n">
        <v>157.2</v>
      </c>
      <c r="J12" s="6" t="n">
        <v>5723.64</v>
      </c>
      <c r="K12" s="6" t="inlineStr">
        <is>
          <t>beze změny</t>
        </is>
      </c>
      <c r="L12" s="7" t="inlineStr">
        <is>
          <t>Tabulka „Celní zařazení obvyklých položek Sonavox“ (List1/List2) – zařazení beze změny.</t>
        </is>
      </c>
    </row>
    <row r="13">
      <c r="A13" s="6" t="n">
        <v>4</v>
      </c>
      <c r="B13" s="6" t="inlineStr">
        <is>
          <t>021-94E00-7-2-CZ</t>
        </is>
      </c>
      <c r="C13" s="6" t="inlineStr">
        <is>
          <t>Spider</t>
        </is>
      </c>
      <c r="D13" s="7" t="inlineStr">
        <is>
          <t>Středící membrána – naimpregnovaná textilie</t>
        </is>
      </c>
      <c r="E13" s="6" t="inlineStr">
        <is>
          <t>doplnit z JSD</t>
        </is>
      </c>
      <c r="F13" s="6" t="inlineStr">
        <is>
          <t>8518 9000 00</t>
        </is>
      </c>
      <c r="G13" s="6" t="n">
        <v>100800</v>
      </c>
      <c r="H13" s="6" t="n">
        <v>189</v>
      </c>
      <c r="I13" s="6" t="n">
        <v>200</v>
      </c>
      <c r="J13" s="6" t="n">
        <v>6219.36</v>
      </c>
      <c r="K13" s="6" t="inlineStr">
        <is>
          <t>beze změny</t>
        </is>
      </c>
      <c r="L13" s="7" t="inlineStr">
        <is>
          <t>Tabulka „Celní zařazení obvyklých položek Sonavox“ (List1/List2) – zařazení beze změny.</t>
        </is>
      </c>
    </row>
    <row r="14">
      <c r="A14" s="6" t="n">
        <v>5</v>
      </c>
      <c r="B14" s="6" t="inlineStr">
        <is>
          <t>021-95E00-7-CZ</t>
        </is>
      </c>
      <c r="C14" s="6" t="inlineStr">
        <is>
          <t>Spider</t>
        </is>
      </c>
      <c r="D14" s="7" t="inlineStr">
        <is>
          <t>Středící membrána – naimpregnovaná textilie</t>
        </is>
      </c>
      <c r="E14" s="6" t="inlineStr">
        <is>
          <t>doplnit z JSD</t>
        </is>
      </c>
      <c r="F14" s="6" t="inlineStr">
        <is>
          <t>8518 9000 00</t>
        </is>
      </c>
      <c r="G14" s="6" t="n">
        <v>6960</v>
      </c>
      <c r="H14" s="6" t="n">
        <v>9.050000000000001</v>
      </c>
      <c r="I14" s="6" t="n">
        <v>10</v>
      </c>
      <c r="J14" s="6" t="n">
        <v>812.9299999999999</v>
      </c>
      <c r="K14" s="6" t="inlineStr">
        <is>
          <t>beze změny</t>
        </is>
      </c>
      <c r="L14" s="7" t="inlineStr">
        <is>
          <t>Tabulka „Celní zařazení obvyklých položek Sonavox“ (List1/List2) – zařazení beze změny.</t>
        </is>
      </c>
    </row>
    <row r="15">
      <c r="A15" s="6" t="n">
        <v>6</v>
      </c>
      <c r="B15" s="6" t="inlineStr">
        <is>
          <t>142-643H10-15H-CZ</t>
        </is>
      </c>
      <c r="C15" s="6" t="inlineStr">
        <is>
          <t>Gasket</t>
        </is>
      </c>
      <c r="D15" s="7" t="inlineStr">
        <is>
          <t>Plastové těsnění</t>
        </is>
      </c>
      <c r="E15" s="6" t="inlineStr">
        <is>
          <t>doplnit z JSD</t>
        </is>
      </c>
      <c r="F15" s="6" t="inlineStr">
        <is>
          <t>3926 9097 90</t>
        </is>
      </c>
      <c r="G15" s="6" t="n">
        <v>2500</v>
      </c>
      <c r="H15" s="6" t="n">
        <v>18.75</v>
      </c>
      <c r="I15" s="6" t="n">
        <v>20</v>
      </c>
      <c r="J15" s="6" t="n">
        <v>259.25</v>
      </c>
      <c r="K15" s="6" t="inlineStr">
        <is>
          <t>beze změny</t>
        </is>
      </c>
      <c r="L15" s="7" t="inlineStr">
        <is>
          <t>Tabulka „Celní zařazení obvyklých položek Sonavox“ (List1/List2) – zařazení beze změny.</t>
        </is>
      </c>
    </row>
    <row r="16">
      <c r="A16" s="6" t="n">
        <v>7</v>
      </c>
      <c r="B16" s="6" t="inlineStr">
        <is>
          <t>142-630H10-15H-CZ</t>
        </is>
      </c>
      <c r="C16" s="6" t="inlineStr">
        <is>
          <t>Gasket</t>
        </is>
      </c>
      <c r="D16" s="7" t="inlineStr">
        <is>
          <t>Plastové těsnění</t>
        </is>
      </c>
      <c r="E16" s="6" t="inlineStr">
        <is>
          <t>doplnit z JSD</t>
        </is>
      </c>
      <c r="F16" s="6" t="inlineStr">
        <is>
          <t>3926 9097 90</t>
        </is>
      </c>
      <c r="G16" s="6" t="n">
        <v>960</v>
      </c>
      <c r="H16" s="6" t="n">
        <v>7.2</v>
      </c>
      <c r="I16" s="6" t="n">
        <v>10</v>
      </c>
      <c r="J16" s="6" t="n">
        <v>100.8</v>
      </c>
      <c r="K16" s="6" t="inlineStr">
        <is>
          <t>beze změny</t>
        </is>
      </c>
      <c r="L16" s="7" t="inlineStr">
        <is>
          <t>Tabulka „Celní zařazení obvyklých položek Sonavox“ (List1/List2) – zařazení beze změny.</t>
        </is>
      </c>
    </row>
    <row r="17">
      <c r="A17" s="6" t="n">
        <v>8</v>
      </c>
      <c r="B17" s="6" t="inlineStr">
        <is>
          <t>142-40X25-25D-CZ</t>
        </is>
      </c>
      <c r="C17" s="6" t="inlineStr">
        <is>
          <t>Gasket</t>
        </is>
      </c>
      <c r="D17" s="7" t="inlineStr">
        <is>
          <t>Plastové těsnění</t>
        </is>
      </c>
      <c r="E17" s="6" t="inlineStr">
        <is>
          <t>doplnit z JSD</t>
        </is>
      </c>
      <c r="F17" s="6" t="inlineStr">
        <is>
          <t>3926 9097 90</t>
        </is>
      </c>
      <c r="G17" s="6" t="n">
        <v>28000</v>
      </c>
      <c r="H17" s="6" t="n">
        <v>210</v>
      </c>
      <c r="I17" s="6" t="n">
        <v>220</v>
      </c>
      <c r="J17" s="6" t="n">
        <v>1061.2</v>
      </c>
      <c r="K17" s="6" t="inlineStr">
        <is>
          <t>beze změny</t>
        </is>
      </c>
      <c r="L17" s="7" t="inlineStr">
        <is>
          <t>Tabulka „Celní zařazení obvyklých položek Sonavox“ (List1/List2) – zařazení beze změny.</t>
        </is>
      </c>
    </row>
    <row r="18">
      <c r="A18" s="6" t="n">
        <v>9</v>
      </c>
      <c r="B18" s="6" t="inlineStr">
        <is>
          <t>181-40133-1SN-CZ</t>
        </is>
      </c>
      <c r="C18" s="6" t="inlineStr">
        <is>
          <t>Terminal</t>
        </is>
      </c>
      <c r="D18" s="7" t="inlineStr">
        <is>
          <t>Kontakt / pájecí očko (terminál) – součást autoreproduktorů</t>
        </is>
      </c>
      <c r="E18" s="6" t="inlineStr">
        <is>
          <t>doplnit z JSD</t>
        </is>
      </c>
      <c r="F18" s="6" t="inlineStr">
        <is>
          <t>8518 9000 00</t>
        </is>
      </c>
      <c r="G18" s="6" t="n">
        <v>100000</v>
      </c>
      <c r="H18" s="6" t="n">
        <v>50</v>
      </c>
      <c r="I18" s="6" t="n">
        <v>60</v>
      </c>
      <c r="J18" s="6" t="n">
        <v>1270</v>
      </c>
      <c r="K18" s="6" t="inlineStr">
        <is>
          <t>beze změny</t>
        </is>
      </c>
      <c r="L18" s="7" t="inlineStr">
        <is>
          <t>Tabulka „Celní zařazení obvyklých položek Sonavox“ (List1/List2) – zařazení beze změny.</t>
        </is>
      </c>
    </row>
    <row r="19">
      <c r="A19" s="6" t="n">
        <v>10</v>
      </c>
      <c r="B19" s="6" t="inlineStr">
        <is>
          <t>181-40133-2SN-CZ</t>
        </is>
      </c>
      <c r="C19" s="6" t="inlineStr">
        <is>
          <t>Terminal</t>
        </is>
      </c>
      <c r="D19" s="7" t="inlineStr">
        <is>
          <t>Kontakt / pájecí očko (terminál) – součást autoreproduktorů</t>
        </is>
      </c>
      <c r="E19" s="6" t="inlineStr">
        <is>
          <t>doplnit z JSD</t>
        </is>
      </c>
      <c r="F19" s="6" t="inlineStr">
        <is>
          <t>8518 9000 00</t>
        </is>
      </c>
      <c r="G19" s="6" t="n">
        <v>100000</v>
      </c>
      <c r="H19" s="6" t="n">
        <v>50</v>
      </c>
      <c r="I19" s="6" t="n">
        <v>60</v>
      </c>
      <c r="J19" s="6" t="n">
        <v>1270</v>
      </c>
      <c r="K19" s="6" t="inlineStr">
        <is>
          <t>beze změny</t>
        </is>
      </c>
      <c r="L19" s="7" t="inlineStr">
        <is>
          <t>Tabulka „Celní zařazení obvyklých položek Sonavox“ (List1/List2) – zařazení beze změny.</t>
        </is>
      </c>
    </row>
    <row r="20">
      <c r="A20" s="10" t="n">
        <v>11</v>
      </c>
      <c r="B20" s="10" t="inlineStr">
        <is>
          <t>029-2513-AL-CZ</t>
        </is>
      </c>
      <c r="C20" s="10" t="inlineStr">
        <is>
          <t>Nut</t>
        </is>
      </c>
      <c r="D20" s="11" t="inlineStr">
        <is>
          <t>Matice ze železa nebo oceli</t>
        </is>
      </c>
      <c r="E20" s="10" t="inlineStr">
        <is>
          <t>doplnit z JSD</t>
        </is>
      </c>
      <c r="F20" s="10" t="inlineStr">
        <is>
          <t>7318 1692 90</t>
        </is>
      </c>
      <c r="G20" s="10" t="n">
        <v>576000</v>
      </c>
      <c r="H20" s="10" t="n">
        <v>959.04</v>
      </c>
      <c r="I20" s="10" t="n">
        <v>993.6</v>
      </c>
      <c r="J20" s="10" t="n">
        <v>40320</v>
      </c>
      <c r="K20" s="14" t="inlineStr">
        <is>
          <t>OPRAVIT</t>
        </is>
      </c>
      <c r="L20" s="11" t="inlineStr">
        <is>
          <t>Potvrdil J. Šrejber e-mailem 11.09.2026 („Tohle řadí pod 7318169290“) a tabulka „Celní zařazení obvyklých položek Sonavox“, ř. 202 (螺母 Nut = 7318169290).</t>
        </is>
      </c>
    </row>
    <row r="21">
      <c r="A21" s="10" t="n">
        <v>12</v>
      </c>
      <c r="B21" s="10" t="inlineStr">
        <is>
          <t>029A-000004-CZ</t>
        </is>
      </c>
      <c r="C21" s="10" t="inlineStr">
        <is>
          <t>Spring nut</t>
        </is>
      </c>
      <c r="D21" s="11" t="inlineStr">
        <is>
          <t>Pružná matice (spring nut) ze železa nebo oceli</t>
        </is>
      </c>
      <c r="E21" s="10" t="inlineStr">
        <is>
          <t>doplnit z JSD</t>
        </is>
      </c>
      <c r="F21" s="10" t="inlineStr">
        <is>
          <t>7318 1900 90</t>
        </is>
      </c>
      <c r="G21" s="10" t="n">
        <v>5000</v>
      </c>
      <c r="H21" s="10" t="n">
        <v>2.1</v>
      </c>
      <c r="I21" s="10" t="n">
        <v>3</v>
      </c>
      <c r="J21" s="10" t="n">
        <v>90</v>
      </c>
      <c r="K21" s="14" t="inlineStr">
        <is>
          <t>OPRAVIT</t>
        </is>
      </c>
      <c r="L21" s="11" t="inlineStr">
        <is>
          <t>E-mail J. Šrejber 11.09.2026 uvádí „79181900 90“ – kapitola 79 (zinek) neexistuje, čteno jako 7318 1900 90. POZOR: tabulka Sonavox, ř. 136 uvádí pro 029A-000004-CZ „HS 731816“. ROZPOR – nutno potvrdit.</t>
        </is>
      </c>
    </row>
    <row r="22">
      <c r="A22" s="6" t="n">
        <v>13</v>
      </c>
      <c r="B22" s="6" t="inlineStr">
        <is>
          <t>140-80E28-48X-CZ</t>
        </is>
      </c>
      <c r="C22" s="6" t="inlineStr">
        <is>
          <t>Cone</t>
        </is>
      </c>
      <c r="D22" s="7" t="inlineStr">
        <is>
          <t>Membrána s vlnkou – membrána elektrodynamického reproduktoru</t>
        </is>
      </c>
      <c r="E22" s="6" t="inlineStr">
        <is>
          <t>doplnit z JSD</t>
        </is>
      </c>
      <c r="F22" s="6" t="inlineStr">
        <is>
          <t>8518 9000 00</t>
        </is>
      </c>
      <c r="G22" s="6" t="n">
        <v>28950</v>
      </c>
      <c r="H22" s="6" t="n">
        <v>917.0700000000001</v>
      </c>
      <c r="I22" s="6" t="n">
        <v>1312.72</v>
      </c>
      <c r="J22" s="6" t="n">
        <v>7411.2</v>
      </c>
      <c r="K22" s="6" t="inlineStr">
        <is>
          <t>beze změny</t>
        </is>
      </c>
      <c r="L22" s="7" t="inlineStr">
        <is>
          <t>Tabulka „Celní zařazení obvyklých položek Sonavox“ (List1/List2) – zařazení beze změny.</t>
        </is>
      </c>
    </row>
    <row r="23">
      <c r="A23" s="6" t="n">
        <v>14</v>
      </c>
      <c r="B23" s="6" t="inlineStr">
        <is>
          <t>140-35D14-44XP1-CZ</t>
        </is>
      </c>
      <c r="C23" s="6" t="inlineStr">
        <is>
          <t>Cone</t>
        </is>
      </c>
      <c r="D23" s="7" t="inlineStr">
        <is>
          <t>Membrána s vlnkou – membrána elektrodynamického reproduktoru</t>
        </is>
      </c>
      <c r="E23" s="6" t="inlineStr">
        <is>
          <t>doplnit z JSD</t>
        </is>
      </c>
      <c r="F23" s="6" t="inlineStr">
        <is>
          <t>8518 9000 00</t>
        </is>
      </c>
      <c r="G23" s="6" t="n">
        <v>16000</v>
      </c>
      <c r="H23" s="6" t="n">
        <v>32</v>
      </c>
      <c r="I23" s="6" t="n">
        <v>40</v>
      </c>
      <c r="J23" s="6" t="n">
        <v>5852.8</v>
      </c>
      <c r="K23" s="6" t="inlineStr">
        <is>
          <t>beze změny</t>
        </is>
      </c>
      <c r="L23" s="7" t="inlineStr">
        <is>
          <t>Tabulka „Celní zařazení obvyklých položek Sonavox“ (List1/List2) – zařazení beze změny.</t>
        </is>
      </c>
    </row>
    <row r="24">
      <c r="A24" s="6" t="n">
        <v>15</v>
      </c>
      <c r="B24" s="6" t="inlineStr">
        <is>
          <t>210-66E2-24.5TCR-1-CZ</t>
        </is>
      </c>
      <c r="C24" s="6" t="inlineStr">
        <is>
          <t>T-yoke</t>
        </is>
      </c>
      <c r="D24" s="7" t="inlineStr">
        <is>
          <t>Jádro magnetického obvodu (T-yoke)</t>
        </is>
      </c>
      <c r="E24" s="6" t="inlineStr">
        <is>
          <t>doplnit z JSD</t>
        </is>
      </c>
      <c r="F24" s="6" t="inlineStr">
        <is>
          <t>8518 9000 00</t>
        </is>
      </c>
      <c r="G24" s="6" t="n">
        <v>24480</v>
      </c>
      <c r="H24" s="6" t="n">
        <v>3941.28</v>
      </c>
      <c r="I24" s="6" t="n">
        <v>4021.28</v>
      </c>
      <c r="J24" s="6" t="n">
        <v>4678.13</v>
      </c>
      <c r="K24" s="6" t="inlineStr">
        <is>
          <t>beze změny</t>
        </is>
      </c>
      <c r="L24" s="7" t="inlineStr">
        <is>
          <t>Tabulka „Celní zařazení obvyklých položek Sonavox“ (List1/List2) – zařazení beze změny.</t>
        </is>
      </c>
    </row>
    <row r="26">
      <c r="A26" s="13" t="inlineStr">
        <is>
          <t>POZNÁMKA: sloupec „HS na původním JSD“ prosím doplnit z podaného celního prohlášení – nemám k dispozici text podaného JSD.</t>
        </is>
      </c>
    </row>
  </sheetData>
  <mergeCells count="2">
    <mergeCell ref="A5:L5"/>
    <mergeCell ref="A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>
        <f>== ZÁSILKA ===</f>
        <v/>
      </c>
    </row>
    <row r="2">
      <c r="A2" s="16" t="inlineStr">
        <is>
          <t>Reference: CZ26012998 – SONAVOX | Kontejner CICU1037696 (1x40HQ) | FCR TECGO26080180 / T.H.I. GROUP LTD.</t>
        </is>
      </c>
    </row>
    <row r="3">
      <c r="A3" s="16" t="inlineStr">
        <is>
          <t>Trasa (železnice): ZHENGZHOU, HENAN (CN) → MALASZEWICZE (PL), vlak V.WB2026/08/21, datum vystavení FCR 22.08.2026.</t>
        </is>
      </c>
    </row>
    <row r="4">
      <c r="A4" s="16" t="inlineStr">
        <is>
          <t>Příjemce (CZ): Sonavox Technology CZ s.r.o., Lhotka nad Bečvou 93, 756 41 Lesná, Czech Republic.</t>
        </is>
      </c>
    </row>
    <row r="5">
      <c r="A5" s="16" t="inlineStr">
        <is>
          <t>Odesílatelé: (1) Suzhou Sonavox Electronics Co., Ltd; (2) Suzhou Sonavox International Trading Co., Ltd – oba No.333 Zhongchuang Road, Xiangcheng District, Suzhou, China.</t>
        </is>
      </c>
    </row>
    <row r="6">
      <c r="A6" s="16" t="inlineStr">
        <is>
          <t>Celkem: 50 PLTS, hrubá hmotnost 24 297,69 kg, 46,7 CBM. Hrubé hmotnosti z packing listů (16 952,80 + 7 344,89) souhlasí s FCR.</t>
        </is>
      </c>
    </row>
    <row r="7">
      <c r="A7" s="16" t="inlineStr">
        <is>
          <t>Celková fakturovaná hodnota: 103 424,41 EUR (21 346,56 + 82 077,85). Původ zboží: Čína (CN).</t>
        </is>
      </c>
    </row>
    <row r="8">
      <c r="A8" s="16" t="inlineStr"/>
    </row>
    <row r="9">
      <c r="A9" s="17">
        <f>== DODACÍ PODMÍNKA (INCOTERM) – NUTNO DOPLNIT ===</f>
        <v/>
      </c>
    </row>
    <row r="10">
      <c r="A10" s="17" t="inlineStr">
        <is>
          <t>Na obou fakturách je v poli „Terms of Payment“ uvedeno pouze „FOB“ – BEZ uvedení místa. Dle FCR je místo převzetí a nakládky ZHENGZHOU, HENAN.</t>
        </is>
      </c>
    </row>
    <row r="11">
      <c r="A11" s="17" t="inlineStr">
        <is>
          <t>Návrh znění: FOB Zhengzhou. Prosím potvrdit s klientem / odesílatelem, než se uvede do JSD – ovlivňuje to výpočet celní hodnoty (PONEU, doprava k hranici EU).</t>
        </is>
      </c>
    </row>
    <row r="12">
      <c r="A12" s="17" t="inlineStr">
        <is>
          <t>Přepravné je „FREIGHT COLLECT“ – dopravu tedy nehradí odesílatel, náklady na dopravu do místa vstupu do EU je nutné k celní hodnotě připočíst.</t>
        </is>
      </c>
    </row>
    <row r="13">
      <c r="A13" s="16" t="inlineStr"/>
    </row>
    <row r="14">
      <c r="A14" s="15">
        <f>== CBAM – kontrola dle registru reference/CBAM_receivers_CZ.xlsx (list List1) ===</f>
        <v/>
      </c>
    </row>
    <row r="15">
      <c r="A15" s="16" t="inlineStr">
        <is>
          <t>Zásilka OBSAHUJE zboží spadající do CBAM: KN 7318 1692 90 (matice) a KN 7318 1900 90 (pružné matice) – kapitola 73, železo a ocel.</t>
        </is>
      </c>
    </row>
    <row r="16">
      <c r="A16" s="16" t="inlineStr">
        <is>
          <t>Čistá hmotnost CBAM zboží v této zásilce: 961,14 kg (959,04 + 2,10).</t>
        </is>
      </c>
    </row>
    <row r="17">
      <c r="A17" s="16" t="inlineStr">
        <is>
          <t>PŘÍJEMCE NALEZEN v registru (řádek 97): Sonavox Technology CZ s.r.o.</t>
        </is>
      </c>
    </row>
    <row r="18">
      <c r="A18" s="16" t="inlineStr">
        <is>
          <t xml:space="preserve">   • Y KÓD: Y137 – pod hranicí de minimis („do 50 t ročně“).</t>
        </is>
      </c>
    </row>
    <row r="19">
      <c r="A19" s="16" t="inlineStr">
        <is>
          <t xml:space="preserve">   • povolení (Y128): není uvedeno („-“)   • podaná žádost (Y238): není uvedena („-“)   • datum vydání: neuvedeno.</t>
        </is>
      </c>
    </row>
    <row r="20">
      <c r="A20" s="16" t="inlineStr">
        <is>
          <t xml:space="preserve">   → Do JSD uvést kód Y137.</t>
        </is>
      </c>
    </row>
    <row r="21">
      <c r="A21" s="17" t="inlineStr">
        <is>
          <t>POZOR – NESROVNALOST V REGISTRU: u Sonavox Technology CZ s.r.o. je v registru uvedeno EORI CZ62908227, což je ale DIČ/VAT Maurice Ward &amp; Co. s.r.o.</t>
        </is>
      </c>
    </row>
    <row r="22">
      <c r="A22" s="17" t="inlineStr">
        <is>
          <t>Tabulka „Celní zařazení obvyklých položek Sonavox“ uvádí pro Sonavox: EORI = DIČ = CZ28632389. Prosím ověřit a opravit registr.</t>
        </is>
      </c>
    </row>
    <row r="23">
      <c r="A23" s="17" t="inlineStr">
        <is>
          <t>Upozornění: Y137 platí jen do 50 t ročně – je třeba sledovat kumulativní roční množství CBAM zboží u tohoto příjemce.</t>
        </is>
      </c>
    </row>
    <row r="24">
      <c r="A24" s="16" t="inlineStr"/>
    </row>
    <row r="25">
      <c r="A25" s="17">
        <f>== ANTIDUMPING – NUTNO OVĚŘIT V TARIC ===</f>
        <v/>
      </c>
    </row>
    <row r="26">
      <c r="A26" s="16" t="inlineStr">
        <is>
          <t>Tabulka Sonavox uvádí antidumping výslovně u šroubů: 7318 1595 89 = 3,7 % + 86,5 % (anti-dumping duty).</t>
        </is>
      </c>
    </row>
    <row r="27">
      <c r="A27" s="16" t="inlineStr">
        <is>
          <t>Na TÉTO zásilce ŽÁDNÉ šrouby (7318 15..) nejsou – jsou zde pouze matice (7318 16 / 7318 19).</t>
        </is>
      </c>
    </row>
    <row r="28">
      <c r="A28" s="17" t="inlineStr">
        <is>
          <t>Přesto je nutné ověřit v TARIC, zda se opatření (nař. EU 2022/191, spojovací prostředky ze železa nebo oceli z ČLR) vztahuje i na matice pod 7318 1692 90 a 7318 1900 90.</t>
        </is>
      </c>
    </row>
    <row r="29">
      <c r="A29" s="17" t="inlineStr">
        <is>
          <t>Hodnota položky „Nut“ je 40 320,00 EUR – případné antidumpingové clo by mělo zásadní finanční dopad.</t>
        </is>
      </c>
    </row>
    <row r="30">
      <c r="A30" s="16" t="inlineStr"/>
    </row>
    <row r="31">
      <c r="A31" s="15">
        <f>== PREFERENČNÍ VĚTA (COO) A REX – VÝSLEDEK KONTROLY ===</f>
        <v/>
      </c>
    </row>
    <row r="32">
      <c r="A32" s="16" t="inlineStr">
        <is>
          <t>Zkontrolováno: obě obchodní faktury, oba packing listy a FCR TECGO26080180.</t>
        </is>
      </c>
    </row>
    <row r="33">
      <c r="A33" s="17" t="inlineStr">
        <is>
          <t>PREFERENČNÍ VĚTA: NENÍ v dokladech uvedena. Na fakturách je pouze „Origin of Goods: China“ / „Origin of Goods: Suzhou (35029)“.</t>
        </is>
      </c>
    </row>
    <row r="34">
      <c r="A34" s="17" t="inlineStr">
        <is>
          <t>REX ČÍSLO: NA FAKTUŘE NENÍ UVEDENO – žádné číslo registrovaného vývozce se v dokladech nevyskytuje.</t>
        </is>
      </c>
    </row>
    <row r="35">
      <c r="A35" s="16" t="inlineStr">
        <is>
          <t>Dopad: zboží nemá nárok na preferenční sazební zacházení. EU nemá s Čínou dohodu o volném obchodu a Čína není zvýhodněnou zemí GSP,</t>
        </is>
      </c>
    </row>
    <row r="36">
      <c r="A36" s="16" t="inlineStr">
        <is>
          <t>takže preferenční původ ani REX zde uplatnit nelze. Použijí se plné třetizemní (erga omnes) sazby uvedené v listu „HS souhrn“.</t>
        </is>
      </c>
    </row>
    <row r="37">
      <c r="A37" s="16" t="inlineStr"/>
    </row>
    <row r="38">
      <c r="A38" s="15">
        <f>== SLEVA ===</f>
        <v/>
      </c>
    </row>
    <row r="39">
      <c r="A39" s="16" t="inlineStr">
        <is>
          <t>Na fakturách není uvedena žádná obchodní sleva (pole Duty / Freight / Insurance jsou prázdná). Poměrná sleva se tedy neaplikuje.</t>
        </is>
      </c>
    </row>
    <row r="40">
      <c r="A40" s="16" t="inlineStr"/>
    </row>
    <row r="41">
      <c r="A41" s="15">
        <f>== OTEVŘENÉ BODY – POTŘEBUJI POTVRDIT ===</f>
        <v/>
      </c>
    </row>
    <row r="42">
      <c r="A42" s="17" t="inlineStr">
        <is>
          <t>1) HS pro 029A-000004-CZ (Spring nut): e-mail uvádí „79181900 90“ (kap. 79 = zinek, takový kód neexistuje) – čtu jako 7318 1900 90,</t>
        </is>
      </c>
    </row>
    <row r="43">
      <c r="A43" s="17" t="inlineStr">
        <is>
          <t xml:space="preserve">   ale tabulka Sonavox u tohoto part numberu uvádí „HS 731816“. Nutno potvrdit s J. Šrejberem / klientem, který kód platí.</t>
        </is>
      </c>
    </row>
    <row r="44">
      <c r="A44" s="17" t="inlineStr">
        <is>
          <t>2) HS na původním JSD – doplnit do listu „Oprava JSD – pro IT“, sloupec E (nemám k dispozici podané celní prohlášení).</t>
        </is>
      </c>
    </row>
    <row r="45">
      <c r="A45" s="17" t="inlineStr">
        <is>
          <t>3) Ceramics circle 212-8061-1-CZ a 212-65424-CZ: zařazeno pod 8518 9000 00 (feritový obvod, 0 %).</t>
        </is>
      </c>
    </row>
    <row r="46">
      <c r="A46" s="17" t="inlineStr">
        <is>
          <t xml:space="preserve">   Tabulka Sonavox vede NEODYMOVÝ obvod 212-65163-CZ pod 8518 9000 30 se sazbou 2 %. Part number 212-65424-CZ je podobný –</t>
        </is>
      </c>
    </row>
    <row r="47">
      <c r="A47" s="17" t="inlineStr">
        <is>
          <t xml:space="preserve">   prosím potvrdit, že jde o feritové (ceramic), nikoli neodymové magnety. Rozdíl je 0 % vs. 2 %.</t>
        </is>
      </c>
    </row>
    <row r="48">
      <c r="A48" s="17" t="inlineStr">
        <is>
          <t>4) Incoterm – doplnit město k FOB (viz výše).</t>
        </is>
      </c>
    </row>
    <row r="49">
      <c r="A49" s="16" t="inlineStr"/>
    </row>
    <row r="50">
      <c r="A50" s="15">
        <f>== DOKLADY V PŘÍLOZE E-MAILU ===</f>
        <v/>
      </c>
    </row>
    <row r="51">
      <c r="A51" s="16" t="inlineStr">
        <is>
          <t>✓ CI-C001E260814002 – obchodní faktura, Suzhou Sonavox Electronics Co., Ltd</t>
        </is>
      </c>
    </row>
    <row r="52">
      <c r="A52" s="16" t="inlineStr">
        <is>
          <t>✓ PL-C001E260814002 – packing list k výše uvedené faktuře</t>
        </is>
      </c>
    </row>
    <row r="53">
      <c r="A53" s="16" t="inlineStr">
        <is>
          <t>✓ TR-CZ20260814 – obchodní faktura + packing list, Suzhou Sonavox International Trading Co., Ltd</t>
        </is>
      </c>
    </row>
    <row r="54">
      <c r="A54" s="16" t="inlineStr">
        <is>
          <t>✓ HBL_TECGO26080180 – Forwarder's Cargo Receipt (T.H.I. Group Ltd.)</t>
        </is>
      </c>
    </row>
    <row r="55">
      <c r="A55" s="17" t="inlineStr">
        <is>
          <t>✗ CICU1037696.pdf – soubor neobsahuje textovou vrstvu (skenovaný obrázek), obsah jsem nedokázal přečíst. Prosím zkontrolovat ručně.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2026-09-14T10:04:35Z</dcterms:created>
  <dcterms:modified xsi:type="dcterms:W3CDTF">2026-09-14T10:04:35Z</dcterms:modified>
</cp:coreProperties>
</file>