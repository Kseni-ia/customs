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Summary" sheetId="1" state="visible" r:id="rId1"/>
    <sheet name="Dokumenty a poznámk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9C6500"/>
    </font>
    <font>
      <b val="1"/>
    </font>
    <font>
      <b val="1"/>
      <color rgb="001F4E78"/>
    </font>
    <font>
      <b val="1"/>
      <color rgb="00C000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0" customWidth="1" min="3" max="3"/>
    <col width="10" customWidth="1" min="4" max="4"/>
    <col width="12" customWidth="1" min="5" max="5"/>
    <col width="14" customWidth="1" min="6" max="6"/>
    <col width="14" customWidth="1" min="7" max="7"/>
    <col width="12" customWidth="1" min="8" max="8"/>
    <col width="13" customWidth="1" min="9" max="9"/>
    <col width="22" customWidth="1" min="10" max="10"/>
    <col width="26" customWidth="1" min="11" max="11"/>
    <col width="46" customWidth="1" min="12" max="12"/>
  </cols>
  <sheetData>
    <row r="1" ht="30" customHeight="1">
      <c r="A1" s="1" t="inlineStr">
        <is>
          <t>HS kód</t>
        </is>
      </c>
      <c r="B1" s="1" t="inlineStr">
        <is>
          <t>Popis zboží (CZ)</t>
        </is>
      </c>
      <c r="C1" s="1" t="inlineStr">
        <is>
          <t>Odesílatel</t>
        </is>
      </c>
      <c r="D1" s="1" t="inlineStr">
        <is>
          <t>Země původu (COO)</t>
        </is>
      </c>
      <c r="E1" s="1" t="inlineStr">
        <is>
          <t>Množství (ks)</t>
        </is>
      </c>
      <c r="F1" s="1" t="inlineStr">
        <is>
          <t>Čistá hmotnost (kg)</t>
        </is>
      </c>
      <c r="G1" s="1" t="inlineStr">
        <is>
          <t>Hrubá hmotnost (kg)</t>
        </is>
      </c>
      <c r="H1" s="1" t="inlineStr">
        <is>
          <t>Hodnota (CHF)</t>
        </is>
      </c>
      <c r="I1" s="1" t="inlineStr">
        <is>
          <t>Hodnota (CZK)</t>
        </is>
      </c>
      <c r="J1" s="1" t="inlineStr">
        <is>
          <t>ECN / dvojí užití</t>
        </is>
      </c>
      <c r="K1" s="1" t="inlineStr">
        <is>
          <t>Incoterm</t>
        </is>
      </c>
      <c r="L1" s="1" t="inlineStr">
        <is>
          <t>Poznámka</t>
        </is>
      </c>
    </row>
    <row r="2">
      <c r="A2" s="2" t="inlineStr">
        <is>
          <t>85413000</t>
        </is>
      </c>
      <c r="B2" s="2" t="inlineStr">
        <is>
          <t>Tyristory – vč. IGCT tyristorů (14 ks IGCT + 184 ks tyristory)</t>
        </is>
      </c>
      <c r="C2" s="2" t="inlineStr">
        <is>
          <t>Hitachi Energy Czech Republic s.r.o., Praha 4</t>
        </is>
      </c>
      <c r="D2" s="3" t="inlineStr">
        <is>
          <t>CHYBÍ</t>
        </is>
      </c>
      <c r="E2" s="2" t="n">
        <v>198</v>
      </c>
      <c r="F2" s="3" t="inlineStr">
        <is>
          <t>CHYBÍ</t>
        </is>
      </c>
      <c r="G2" s="3" t="inlineStr">
        <is>
          <t>CHYBÍ</t>
        </is>
      </c>
      <c r="H2" s="3" t="inlineStr">
        <is>
          <t>CHYBÍ</t>
        </is>
      </c>
      <c r="I2" s="3" t="inlineStr">
        <is>
          <t>CHYBÍ</t>
        </is>
      </c>
      <c r="J2" s="2" t="inlineStr">
        <is>
          <t>Dvojí užití – všeob. licence 001 (dle e-mailu)</t>
        </is>
      </c>
      <c r="K2" s="2" t="inlineStr">
        <is>
          <t>CPT Spreitenbach (předpoklad – ověřit na faktuře)</t>
        </is>
      </c>
      <c r="L2" s="2" t="inlineStr">
        <is>
          <t>Data z faktury 923837359 NEBYLA dodána (odkaz imap:// nelze otevřít). Chybí: čistá/hrubá hmotnost, hodnota, popis dle faktury, COO, ECN. Množství 198 ks převzato z e-mailu M. Taitlové.</t>
        </is>
      </c>
    </row>
    <row r="3">
      <c r="A3" s="2" t="inlineStr">
        <is>
          <t>85411000</t>
        </is>
      </c>
      <c r="B3" s="2" t="inlineStr">
        <is>
          <t>Diody (NPC dioda LTB OB; mat. č. 5SDF 2045L0001)</t>
        </is>
      </c>
      <c r="C3" s="2" t="inlineStr">
        <is>
          <t>Hitachi Energy Czech Republic s.r.o., Praha 4</t>
        </is>
      </c>
      <c r="D3" s="2" t="inlineStr">
        <is>
          <t>CZ</t>
        </is>
      </c>
      <c r="E3" s="2" t="n">
        <v>12</v>
      </c>
      <c r="F3" s="2" t="n">
        <v>16.8</v>
      </c>
      <c r="G3" s="3" t="inlineStr">
        <is>
          <t>CHYBÍ</t>
        </is>
      </c>
      <c r="H3" s="2" t="n">
        <v>6012</v>
      </c>
      <c r="I3" s="2" t="n">
        <v>157929.23</v>
      </c>
      <c r="J3" s="2" t="inlineStr">
        <is>
          <t>Not Dual Use (dle faktury)</t>
        </is>
      </c>
      <c r="K3" s="2" t="inlineStr">
        <is>
          <t>CPT Spreitenbach</t>
        </is>
      </c>
      <c r="L3" s="2" t="inlineStr">
        <is>
          <t>Faktura 810679042 ze dne 22.07.2026. Cena 501,00 CHF/ks. Kurz 1 CHF = 26,269 CZK. Hrubá hmotnost na položku není na faktuře uvedena (celková hrubá hmotnost zásilky viz palety). E-mail uvádí HS 8411000 – správně 85411000.</t>
        </is>
      </c>
    </row>
    <row r="4">
      <c r="A4" s="4" t="inlineStr">
        <is>
          <t>CELKEM</t>
        </is>
      </c>
      <c r="B4" s="4" t="n"/>
      <c r="C4" s="4" t="n"/>
      <c r="D4" s="4" t="n"/>
      <c r="E4" s="4" t="n">
        <v>210</v>
      </c>
      <c r="F4" s="4" t="inlineStr">
        <is>
          <t>≥ 16,8</t>
        </is>
      </c>
      <c r="G4" s="4" t="n">
        <v>174</v>
      </c>
      <c r="H4" s="4" t="inlineStr">
        <is>
          <t>≥ 6 012</t>
        </is>
      </c>
      <c r="I4" s="4" t="inlineStr">
        <is>
          <t>≥ 157 929</t>
        </is>
      </c>
      <c r="J4" s="4" t="n"/>
      <c r="K4" s="4" t="n"/>
      <c r="L4" s="4" t="inlineStr">
        <is>
          <t>Hrubá hmotnost = palety 128 + 46 kg (celá zásilka). Hodnota/hmotnost neúplné – chybí faktura tyristorů.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>
        <f>== ZÁSILKA (stav 22.07.2026) ===</f>
        <v/>
      </c>
    </row>
    <row r="2">
      <c r="A2" t="inlineStr">
        <is>
          <t>Odesílatel:  Hitachi Energy Czech Republic s.r.o., Na strži 1702/65, 140 00 Praha 4 (COO: CZ).</t>
        </is>
      </c>
    </row>
    <row r="3">
      <c r="A3" t="inlineStr">
        <is>
          <t>Příjemce:    ABB Schweiz AG / ABB Switzerland Ltd – dodání c/o Rhenus Contract Logistics AG, 8957 Spreitenbach, CH.</t>
        </is>
      </c>
    </row>
    <row r="4">
      <c r="A4" t="inlineStr">
        <is>
          <t>Typ:         VÝVOZ CZ → Švýcarsko. E-mail: 'Zboží dvojího užití, všeobecná licence 001'.</t>
        </is>
      </c>
    </row>
    <row r="5">
      <c r="A5" t="inlineStr">
        <is>
          <t>Incoterm:    CPT Spreitenbach (z faktury diod 810679042).</t>
        </is>
      </c>
    </row>
    <row r="6">
      <c r="A6" t="inlineStr">
        <is>
          <t>Palety:      80x60x55 / 128 kg + 80x60x75 / 46 kg  =  celková hrubá hmotnost 174 kg.</t>
        </is>
      </c>
    </row>
    <row r="7">
      <c r="A7" t="inlineStr"/>
    </row>
    <row r="8">
      <c r="A8" s="5">
        <f>== POLOŽKY (dle e-mailu M. Taitlové) ===</f>
        <v/>
      </c>
    </row>
    <row r="9">
      <c r="A9" t="inlineStr">
        <is>
          <t>IGCT tyristory – HS 85413000 – 14 ks   \</t>
        </is>
      </c>
    </row>
    <row r="10">
      <c r="A10" t="inlineStr">
        <is>
          <t>Tyristory      – HS 85413000 – 184 ks  /  sloučeno do jednoho řádku HS 85413000 = 198 ks (stejný odesílatel + HS).</t>
        </is>
      </c>
    </row>
    <row r="11">
      <c r="A11" t="inlineStr">
        <is>
          <t>Diody          – HS 8411000 (v e-mailu) → SPRÁVNĚ 85411000 dle faktury – 12 ks.</t>
        </is>
      </c>
    </row>
    <row r="12">
      <c r="A12" t="inlineStr"/>
    </row>
    <row r="13">
      <c r="A13" s="6">
        <f>== ⚠️ CHYBĚJÍCÍ PODKLAD ===</f>
        <v/>
      </c>
    </row>
    <row r="14">
      <c r="A14" t="inlineStr">
        <is>
          <t>Faktura tyristorů 923837359.pdf NEBYLA dodána. V zadání byl pouze odkaz imap:// (schránka),</t>
        </is>
      </c>
    </row>
    <row r="15">
      <c r="A15" t="inlineStr">
        <is>
          <t>který nelze otevřít; fyzicky byla nahrána jen faktura diod 810679042.pdf.</t>
        </is>
      </c>
    </row>
    <row r="16">
      <c r="A16" t="inlineStr">
        <is>
          <t>Pro dokončení řádku HS 85413000 potřebuji: čistou a hrubou hmotnost, hodnotu (CHF/CZK),</t>
        </is>
      </c>
    </row>
    <row r="17">
      <c r="A17" t="inlineStr">
        <is>
          <t>popis dle faktury, zemi původu (COO) a ECN kód tyristorů.</t>
        </is>
      </c>
    </row>
    <row r="18">
      <c r="A18" t="inlineStr"/>
    </row>
    <row r="19">
      <c r="A19" s="5">
        <f>== DVOJÍ UŽITÍ (dual-use) ===</f>
        <v/>
      </c>
    </row>
    <row r="20">
      <c r="A20" t="inlineStr">
        <is>
          <t>E-mail deklaruje všeobecnou vývozní licenci 001 (EU001) pro zboží dvojího užití.</t>
        </is>
      </c>
    </row>
    <row r="21">
      <c r="A21" t="inlineStr">
        <is>
          <t>Faktura diod výslovně uvádí 'ECN Code: Not Dual Use' → diody licenci nevyžadují.</t>
        </is>
      </c>
    </row>
    <row r="22">
      <c r="A22" t="inlineStr">
        <is>
          <t>→ Dvojí užití se týká tyristorů (HS 85413000) – ověřit ECN na chybějící faktuře 923837359.</t>
        </is>
      </c>
    </row>
    <row r="23">
      <c r="A23" t="inlineStr"/>
    </row>
    <row r="24">
      <c r="A24" s="5">
        <f>== PREFERENČNÍ PŮVOD (COO) ===</f>
        <v/>
      </c>
    </row>
    <row r="25">
      <c r="A25" t="inlineStr">
        <is>
          <t>Směr vývozu CZ → CH (EFTA). Faktura diod 810679042 NEOBSAHUJE preferenční větu; uvádí pouze</t>
        </is>
      </c>
    </row>
    <row r="26">
      <c r="A26" t="inlineStr">
        <is>
          <t>'Country of Origin: CZ' a 'Export 0%'. Zkontrolovat preferenční větu na faktuře tyristorů.</t>
        </is>
      </c>
    </row>
    <row r="27">
      <c r="A27" t="inlineStr"/>
    </row>
    <row r="28">
      <c r="A28" s="5">
        <f>== HODNOTY / KURZ ===</f>
        <v/>
      </c>
    </row>
    <row r="29">
      <c r="A29" t="inlineStr">
        <is>
          <t>Diody: 6 012,00 CHF = 157 929,23 CZK (kurz 1 CHF = 26,269 CZK, dle faktury).</t>
        </is>
      </c>
    </row>
    <row r="30">
      <c r="A30" t="inlineStr">
        <is>
          <t>Tyristory: hodnota neznámá – chybí faktura.</t>
        </is>
      </c>
    </row>
    <row r="31">
      <c r="A31" t="inlineStr"/>
    </row>
    <row r="32">
      <c r="A32" s="5">
        <f>== NÁZEV SOUBORU ===</f>
        <v/>
      </c>
    </row>
    <row r="33">
      <c r="A33" t="inlineStr">
        <is>
          <t>Číslo zásilky odvozeno z ref. 'EX HITACHI 1856'. Upravte, pokud používáte jiné.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2026-07-22T22:48:28Z</dcterms:created>
  <dcterms:modified xsi:type="dcterms:W3CDTF">2026-07-22T22:48:28Z</dcterms:modified>
</cp:coreProperties>
</file>