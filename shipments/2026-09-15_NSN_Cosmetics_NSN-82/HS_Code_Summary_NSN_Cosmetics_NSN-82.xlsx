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uhrn HS" sheetId="1" state="visible" r:id="rId1"/>
    <sheet name="Zařazení VPV KN" sheetId="2" state="visible" r:id="rId2"/>
    <sheet name="Položky (detail)" sheetId="3" state="visible" r:id="rId3"/>
    <sheet name="Poznámky a kontroly"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F3864"/>
      <sz val="14"/>
    </font>
    <font>
      <b val="1"/>
      <color rgb="001F3864"/>
      <sz val="11"/>
    </font>
    <font>
      <b val="1"/>
    </font>
    <font>
      <b val="1"/>
      <color rgb="009C0006"/>
    </font>
    <font>
      <b val="1"/>
      <color rgb="00FFFFFF"/>
      <sz val="10"/>
    </font>
    <font>
      <b val="1"/>
      <color rgb="009C6500"/>
    </font>
    <font>
      <b val="1"/>
      <color rgb="00006100"/>
    </font>
    <font>
      <color rgb="00404040"/>
      <sz val="9"/>
    </font>
  </fonts>
  <fills count="8">
    <fill>
      <patternFill/>
    </fill>
    <fill>
      <patternFill patternType="gray125"/>
    </fill>
    <fill>
      <patternFill patternType="solid">
        <fgColor rgb="00FFF2CC"/>
      </patternFill>
    </fill>
    <fill>
      <patternFill patternType="solid">
        <fgColor rgb="001F3864"/>
      </patternFill>
    </fill>
    <fill>
      <patternFill patternType="solid">
        <fgColor rgb="00D9E1F2"/>
      </patternFill>
    </fill>
    <fill>
      <patternFill patternType="solid">
        <fgColor rgb="00E2EFDA"/>
      </patternFill>
    </fill>
    <fill>
      <patternFill patternType="solid">
        <fgColor rgb="00F2F2F2"/>
      </patternFill>
    </fill>
    <fill>
      <patternFill patternType="solid">
        <fgColor rgb="00FFC7CE"/>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xf numFmtId="0" fontId="4" fillId="2" borderId="0" applyAlignment="1" pivotButton="0" quotePrefix="0" xfId="0">
      <alignment vertical="top" wrapText="1"/>
    </xf>
    <xf numFmtId="0" fontId="5" fillId="3" borderId="1" applyAlignment="1" pivotButton="0" quotePrefix="0" xfId="0">
      <alignment horizontal="center" vertical="center" wrapText="1"/>
    </xf>
    <xf numFmtId="0" fontId="0" fillId="0" borderId="1" applyAlignment="1" pivotButton="0" quotePrefix="0" xfId="0">
      <alignment vertical="top" wrapText="1"/>
    </xf>
    <xf numFmtId="0" fontId="3" fillId="0" borderId="1" applyAlignment="1" pivotButton="0" quotePrefix="0" xfId="0">
      <alignment horizontal="center" vertical="center" wrapText="1"/>
    </xf>
    <xf numFmtId="4" fontId="0" fillId="0" borderId="1" applyAlignment="1" pivotButton="0" quotePrefix="0" xfId="0">
      <alignment horizontal="center" vertical="center" wrapText="1"/>
    </xf>
    <xf numFmtId="3"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6" fillId="2" borderId="1" applyAlignment="1" pivotButton="0" quotePrefix="0" xfId="0">
      <alignment vertical="top" wrapText="1"/>
    </xf>
    <xf numFmtId="0" fontId="3" fillId="4" borderId="1" pivotButton="0" quotePrefix="0" xfId="0"/>
    <xf numFmtId="0" fontId="0" fillId="4" borderId="1" pivotButton="0" quotePrefix="0" xfId="0"/>
    <xf numFmtId="4" fontId="3" fillId="4" borderId="1" applyAlignment="1" pivotButton="0" quotePrefix="0" xfId="0">
      <alignment horizontal="center" vertical="center" wrapText="1"/>
    </xf>
    <xf numFmtId="3" fontId="3" fillId="4" borderId="1" applyAlignment="1" pivotButton="0" quotePrefix="0" xfId="0">
      <alignment horizontal="center" vertical="center" wrapText="1"/>
    </xf>
    <xf numFmtId="0" fontId="0" fillId="4" borderId="1" applyAlignment="1" pivotButton="0" quotePrefix="0" xfId="0">
      <alignment horizontal="center" vertical="center" wrapText="1"/>
    </xf>
    <xf numFmtId="0" fontId="7" fillId="0" borderId="0" pivotButton="0" quotePrefix="0" xfId="0"/>
    <xf numFmtId="0" fontId="8" fillId="0" borderId="0" pivotButton="0" quotePrefix="0" xfId="0"/>
    <xf numFmtId="0" fontId="8" fillId="0" borderId="0" applyAlignment="1" pivotButton="0" quotePrefix="0" xfId="0">
      <alignment vertical="top" wrapText="1"/>
    </xf>
    <xf numFmtId="0" fontId="7"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6" fillId="2" borderId="0" applyAlignment="1" pivotButton="0" quotePrefix="0" xfId="0">
      <alignment vertical="top" wrapText="1"/>
    </xf>
    <xf numFmtId="3" fontId="3" fillId="4" borderId="1" pivotButton="0" quotePrefix="0" xfId="0"/>
    <xf numFmtId="4" fontId="3" fillId="4" borderId="1" pivotButton="0" quotePrefix="0" xfId="0"/>
    <xf numFmtId="0" fontId="3" fillId="0" borderId="1" applyAlignment="1" pivotButton="0" quotePrefix="0" xfId="0">
      <alignment vertical="top" wrapText="1"/>
    </xf>
    <xf numFmtId="0" fontId="4" fillId="7" borderId="1" applyAlignment="1" pivotButton="0" quotePrefix="0" xfId="0">
      <alignment horizontal="center" vertical="center" wrapText="1"/>
    </xf>
    <xf numFmtId="0" fontId="6" fillId="2" borderId="1" applyAlignment="1" pivotButton="0" quotePrefix="0" xfId="0">
      <alignment horizontal="center" vertical="center"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
  <sheetViews>
    <sheetView workbookViewId="0">
      <pane ySplit="20" topLeftCell="A21" activePane="bottomLeft" state="frozen"/>
      <selection pane="bottomLeft" activeCell="A1" sqref="A1"/>
    </sheetView>
  </sheetViews>
  <sheetFormatPr baseColWidth="8" defaultRowHeight="15"/>
  <cols>
    <col width="30" customWidth="1" min="1" max="1"/>
    <col width="14" customWidth="1" min="2" max="2"/>
    <col width="44" customWidth="1" min="3" max="3"/>
    <col width="22" customWidth="1" min="4" max="4"/>
    <col width="13" customWidth="1" min="5" max="5"/>
    <col width="13" customWidth="1" min="6" max="6"/>
    <col width="11" customWidth="1" min="7" max="7"/>
    <col width="16" customWidth="1" min="8" max="8"/>
    <col width="9" customWidth="1" min="9" max="9"/>
    <col width="13" customWidth="1" min="10" max="10"/>
    <col width="13" customWidth="1" min="11" max="11"/>
    <col width="14" customWidth="1" min="12" max="12"/>
    <col width="24" customWidth="1" min="13" max="13"/>
  </cols>
  <sheetData>
    <row r="1">
      <c r="A1" s="1" t="inlineStr">
        <is>
          <t>SOUHRN HS KÓDŮ / HS CODE SUMMARY</t>
        </is>
      </c>
    </row>
    <row r="2">
      <c r="A2" s="2" t="inlineStr">
        <is>
          <t>NSN Cosmetics s.r.o. — zásilka NSN-82 — kontejner MRKU3227650</t>
        </is>
      </c>
    </row>
    <row r="4">
      <c r="A4" s="3" t="inlineStr">
        <is>
          <t>Klient / příjemce (CZ)</t>
        </is>
      </c>
      <c r="C4" s="4" t="inlineStr">
        <is>
          <t>NSN Cosmetics s.r.o., Plovdivská 3266/2, 143 00 Praha 4 – Modřany</t>
        </is>
      </c>
    </row>
    <row r="5">
      <c r="A5" s="3" t="inlineStr">
        <is>
          <t>IČO / DIČ</t>
        </is>
      </c>
      <c r="C5" s="4" t="inlineStr">
        <is>
          <t>04127137 / CZ04127137</t>
        </is>
      </c>
    </row>
    <row r="6">
      <c r="A6" s="3" t="inlineStr">
        <is>
          <t>Odesílatel / sender</t>
        </is>
      </c>
      <c r="C6" s="4" t="inlineStr">
        <is>
          <t>ANJI MAOCHANG FURNITURE CO., LTD., 198 Yangguang Road, 3rd Floor, Dipu Town, Anji County, Zhejiang, ČÍNA</t>
        </is>
      </c>
    </row>
    <row r="7">
      <c r="A7" s="3" t="inlineStr">
        <is>
          <t>Země původu</t>
        </is>
      </c>
      <c r="C7" s="4" t="inlineStr">
        <is>
          <t>Čína (CN)</t>
        </is>
      </c>
    </row>
    <row r="8">
      <c r="A8" s="3" t="inlineStr">
        <is>
          <t>B/L</t>
        </is>
      </c>
      <c r="C8" s="4" t="inlineStr">
        <is>
          <t>ENBBRV2605491 (Maersk, MURCIA MAERSK 630W)</t>
        </is>
      </c>
    </row>
    <row r="9">
      <c r="A9" s="3" t="inlineStr">
        <is>
          <t>Kontejner</t>
        </is>
      </c>
      <c r="C9" s="4" t="inlineStr">
        <is>
          <t>MRKU3227650 / 40'HQ / 710 kartonů / 7 486,000 kg / 68,000 CBM</t>
        </is>
      </c>
    </row>
    <row r="10">
      <c r="A10" s="3" t="inlineStr">
        <is>
          <t>Trasa</t>
        </is>
      </c>
      <c r="C10" s="4" t="inlineStr">
        <is>
          <t>Ningbo → Mělník → Praha, Česká republika (naloženo 28. 7. 2026)</t>
        </is>
      </c>
    </row>
    <row r="11">
      <c r="A11" s="3" t="inlineStr">
        <is>
          <t>Faktura</t>
        </is>
      </c>
      <c r="C11" s="4" t="inlineStr">
        <is>
          <t>26200232C ze dne 21. 7. 2026 (pozor – instrukce a packing list uvádějí 26200131C, viz list „Poznámky a kontroly“)</t>
        </is>
      </c>
    </row>
    <row r="12">
      <c r="A12" s="3" t="inlineStr">
        <is>
          <t>INCOTERM</t>
        </is>
      </c>
      <c r="C12" s="4" t="inlineStr">
        <is>
          <t>FOB Ningbo  (dodací podmínka FOB, přístav nalodění Ningbo, Čína)</t>
        </is>
      </c>
    </row>
    <row r="13">
      <c r="A13" s="3" t="inlineStr">
        <is>
          <t>Měna</t>
        </is>
      </c>
      <c r="C13" s="4" t="inlineStr">
        <is>
          <t>USD</t>
        </is>
      </c>
    </row>
    <row r="14">
      <c r="A14" s="3" t="inlineStr">
        <is>
          <t>Celkem hodnota faktury</t>
        </is>
      </c>
      <c r="C14" s="4" t="inlineStr">
        <is>
          <t>12 400,00 USD</t>
        </is>
      </c>
    </row>
    <row r="15">
      <c r="A15" s="3" t="inlineStr">
        <is>
          <t>Druh odbavení</t>
        </is>
      </c>
      <c r="C15" s="4" t="inlineStr">
        <is>
          <t>JSD – propuštění do volného oběhu</t>
        </is>
      </c>
    </row>
    <row r="16">
      <c r="A16" s="3" t="inlineStr">
        <is>
          <t>Datum zpracování</t>
        </is>
      </c>
      <c r="C16" s="4" t="inlineStr">
        <is>
          <t>15. 9. 2026</t>
        </is>
      </c>
    </row>
    <row r="18" ht="30" customHeight="1">
      <c r="A18" s="5" t="inlineStr">
        <is>
          <t>⚠ ZAŘAZENÍ JE PŘEDBĚŽNÉ — finální HS kód závisí na odpovědích na 3 otázky z e-mailu (materiál rámu / skutečné čalounění / otáčení + nastavitelná výška). Rozhodovací matice je na listu „Zařazení VPV KN“.</t>
        </is>
      </c>
    </row>
    <row r="20" ht="34" customHeight="1">
      <c r="A20" s="6" t="inlineStr">
        <is>
          <t>Odesílatel (sender)</t>
        </is>
      </c>
      <c r="B20" s="6" t="inlineStr">
        <is>
          <t>HS kód (KN)</t>
        </is>
      </c>
      <c r="C20" s="6" t="inlineStr">
        <is>
          <t>Popis zboží (CZ)</t>
        </is>
      </c>
      <c r="D20" s="6" t="inlineStr">
        <is>
          <t>Zahrnuté modely</t>
        </is>
      </c>
      <c r="E20" s="6" t="inlineStr">
        <is>
          <t>Čistá hmotnost (kg)</t>
        </is>
      </c>
      <c r="F20" s="6" t="inlineStr">
        <is>
          <t>Hrubá hmotnost (kg)</t>
        </is>
      </c>
      <c r="G20" s="6" t="inlineStr">
        <is>
          <t>Množství (ks)</t>
        </is>
      </c>
      <c r="H20" s="6" t="inlineStr">
        <is>
          <t>Cena / celní hodnota (USD)</t>
        </is>
      </c>
      <c r="I20" s="6" t="inlineStr">
        <is>
          <t>Kartony</t>
        </is>
      </c>
      <c r="J20" s="6" t="inlineStr">
        <is>
          <t>INCOTERM</t>
        </is>
      </c>
      <c r="K20" s="6" t="inlineStr">
        <is>
          <t>CBAM</t>
        </is>
      </c>
      <c r="L20" s="6" t="inlineStr">
        <is>
          <t>Antidumping</t>
        </is>
      </c>
      <c r="M20" s="6" t="inlineStr">
        <is>
          <t>Status zařazení</t>
        </is>
      </c>
    </row>
    <row r="21" ht="46" customHeight="1">
      <c r="A21" s="7" t="inlineStr">
        <is>
          <t>ANJI MAOCHANG FURNITURE CO., LTD. (CN)</t>
        </is>
      </c>
      <c r="B21" s="8" t="inlineStr">
        <is>
          <t>9401 39 00</t>
        </is>
      </c>
      <c r="C21" s="7" t="inlineStr">
        <is>
          <t>Otočné židle s nastavitelnou výškou, ostatní (jiné než dřevěné) – otočná židle s pochromovaným kovovým podstavcem, potah koženka</t>
        </is>
      </c>
      <c r="D21" s="7" t="inlineStr">
        <is>
          <t>KIRA (240 ks), NORA (300 ks)</t>
        </is>
      </c>
      <c r="E21" s="9" t="n">
        <v>3774</v>
      </c>
      <c r="F21" s="9" t="n">
        <v>4314</v>
      </c>
      <c r="G21" s="10" t="n">
        <v>540</v>
      </c>
      <c r="H21" s="9" t="n">
        <v>7662</v>
      </c>
      <c r="I21" s="10" t="n">
        <v>270</v>
      </c>
      <c r="J21" s="11" t="inlineStr">
        <is>
          <t>FOB Ningbo</t>
        </is>
      </c>
      <c r="K21" s="11" t="inlineStr">
        <is>
          <t>Neaplikuje se</t>
        </is>
      </c>
      <c r="L21" s="11" t="inlineStr">
        <is>
          <t>Neidentifikováno</t>
        </is>
      </c>
      <c r="M21" s="12" t="inlineStr">
        <is>
          <t>PŘEDBĚŽNÉ – potvrdit otázku 3</t>
        </is>
      </c>
    </row>
    <row r="22" ht="46" customHeight="1">
      <c r="A22" s="7" t="inlineStr">
        <is>
          <t>ANJI MAOCHANG FURNITURE CO., LTD. (CN)</t>
        </is>
      </c>
      <c r="B22" s="8" t="inlineStr">
        <is>
          <t>9401 71 00</t>
        </is>
      </c>
      <c r="C22" s="7" t="inlineStr">
        <is>
          <t>Ostatní sedadla s kovovou konstrukcí, čalouněná – křeslo do jídelny nebo kanceláře, potah koženka</t>
        </is>
      </c>
      <c r="D22" s="7" t="inlineStr">
        <is>
          <t>ETAN (40 ks), MC-015 (400 ks)</t>
        </is>
      </c>
      <c r="E22" s="9" t="n">
        <v>2732</v>
      </c>
      <c r="F22" s="9" t="n">
        <v>3172</v>
      </c>
      <c r="G22" s="10" t="n">
        <v>440</v>
      </c>
      <c r="H22" s="9" t="n">
        <v>4738</v>
      </c>
      <c r="I22" s="10" t="n">
        <v>440</v>
      </c>
      <c r="J22" s="11" t="inlineStr">
        <is>
          <t>FOB Ningbo</t>
        </is>
      </c>
      <c r="K22" s="11" t="inlineStr">
        <is>
          <t>Neaplikuje se</t>
        </is>
      </c>
      <c r="L22" s="11" t="inlineStr">
        <is>
          <t>Neidentifikováno</t>
        </is>
      </c>
      <c r="M22" s="12" t="inlineStr">
        <is>
          <t>PŘEDBĚŽNÉ – potvrdit otázky 1 a 2</t>
        </is>
      </c>
    </row>
    <row r="23">
      <c r="A23" s="13" t="inlineStr">
        <is>
          <t>CELKEM</t>
        </is>
      </c>
      <c r="B23" s="14" t="n"/>
      <c r="C23" s="14" t="n"/>
      <c r="D23" s="14" t="n"/>
      <c r="E23" s="15">
        <f>SUM(E21:E22)</f>
        <v/>
      </c>
      <c r="F23" s="15">
        <f>SUM(F21:F22)</f>
        <v/>
      </c>
      <c r="G23" s="16">
        <f>SUM(G21:G22)</f>
        <v/>
      </c>
      <c r="H23" s="15">
        <f>SUM(H21:H22)</f>
        <v/>
      </c>
      <c r="I23" s="16">
        <f>SUM(I21:I22)</f>
        <v/>
      </c>
      <c r="J23" s="17" t="n"/>
      <c r="K23" s="17" t="n"/>
      <c r="L23" s="17" t="n"/>
      <c r="M23" s="17" t="n"/>
    </row>
    <row r="25">
      <c r="A25" s="18" t="inlineStr">
        <is>
          <t>Kontrola proti packing listu / faktuře: 6 506,00 kg netto · 7 486,00 kg brutto · 980 ks · 710 kartonů · 12 400,00 USD — vše souhlasí. ✓</t>
        </is>
      </c>
    </row>
    <row r="26">
      <c r="A26" s="19" t="inlineStr">
        <is>
          <t>Obchodní sleva (proporcionální rozpuštění do celní hodnoty): na faktuře není uvedena žádná sleva — neaplikováno.</t>
        </is>
      </c>
    </row>
    <row r="27" ht="26" customHeight="1">
      <c r="A27" s="20" t="inlineStr">
        <is>
          <t>Celní hodnota: fakturovaná hodnota je FOB Ningbo. Pro JSD je nutné k celní hodnotě připočíst náklady na přepravu a pojištění až na hranice EU (čl. 71 UCC). Přepočet USD kurzem celního kurzu.</t>
        </is>
      </c>
    </row>
  </sheetData>
  <mergeCells count="18">
    <mergeCell ref="C14:I14"/>
    <mergeCell ref="A23:D23"/>
    <mergeCell ref="C13:I13"/>
    <mergeCell ref="C9:I9"/>
    <mergeCell ref="A25:M25"/>
    <mergeCell ref="A27:M27"/>
    <mergeCell ref="C8:I8"/>
    <mergeCell ref="C4:I4"/>
    <mergeCell ref="C12:I12"/>
    <mergeCell ref="A26:M26"/>
    <mergeCell ref="C6:I6"/>
    <mergeCell ref="C7:I7"/>
    <mergeCell ref="C10:I10"/>
    <mergeCell ref="C16:I16"/>
    <mergeCell ref="C15:I15"/>
    <mergeCell ref="A18:L18"/>
    <mergeCell ref="C11:I11"/>
    <mergeCell ref="C5:I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22" customWidth="1" min="1" max="1"/>
    <col width="30" customWidth="1" min="2" max="2"/>
    <col width="24" customWidth="1" min="3" max="3"/>
    <col width="30" customWidth="1" min="4" max="4"/>
    <col width="18" customWidth="1" min="5" max="5"/>
    <col width="40" customWidth="1" min="6" max="6"/>
    <col width="14" customWidth="1" min="7" max="7"/>
  </cols>
  <sheetData>
    <row r="1">
      <c r="A1" s="1" t="inlineStr">
        <is>
          <t>SAZEBNÍ ZAŘAZENÍ — pravidlo CCT/VPV KN</t>
        </is>
      </c>
    </row>
    <row r="2">
      <c r="A2" s="19" t="inlineStr">
        <is>
          <t>Postup dle reference/Common_Customs_Tariff_EU_CZ.pptx (Společný celní sazebník EU)</t>
        </is>
      </c>
    </row>
    <row r="4" ht="30" customHeight="1">
      <c r="A4" s="5" t="inlineStr">
        <is>
          <t>⚠ HS kódy nebyly v zákaznické instrukci uvedeny — byly odvozeny pravidlem CCT/VPV KN. Návrh v souboru „návrh HS“ tímto potvrzuji jako nejpravděpodobnější, ale je PODMÍNĚNÝ odpověďmi na 3 otázky.</t>
        </is>
      </c>
    </row>
    <row r="6">
      <c r="A6" s="2" t="inlineStr">
        <is>
          <t>1) Tři zbožíznalecké otázky</t>
        </is>
      </c>
    </row>
    <row r="7" ht="46" customHeight="1">
      <c r="A7" s="3" t="inlineStr">
        <is>
          <t>CO TO JE?</t>
        </is>
      </c>
      <c r="B7" s="4" t="inlineStr">
        <is>
          <t>Sedadla (židle a křesla) určená k postavení na podlahu — kapitola 94, číslo 9401 HS „Sedadla (jiná než čísla 9402), též proměnitelná v lůžka, a jejich části a součásti“. Poznámky ke kapitole 94 zboží nevylučují; poznámka 2 (nábytek určený k postavení na zem) je splněna.</t>
        </is>
      </c>
    </row>
    <row r="8" ht="46" customHeight="1">
      <c r="A8" s="3" t="inlineStr">
        <is>
          <t>Z ČEHO TO JE?</t>
        </is>
      </c>
      <c r="B8" s="4" t="inlineStr">
        <is>
          <t>Konstrukce/podstavec: kov (dle faktury „SILVER FRAME“ / „GOLDEN FRAME“ u ETAN; „pochromovaný podstavec“ u KIRA a NORA). Potah: koženka (imitace kůže). Měkká výplň pod potahem: NEPOTVRZENO (otázka 2). Materiál rámu u MC-015: NEPOTVRZENO (otázka 1).</t>
        </is>
      </c>
    </row>
    <row r="9" ht="46" customHeight="1">
      <c r="A9" s="3" t="inlineStr">
        <is>
          <t>K ČEMU SLOUŽÍ?</t>
        </is>
      </c>
      <c r="B9" s="4" t="inlineStr">
        <is>
          <t>K sezení. Faktura i B/L popisují zboží souhrnně jako „OFFICE CHAIR“; instrukce rozlišuje „křeslo do jídelny nebo kanceláře“ (ETAN, MC-015) a „otočnou židli“ (KIRA, NORA — pracovní/salonní židle).</t>
        </is>
      </c>
    </row>
    <row r="11">
      <c r="A11" s="2" t="inlineStr">
        <is>
          <t>2) Průchod nomenklaturou</t>
        </is>
      </c>
    </row>
    <row r="12" ht="30" customHeight="1">
      <c r="A12" s="4" t="inlineStr">
        <is>
          <t>TŘÍDA XX „RŮZNÉ VÝROBKY“ → KAPITOLA 94 „Nábytek; …“ → číslo 9401 HS (VPV 1 — dle znění čísla a poznámek ke kapitole).</t>
        </is>
      </c>
    </row>
    <row r="13" ht="16" customHeight="1">
      <c r="A13" s="4" t="inlineStr">
        <is>
          <t>V rámci čísla 9401 se dále postupuje dle VPV 6 (porovnávat lze pouze položky/podpoložky stejné úrovně).</t>
        </is>
      </c>
    </row>
    <row r="14" ht="30" customHeight="1">
      <c r="A14" s="4" t="inlineStr">
        <is>
          <t>PRVNÍ VĚTVENÍ: je zboží „otočné sedadlo s nastavitelnou výškou“ (9401 31 / 9401 39)? Tyto podpoložky vyžadují OBĚ vlastnosti KUMULATIVNĚ — otáčení A ZÁROVEŇ výškové nastavení. Pokud židle pouze rotuje bez výškového nastavení, do 9401 31/39 NEPATŘÍ.</t>
        </is>
      </c>
    </row>
    <row r="15" ht="16" customHeight="1">
      <c r="A15" s="4" t="inlineStr">
        <is>
          <t xml:space="preserve">   → dřevěné: 9401 31 00   |   ostatní (kov, chrom): 9401 39 00</t>
        </is>
      </c>
    </row>
    <row r="16" ht="30" customHeight="1">
      <c r="A16" s="4" t="inlineStr">
        <is>
          <t>DRUHÉ VĚTVENÍ (ostatní sedadla): materiál konstrukce — dřevěná 9401 61/69, kovová 9401 71/79, ostatní (plast) 9401 80 00.</t>
        </is>
      </c>
    </row>
    <row r="17" ht="16" customHeight="1">
      <c r="A17" s="4" t="inlineStr">
        <is>
          <t>TŘETÍ VĚTVENÍ: čalouněné (9401 61 / 9401 71) vs. nečalouněné (9401 69 / 9401 79).</t>
        </is>
      </c>
    </row>
    <row r="18" ht="30" customHeight="1">
      <c r="A18" s="4" t="inlineStr">
        <is>
          <t>Test „čalouněné“ dle vysvětlivek k HS/KN: sedadlo má pod potahem měkkou výplň (pěna, molitan, pérování apod.). Je-li potah (koženka) natažen přímo na pevnou konstrukci BEZ výplně, sedadlo se za čalouněné NEPOVAŽUJE → 9401 79 00. Toto je přesně otázka 2 z e-mailu.</t>
        </is>
      </c>
    </row>
    <row r="19" ht="30" customHeight="1">
      <c r="A19" s="4" t="inlineStr">
        <is>
          <t>Rozhodujícím kritériem jsou objektivní charakteristiky zboží (judikatura SDEU) — proto je nutné doplnit údaje od zákazníka, nikoli dovozovat z obchodního názvu.</t>
        </is>
      </c>
    </row>
    <row r="21">
      <c r="A21" s="2" t="inlineStr">
        <is>
          <t>3) ROZHODOVACÍ MATICE — jakmile přijdou odpovědi, finální kód se odečte zde</t>
        </is>
      </c>
    </row>
    <row r="22" ht="32" customHeight="1">
      <c r="A22" s="6" t="inlineStr">
        <is>
          <t>Model</t>
        </is>
      </c>
      <c r="B22" s="6" t="inlineStr">
        <is>
          <t>Otázka 3: otočné + nastavitelná výška?</t>
        </is>
      </c>
      <c r="C22" s="6" t="inlineStr">
        <is>
          <t>Otázka 1: materiál rámu</t>
        </is>
      </c>
      <c r="D22" s="6" t="inlineStr">
        <is>
          <t>Otázka 2: skutečné čalounění?</t>
        </is>
      </c>
      <c r="E22" s="6" t="inlineStr">
        <is>
          <t>→ FINÁLNÍ KÓD KN</t>
        </is>
      </c>
      <c r="F22" s="6" t="inlineStr">
        <is>
          <t>Poznámka</t>
        </is>
      </c>
    </row>
    <row r="23" ht="28" customHeight="1">
      <c r="A23" s="11" t="inlineStr">
        <is>
          <t>KIRA / NORA</t>
        </is>
      </c>
      <c r="B23" s="7" t="inlineStr">
        <is>
          <t>ANO (otáčí se i výškově staví)</t>
        </is>
      </c>
      <c r="C23" s="7" t="inlineStr">
        <is>
          <t>kov (pochromovaný podstavec)</t>
        </is>
      </c>
      <c r="D23" s="7" t="inlineStr">
        <is>
          <t>nerozhoduje</t>
        </is>
      </c>
      <c r="E23" s="21" t="inlineStr">
        <is>
          <t>9401 39 00</t>
        </is>
      </c>
      <c r="F23" s="7">
        <f> návrh v souboru. Čalounění v této podpoložce nehraje roli.</f>
        <v/>
      </c>
    </row>
    <row r="24" ht="28" customHeight="1">
      <c r="A24" s="11" t="inlineStr">
        <is>
          <t>KIRA / NORA</t>
        </is>
      </c>
      <c r="B24" s="7" t="inlineStr">
        <is>
          <t>NE (jen se otáčí, výška pevná)</t>
        </is>
      </c>
      <c r="C24" s="7" t="inlineStr">
        <is>
          <t>kov</t>
        </is>
      </c>
      <c r="D24" s="7" t="inlineStr">
        <is>
          <t>ANO – měkká výplň pod potahem</t>
        </is>
      </c>
      <c r="E24" s="22" t="inlineStr">
        <is>
          <t>9401 71 00</t>
        </is>
      </c>
      <c r="F24" s="7" t="inlineStr">
        <is>
          <t>Přesun do „ostatních sedadel“.</t>
        </is>
      </c>
    </row>
    <row r="25" ht="28" customHeight="1">
      <c r="A25" s="11" t="inlineStr">
        <is>
          <t>KIRA / NORA</t>
        </is>
      </c>
      <c r="B25" s="7" t="inlineStr">
        <is>
          <t>NE (jen se otáčí, výška pevná)</t>
        </is>
      </c>
      <c r="C25" s="7" t="inlineStr">
        <is>
          <t>kov</t>
        </is>
      </c>
      <c r="D25" s="7" t="inlineStr">
        <is>
          <t>NE – koženka přímo na konstrukci</t>
        </is>
      </c>
      <c r="E25" s="22" t="inlineStr">
        <is>
          <t>9401 79 00</t>
        </is>
      </c>
      <c r="F25" s="7" t="inlineStr">
        <is>
          <t>Přesun do „ostatních sedadel“, nečalouněné.</t>
        </is>
      </c>
    </row>
    <row r="26" ht="28" customHeight="1">
      <c r="A26" s="11" t="inlineStr">
        <is>
          <t>ETAN / MC-015</t>
        </is>
      </c>
      <c r="B26" s="7" t="inlineStr">
        <is>
          <t>NE (předpoklad dle popisu)</t>
        </is>
      </c>
      <c r="C26" s="7" t="inlineStr">
        <is>
          <t>kov</t>
        </is>
      </c>
      <c r="D26" s="7" t="inlineStr">
        <is>
          <t>ANO – měkká výplň pod potahem</t>
        </is>
      </c>
      <c r="E26" s="21" t="inlineStr">
        <is>
          <t>9401 71 00</t>
        </is>
      </c>
      <c r="F26" s="7">
        <f> návrh v souboru.</f>
        <v/>
      </c>
    </row>
    <row r="27" ht="28" customHeight="1">
      <c r="A27" s="11" t="inlineStr">
        <is>
          <t>ETAN / MC-015</t>
        </is>
      </c>
      <c r="B27" s="7" t="inlineStr">
        <is>
          <t>NE</t>
        </is>
      </c>
      <c r="C27" s="7" t="inlineStr">
        <is>
          <t>kov</t>
        </is>
      </c>
      <c r="D27" s="7" t="inlineStr">
        <is>
          <t>NE – koženka přímo na konstrukci</t>
        </is>
      </c>
      <c r="E27" s="22" t="inlineStr">
        <is>
          <t>9401 79 00</t>
        </is>
      </c>
      <c r="F27" s="7" t="inlineStr">
        <is>
          <t>Návrh by byl chybný.</t>
        </is>
      </c>
    </row>
    <row r="28" ht="28" customHeight="1">
      <c r="A28" s="11" t="inlineStr">
        <is>
          <t>ETAN / MC-015</t>
        </is>
      </c>
      <c r="B28" s="7" t="inlineStr">
        <is>
          <t>NE</t>
        </is>
      </c>
      <c r="C28" s="7" t="inlineStr">
        <is>
          <t>dřevo</t>
        </is>
      </c>
      <c r="D28" s="7" t="inlineStr">
        <is>
          <t>ANO</t>
        </is>
      </c>
      <c r="E28" s="22" t="inlineStr">
        <is>
          <t>9401 61 00</t>
        </is>
      </c>
      <c r="F28" s="7" t="inlineStr">
        <is>
          <t>Návrh by byl chybný.</t>
        </is>
      </c>
    </row>
    <row r="29" ht="28" customHeight="1">
      <c r="A29" s="11" t="inlineStr">
        <is>
          <t>ETAN / MC-015</t>
        </is>
      </c>
      <c r="B29" s="7" t="inlineStr">
        <is>
          <t>NE</t>
        </is>
      </c>
      <c r="C29" s="7" t="inlineStr">
        <is>
          <t>dřevo</t>
        </is>
      </c>
      <c r="D29" s="7" t="inlineStr">
        <is>
          <t>NE</t>
        </is>
      </c>
      <c r="E29" s="22" t="inlineStr">
        <is>
          <t>9401 69 00</t>
        </is>
      </c>
      <c r="F29" s="7" t="inlineStr">
        <is>
          <t>Návrh by byl chybný.</t>
        </is>
      </c>
    </row>
    <row r="30" ht="28" customHeight="1">
      <c r="A30" s="11" t="inlineStr">
        <is>
          <t>ETAN / MC-015</t>
        </is>
      </c>
      <c r="B30" s="7" t="inlineStr">
        <is>
          <t>NE</t>
        </is>
      </c>
      <c r="C30" s="7" t="inlineStr">
        <is>
          <t>plast / jiný materiál</t>
        </is>
      </c>
      <c r="D30" s="7" t="inlineStr">
        <is>
          <t>nerozhoduje</t>
        </is>
      </c>
      <c r="E30" s="22" t="inlineStr">
        <is>
          <t>9401 80 00</t>
        </is>
      </c>
      <c r="F30" s="7" t="inlineStr">
        <is>
          <t>Návrh by byl chybný.</t>
        </is>
      </c>
    </row>
    <row r="31" ht="28" customHeight="1">
      <c r="A31" s="11" t="inlineStr">
        <is>
          <t>ETAN / MC-015</t>
        </is>
      </c>
      <c r="B31" s="7" t="inlineStr">
        <is>
          <t>ANO</t>
        </is>
      </c>
      <c r="C31" s="7" t="inlineStr">
        <is>
          <t>kov</t>
        </is>
      </c>
      <c r="D31" s="7" t="inlineStr">
        <is>
          <t>nerozhoduje</t>
        </is>
      </c>
      <c r="E31" s="22" t="inlineStr">
        <is>
          <t>9401 39 00</t>
        </is>
      </c>
      <c r="F31" s="7" t="inlineStr">
        <is>
          <t>Pouze pokud by se potvrdilo otáčení + výškové nastavení.</t>
        </is>
      </c>
    </row>
    <row r="33" ht="30" customHeight="1">
      <c r="A33" s="23" t="inlineStr">
        <is>
          <t>Escalation: v případě přetrvávající pochybnosti kontaktovat tarifní tým — customs.tariff@mauriceward.com (dle referenční prezentace), s popisem zboží, složením, funkcí, původem a doklady (faktura, PL, produktové listy, fotografie).</t>
        </is>
      </c>
    </row>
  </sheetData>
  <mergeCells count="13">
    <mergeCell ref="A13:G13"/>
    <mergeCell ref="A14:G14"/>
    <mergeCell ref="A33:F33"/>
    <mergeCell ref="A17:G17"/>
    <mergeCell ref="A18:G18"/>
    <mergeCell ref="A12:G12"/>
    <mergeCell ref="B9:G9"/>
    <mergeCell ref="B8:G8"/>
    <mergeCell ref="A4:G4"/>
    <mergeCell ref="A16:G16"/>
    <mergeCell ref="A15:G15"/>
    <mergeCell ref="A19:G19"/>
    <mergeCell ref="B7:G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4"/>
  <sheetViews>
    <sheetView workbookViewId="0">
      <pane ySplit="4" topLeftCell="A5" activePane="bottomLeft" state="frozen"/>
      <selection pane="bottomLeft" activeCell="A1" sqref="A1"/>
    </sheetView>
  </sheetViews>
  <sheetFormatPr baseColWidth="8" defaultRowHeight="15"/>
  <cols>
    <col width="26" customWidth="1" min="1" max="1"/>
    <col width="30" customWidth="1" min="2" max="2"/>
    <col width="34" customWidth="1" min="3" max="3"/>
    <col width="9" customWidth="1" min="4" max="4"/>
    <col width="12" customWidth="1" min="5" max="5"/>
    <col width="13" customWidth="1" min="6" max="6"/>
    <col width="13" customWidth="1" min="7" max="7"/>
    <col width="15" customWidth="1" min="8" max="8"/>
    <col width="15" customWidth="1" min="9" max="9"/>
    <col width="20" customWidth="1" min="10" max="10"/>
    <col width="13" customWidth="1" min="11" max="11"/>
  </cols>
  <sheetData>
    <row r="1">
      <c r="A1" s="1" t="inlineStr">
        <is>
          <t>DETAIL POLOŽEK — podklad pro sloučení na unikátní HS kódy</t>
        </is>
      </c>
    </row>
    <row r="2">
      <c r="A2" s="19" t="inlineStr">
        <is>
          <t>Zdroj: Packing list INV 26200131C + Commercial invoice INV 26200232C, kontejner MRKU3227650</t>
        </is>
      </c>
    </row>
    <row r="4" ht="32" customHeight="1">
      <c r="A4" s="6" t="inlineStr">
        <is>
          <t>Odesílatel</t>
        </is>
      </c>
      <c r="B4" s="6" t="inlineStr">
        <is>
          <t>Model (faktura)</t>
        </is>
      </c>
      <c r="C4" s="6" t="inlineStr">
        <is>
          <t>Popis CZ (instrukce)</t>
        </is>
      </c>
      <c r="D4" s="6" t="inlineStr">
        <is>
          <t>Kartony</t>
        </is>
      </c>
      <c r="E4" s="6" t="inlineStr">
        <is>
          <t>Množství (ks)</t>
        </is>
      </c>
      <c r="F4" s="6" t="inlineStr">
        <is>
          <t>Jedn. cena (USD)</t>
        </is>
      </c>
      <c r="G4" s="6" t="inlineStr">
        <is>
          <t>Hodnota (USD)</t>
        </is>
      </c>
      <c r="H4" s="6" t="inlineStr">
        <is>
          <t>Čistá hmotnost (kg)</t>
        </is>
      </c>
      <c r="I4" s="6" t="inlineStr">
        <is>
          <t>Hrubá hmotnost (kg)</t>
        </is>
      </c>
      <c r="J4" s="6" t="inlineStr">
        <is>
          <t>Rozměr balení (cm)</t>
        </is>
      </c>
      <c r="K4" s="6" t="inlineStr">
        <is>
          <t>HS kód (KN)</t>
        </is>
      </c>
    </row>
    <row r="5" ht="30" customHeight="1">
      <c r="A5" s="7" t="inlineStr">
        <is>
          <t>ANJI MAOCHANG FURNITURE CO., LTD. (CN)</t>
        </is>
      </c>
      <c r="B5" s="7" t="inlineStr">
        <is>
          <t>ETAN CLIENT CHAIR – SILVER FRAME</t>
        </is>
      </c>
      <c r="C5" s="7" t="inlineStr">
        <is>
          <t>Křeslo do jídelny nebo kanceláře, koženka</t>
        </is>
      </c>
      <c r="D5" s="10" t="n">
        <v>20</v>
      </c>
      <c r="E5" s="10" t="n">
        <v>20</v>
      </c>
      <c r="F5" s="9" t="n">
        <v>20.3</v>
      </c>
      <c r="G5" s="9" t="n">
        <v>406</v>
      </c>
      <c r="H5" s="9" t="n">
        <v>166</v>
      </c>
      <c r="I5" s="9" t="n">
        <v>186</v>
      </c>
      <c r="J5" s="11" t="inlineStr">
        <is>
          <t>55*47*43 / 72*52*54</t>
        </is>
      </c>
      <c r="K5" s="11" t="inlineStr">
        <is>
          <t>9401 71 00</t>
        </is>
      </c>
    </row>
    <row r="6" ht="30" customHeight="1">
      <c r="A6" s="7" t="inlineStr">
        <is>
          <t>ANJI MAOCHANG FURNITURE CO., LTD. (CN)</t>
        </is>
      </c>
      <c r="B6" s="7" t="inlineStr">
        <is>
          <t>ETAN CLIENT CHAIR – GOLDEN FRAME</t>
        </is>
      </c>
      <c r="C6" s="7" t="inlineStr">
        <is>
          <t>Křeslo do jídelny nebo kanceláře, koženka</t>
        </is>
      </c>
      <c r="D6" s="10" t="n">
        <v>20</v>
      </c>
      <c r="E6" s="10" t="n">
        <v>20</v>
      </c>
      <c r="F6" s="9" t="n">
        <v>22.6</v>
      </c>
      <c r="G6" s="9" t="n">
        <v>452</v>
      </c>
      <c r="H6" s="9" t="n">
        <v>166</v>
      </c>
      <c r="I6" s="9" t="n">
        <v>186</v>
      </c>
      <c r="J6" s="11" t="inlineStr">
        <is>
          <t>55*47*43 / 72*52*54</t>
        </is>
      </c>
      <c r="K6" s="11" t="inlineStr">
        <is>
          <t>9401 71 00</t>
        </is>
      </c>
    </row>
    <row r="7" ht="30" customHeight="1">
      <c r="A7" s="7" t="inlineStr">
        <is>
          <t>ANJI MAOCHANG FURNITURE CO., LTD. (CN)</t>
        </is>
      </c>
      <c r="B7" s="7" t="inlineStr">
        <is>
          <t>KIRA TECHNICIAN CHAIR</t>
        </is>
      </c>
      <c r="C7" s="7" t="inlineStr">
        <is>
          <t>Otočná židle s pochromovaným podstavcem, koženka</t>
        </is>
      </c>
      <c r="D7" s="10" t="n">
        <v>60</v>
      </c>
      <c r="E7" s="10" t="n">
        <v>120</v>
      </c>
      <c r="F7" s="9" t="n">
        <v>15.6</v>
      </c>
      <c r="G7" s="9" t="n">
        <v>1872</v>
      </c>
      <c r="H7" s="9" t="n">
        <v>852</v>
      </c>
      <c r="I7" s="9" t="n">
        <v>972</v>
      </c>
      <c r="J7" s="11" t="inlineStr">
        <is>
          <t>61*56,5*52</t>
        </is>
      </c>
      <c r="K7" s="11" t="inlineStr">
        <is>
          <t>9401 39 00</t>
        </is>
      </c>
    </row>
    <row r="8" ht="30" customHeight="1">
      <c r="A8" s="7" t="inlineStr">
        <is>
          <t>ANJI MAOCHANG FURNITURE CO., LTD. (CN)</t>
        </is>
      </c>
      <c r="B8" s="7" t="inlineStr">
        <is>
          <t>KIRA TECHNICIAN CHAIR (gold color)</t>
        </is>
      </c>
      <c r="C8" s="7" t="inlineStr">
        <is>
          <t>Otočná židle s pochromovaným podstavcem, koženka</t>
        </is>
      </c>
      <c r="D8" s="10" t="n">
        <v>60</v>
      </c>
      <c r="E8" s="10" t="n">
        <v>120</v>
      </c>
      <c r="F8" s="9" t="n">
        <v>16.5</v>
      </c>
      <c r="G8" s="9" t="n">
        <v>1980</v>
      </c>
      <c r="H8" s="9" t="n">
        <v>852</v>
      </c>
      <c r="I8" s="9" t="n">
        <v>972</v>
      </c>
      <c r="J8" s="11" t="inlineStr">
        <is>
          <t>61*56,5*52</t>
        </is>
      </c>
      <c r="K8" s="11" t="inlineStr">
        <is>
          <t>9401 39 00</t>
        </is>
      </c>
    </row>
    <row r="9" ht="30" customHeight="1">
      <c r="A9" s="7" t="inlineStr">
        <is>
          <t>ANJI MAOCHANG FURNITURE CO., LTD. (CN)</t>
        </is>
      </c>
      <c r="B9" s="7" t="inlineStr">
        <is>
          <t>NORA TECHNICIAN CHAIR</t>
        </is>
      </c>
      <c r="C9" s="7" t="inlineStr">
        <is>
          <t>Otočná židle s pochromovaným podstavcem, koženka</t>
        </is>
      </c>
      <c r="D9" s="10" t="n">
        <v>75</v>
      </c>
      <c r="E9" s="10" t="n">
        <v>150</v>
      </c>
      <c r="F9" s="9" t="n">
        <v>12.4</v>
      </c>
      <c r="G9" s="9" t="n">
        <v>1860</v>
      </c>
      <c r="H9" s="9" t="n">
        <v>1035</v>
      </c>
      <c r="I9" s="9" t="n">
        <v>1185</v>
      </c>
      <c r="J9" s="11" t="inlineStr">
        <is>
          <t>62*45*48</t>
        </is>
      </c>
      <c r="K9" s="11" t="inlineStr">
        <is>
          <t>9401 39 00</t>
        </is>
      </c>
    </row>
    <row r="10" ht="30" customHeight="1">
      <c r="A10" s="7" t="inlineStr">
        <is>
          <t>ANJI MAOCHANG FURNITURE CO., LTD. (CN)</t>
        </is>
      </c>
      <c r="B10" s="7" t="inlineStr">
        <is>
          <t>NORA TECHNICIAN CHAIR (gold color)</t>
        </is>
      </c>
      <c r="C10" s="7" t="inlineStr">
        <is>
          <t>Otočná židle s pochromovaným podstavcem, koženka</t>
        </is>
      </c>
      <c r="D10" s="10" t="n">
        <v>75</v>
      </c>
      <c r="E10" s="10" t="n">
        <v>150</v>
      </c>
      <c r="F10" s="9" t="n">
        <v>13</v>
      </c>
      <c r="G10" s="9" t="n">
        <v>1950</v>
      </c>
      <c r="H10" s="9" t="n">
        <v>1035</v>
      </c>
      <c r="I10" s="9" t="n">
        <v>1185</v>
      </c>
      <c r="J10" s="11" t="inlineStr">
        <is>
          <t>62*45*48</t>
        </is>
      </c>
      <c r="K10" s="11" t="inlineStr">
        <is>
          <t>9401 39 00</t>
        </is>
      </c>
    </row>
    <row r="11" ht="30" customHeight="1">
      <c r="A11" s="7" t="inlineStr">
        <is>
          <t>ANJI MAOCHANG FURNITURE CO., LTD. (CN)</t>
        </is>
      </c>
      <c r="B11" s="7" t="inlineStr">
        <is>
          <t>MC-015  (v instrukci uveden jako MC-221)</t>
        </is>
      </c>
      <c r="C11" s="7" t="inlineStr">
        <is>
          <t>Křeslo do jídelny nebo kanceláře, koženka</t>
        </is>
      </c>
      <c r="D11" s="10" t="n">
        <v>400</v>
      </c>
      <c r="E11" s="10" t="n">
        <v>400</v>
      </c>
      <c r="F11" s="9" t="n">
        <v>9.699999999999999</v>
      </c>
      <c r="G11" s="9" t="n">
        <v>3880</v>
      </c>
      <c r="H11" s="9" t="n">
        <v>2400</v>
      </c>
      <c r="I11" s="9" t="n">
        <v>2800</v>
      </c>
      <c r="J11" s="11" t="inlineStr">
        <is>
          <t>43,5*43,5*25</t>
        </is>
      </c>
      <c r="K11" s="11" t="inlineStr">
        <is>
          <t>9401 71 00</t>
        </is>
      </c>
    </row>
    <row r="12">
      <c r="A12" s="13" t="inlineStr">
        <is>
          <t>CELKEM</t>
        </is>
      </c>
      <c r="B12" s="14" t="n"/>
      <c r="C12" s="14" t="n"/>
      <c r="D12" s="24">
        <f>SUM(D5:D11)</f>
        <v/>
      </c>
      <c r="E12" s="24">
        <f>SUM(E5:E11)</f>
        <v/>
      </c>
      <c r="F12" s="14" t="n"/>
      <c r="G12" s="25">
        <f>SUM(G5:G11)</f>
        <v/>
      </c>
      <c r="H12" s="25">
        <f>SUM(H5:H11)</f>
        <v/>
      </c>
      <c r="I12" s="25">
        <f>SUM(I5:I11)</f>
        <v/>
      </c>
      <c r="J12" s="14" t="n"/>
      <c r="K12" s="14" t="n"/>
    </row>
    <row r="14" ht="30" customHeight="1">
      <c r="A14" s="20" t="inlineStr">
        <is>
          <t>Pozn.: packing list uvádí hmotnosti souhrnně za model (ETAN 40 ks / KIRA 240 ks / NORA 300 ks / MC-015 400 ks). Pro barevné varianty na faktuře byly hmotnosti rozděleny poměrně podle počtu kusů; součty za model i za celou zásilku zůstávají shodné s packing listem.</t>
        </is>
      </c>
    </row>
  </sheetData>
  <mergeCells count="2">
    <mergeCell ref="A12:C12"/>
    <mergeCell ref="A14:K1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0" customWidth="1" min="1" max="1"/>
    <col width="26" customWidth="1" min="2" max="2"/>
    <col width="78" customWidth="1" min="3" max="3"/>
  </cols>
  <sheetData>
    <row r="1">
      <c r="A1" s="1" t="inlineStr">
        <is>
          <t>POVINNÉ KONTROLY A UPOZORNĚNÍ</t>
        </is>
      </c>
    </row>
    <row r="3">
      <c r="A3" s="6" t="inlineStr">
        <is>
          <t>Kontrola</t>
        </is>
      </c>
      <c r="B3" s="6" t="inlineStr">
        <is>
          <t>Výsledek</t>
        </is>
      </c>
      <c r="C3" s="6" t="inlineStr">
        <is>
          <t>Detail / dopad</t>
        </is>
      </c>
    </row>
    <row r="4" ht="62" customHeight="1">
      <c r="A4" s="26" t="inlineStr">
        <is>
          <t>Preferenční věta (COO)</t>
        </is>
      </c>
      <c r="B4" s="27" t="inlineStr">
        <is>
          <t>NENÍ NA FAKTUŘE</t>
        </is>
      </c>
      <c r="C4" s="7" t="inlineStr">
        <is>
          <t>Na obchodní faktuře 26200232C ani na packing listu NENÍ uvedena preferenční věta / deklarace o původu. Zboží je čínského původu a EU nemá s Čínou dohodu o volném obchodu — preferenční sazební zacházení proto NELZE uplatnit. Uplatní se standardní třetizemní (erga omnes) celní sazba.</t>
        </is>
      </c>
    </row>
    <row r="5" ht="62" customHeight="1">
      <c r="A5" s="26" t="inlineStr">
        <is>
          <t>REX číslo na faktuře</t>
        </is>
      </c>
      <c r="B5" s="27" t="inlineStr">
        <is>
          <t>NENÍ UVEDENO</t>
        </is>
      </c>
      <c r="C5" s="7" t="inlineStr">
        <is>
          <t>Na faktuře NENÍ uvedeno žádné REX číslo ani číslo celního povolení vývozce. Výslovně upozorňuji na jeho absenci. Pro čínský původ je to bez praktického dopadu (Čína není v systému GSP/REX pro EU a nemá s EU FTA), ale konstatuji explicitně, že doklad o preferenčním původu chybí.</t>
        </is>
      </c>
    </row>
    <row r="6" ht="62" customHeight="1">
      <c r="A6" s="26" t="inlineStr">
        <is>
          <t>CBAM</t>
        </is>
      </c>
      <c r="B6" s="21" t="inlineStr">
        <is>
          <t>NEAPLIKUJE SE</t>
        </is>
      </c>
      <c r="C6" s="7" t="inlineStr">
        <is>
          <t>Zásilka neobsahuje žádnou CBAM-relevantní položku — sedadla čísla 9401 (kapitola 94) nespadají do rozsahu CBAM (cement, železo a ocel, hliník, hnojiva, elektřina, vodík). Nahlášení CBAM se pro tuto zásilku nevyžaduje.</t>
        </is>
      </c>
    </row>
    <row r="7" ht="62" customHeight="1">
      <c r="A7" s="26" t="inlineStr">
        <is>
          <t>CBAM — příjemce v registru</t>
        </is>
      </c>
      <c r="B7" s="28" t="inlineStr">
        <is>
          <t>NENALEZEN (bez dopadu)</t>
        </is>
      </c>
      <c r="C7" s="7" t="inlineStr">
        <is>
          <t>Doplňková kontrola: NSN Cosmetics s.r.o. (IČO 04127137) NENÍ v souboru reference/CBAM_receivers_CZ.xlsx (list List1, 100 záznamů) — ani podle názvu firmy, ani podle IČO. Protože zásilka žádné CBAM zboží neobsahuje, nemá to na toto odbavení vliv. Pokud by firma měla někdy dovážet CBAM zboží, je třeba ji do registru doplnit.</t>
        </is>
      </c>
    </row>
    <row r="8" ht="62" customHeight="1">
      <c r="A8" s="26" t="inlineStr">
        <is>
          <t>Antidumping</t>
        </is>
      </c>
      <c r="B8" s="28" t="inlineStr">
        <is>
          <t>NEIDENTIFIKOVÁNO — ověřit v TARIC</t>
        </is>
      </c>
      <c r="C8" s="7" t="inlineStr">
        <is>
          <t>K sedadlům čísla 9401 původem z Číny mi není známo žádné platné antidumpingové ani vyrovnávací opatření EU. Vzhledem k tomu, že finální kód zatím není potvrzen, doporučuji ověřit opatření v TARIC až na finální 10místný kód před podáním JSD.</t>
        </is>
      </c>
    </row>
    <row r="9" ht="62" customHeight="1">
      <c r="A9" s="26" t="inlineStr">
        <is>
          <t>Obchodní sleva</t>
        </is>
      </c>
      <c r="B9" s="21" t="inlineStr">
        <is>
          <t>ŽÁDNÁ</t>
        </is>
      </c>
      <c r="C9" s="7" t="inlineStr">
        <is>
          <t>Faktura neuvádí žádnou obchodní slevu — proporcionální rozpuštění slevy do celní hodnoty se neaplikuje.</t>
        </is>
      </c>
    </row>
    <row r="10" ht="62" customHeight="1">
      <c r="A10" s="26" t="inlineStr">
        <is>
          <t>INCOTERM</t>
        </is>
      </c>
      <c r="B10" s="21" t="inlineStr">
        <is>
          <t>FOB Ningbo</t>
        </is>
      </c>
      <c r="C10" s="7" t="inlineStr">
        <is>
          <t>Dodací podmínka FOB s přístavem nalodění Ningbo (Čína). Odpovídá údaji „FREIGHT COLLECT“ na B/L. POZOR: u FOB je nutné k celní hodnotě připočíst přepravné a pojištění až na hranice EU (čl. 71 UCC).</t>
        </is>
      </c>
    </row>
    <row r="11" ht="62" customHeight="1">
      <c r="A11" s="26" t="inlineStr">
        <is>
          <t>Kontrola součtů</t>
        </is>
      </c>
      <c r="B11" s="21" t="inlineStr">
        <is>
          <t>SOUHLASÍ</t>
        </is>
      </c>
      <c r="C11" s="7" t="inlineStr">
        <is>
          <t>Souhrn sedí na packing list i fakturu: 980 ks · 710 kartonů · netto 6 506,00 kg · brutto 7 486,00 kg · hodnota 12 400,00 USD.</t>
        </is>
      </c>
    </row>
    <row r="13">
      <c r="A13" s="2" t="inlineStr">
        <is>
          <t>NESROVNALOSTI V DOKLADECH — k vyjasnění s klientem</t>
        </is>
      </c>
    </row>
    <row r="14">
      <c r="A14" s="6" t="inlineStr">
        <is>
          <t>#</t>
        </is>
      </c>
      <c r="B14" s="6" t="inlineStr">
        <is>
          <t>Nesrovnalost</t>
        </is>
      </c>
      <c r="C14" s="6" t="inlineStr">
        <is>
          <t>Doporučení</t>
        </is>
      </c>
    </row>
    <row r="15" ht="48" customHeight="1">
      <c r="A15" s="11" t="n">
        <v>1</v>
      </c>
      <c r="B15" s="7" t="inlineStr">
        <is>
          <t>Číslo faktury se liší: instrukce k odbavení i packing list uvádějí 26200131C, ale obchodní faktura je označena 26200232C (stejně tak S/C). Hodnota i počet kusů přitom sedí.</t>
        </is>
      </c>
      <c r="C15" s="7" t="inlineStr">
        <is>
          <t>Vyžádat od klienta potvrzení správného čísla faktury — do JSD musí jít číslo skutečně předloženého dokladu.</t>
        </is>
      </c>
    </row>
    <row r="16" ht="48" customHeight="1">
      <c r="A16" s="11" t="n">
        <v>2</v>
      </c>
      <c r="B16" s="7" t="inlineStr">
        <is>
          <t>Označení modelu: instrukce a e-mail uvádějí „MC-221“, faktura i packing list uvádějí „MC-015“ (shodně 400 ks / 400 kartonů).</t>
        </is>
      </c>
      <c r="C16" s="7" t="inlineStr">
        <is>
          <t>Potvrdit, že jde o tentýž výrobek; do popisu zboží v kolonce 31 uvést označení podle faktury.</t>
        </is>
      </c>
    </row>
    <row r="17" ht="48" customHeight="1">
      <c r="A17" s="11" t="n">
        <v>3</v>
      </c>
      <c r="B17" s="7" t="inlineStr">
        <is>
          <t>B/L deklaruje pro celou zásilku jediný kód „HS CODE: 94013900“ a popis „OFFICE CHAIR“ — to je zjednodušení přepravce, které neodpovídá skutečnému zařazení jednotlivých modelů.</t>
        </is>
      </c>
      <c r="C17" s="7" t="inlineStr">
        <is>
          <t>Údaj z B/L nepřebírat; zařazení provést dle skutečných vlastností zboží.</t>
        </is>
      </c>
    </row>
    <row r="18" ht="48" customHeight="1">
      <c r="A18" s="11" t="n">
        <v>4</v>
      </c>
      <c r="B18" s="7" t="inlineStr">
        <is>
          <t>B/L pokrývá 2 kontejnery (celkem 1 118 kartonů / 12 394,500 kg). Tato zásilka je pouze MRKU3227650 (710 kartonů / 7 486,000 kg); kontejner CAAU5953508 (408 kartonů / 4 908,500 kg) je samostatná zásilka.</t>
        </is>
      </c>
      <c r="C18" s="7" t="inlineStr">
        <is>
          <t>Odbavit pouze kontejner MRKU3227650; pro druhý kontejner zpracovat samostatný souhrn.</t>
        </is>
      </c>
    </row>
    <row r="19" ht="48" customHeight="1">
      <c r="A19" s="11" t="n">
        <v>5</v>
      </c>
      <c r="B19" s="7" t="inlineStr">
        <is>
          <t>Faktura má v záhlaví tabulky „AMOUNT IN RMB“, ale všechny částky jsou v USD a slovní vyjádření zní „…TWELVE THOUSAND FOUR HUNDRED USD ONLY“; instrukce rovněž uvádí 12 400 USD.</t>
        </is>
      </c>
      <c r="C19" s="7" t="inlineStr">
        <is>
          <t>Měna = USD. Doporučuji vyžádat opravu záhlaví faktury, aby nevznikl spor o měnu při kontrole.</t>
        </is>
      </c>
    </row>
    <row r="20" ht="48" customHeight="1">
      <c r="A20" s="11" t="n">
        <v>6</v>
      </c>
      <c r="B20" s="7" t="inlineStr">
        <is>
          <t>Faktura neobsahuje popis zboží po modelech — všechny řádky mají souhrnný popis „OFFICE CHAIR“.</t>
        </is>
      </c>
      <c r="C20" s="7" t="inlineStr">
        <is>
          <t>Pro kolonku 31 použít konkrétní popisy z instrukce (křeslo / otočná židle, koženka, kovová konstrukce).</t>
        </is>
      </c>
    </row>
    <row r="22">
      <c r="A22" s="2" t="inlineStr">
        <is>
          <t>OTEVŘENÉ OTÁZKY NA KLIENTA (dle e-mailu — nutné pro finální zařazení)</t>
        </is>
      </c>
    </row>
    <row r="23" ht="30" customHeight="1">
      <c r="A23" s="29" t="inlineStr">
        <is>
          <t>1) Materiál nosné konstrukce / rámu: kov / dřevo / plast / jiný — jaký? (rozhoduje mezi 9401 61/69 × 9401 71/79 × 9401 80)</t>
        </is>
      </c>
    </row>
    <row r="24" ht="30" customHeight="1">
      <c r="A24" s="29" t="inlineStr">
        <is>
          <t>2) Konstrukce sedáku a opěradla: je pod potahem / koženkou měkká výplň (např. pěna) = skutečné čalounění, nebo je potah natažen přímo na pevnou konstrukci? (rozhoduje mezi 9401 71 × 9401 79)</t>
        </is>
      </c>
    </row>
    <row r="25" ht="30" customHeight="1">
      <c r="A25" s="29" t="inlineStr">
        <is>
          <t>3) Je sedadlo otočné a ZÁROVEŇ má nastavitelnou výšku? (rozhoduje, zda vůbec patří do 9401 39 — obě vlastnosti musí být splněny současně)</t>
        </is>
      </c>
    </row>
    <row r="26" ht="30" customHeight="1">
      <c r="A26" s="29" t="inlineStr">
        <is>
          <t>Otázky je třeba zodpovědět zvlášť pro každý model: ETAN / KIRA / NORA / MC-221 (MC-015).</t>
        </is>
      </c>
    </row>
  </sheetData>
  <mergeCells count="4">
    <mergeCell ref="A23:C23"/>
    <mergeCell ref="A26:C26"/>
    <mergeCell ref="A24:C24"/>
    <mergeCell ref="A25:C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2026-09-15T11:45:55Z</dcterms:created>
  <dcterms:modified xsi:type="dcterms:W3CDTF">2026-09-15T11:45:55Z</dcterms:modified>
</cp:coreProperties>
</file>