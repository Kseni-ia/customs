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 Summary" sheetId="1" state="visible" r:id="rId1"/>
    <sheet name="Dokumenty a poznámky" sheetId="2" state="visible" r:id="rId2"/>
  </sheets>
  <definedNames>
    <definedName name="_xlnm._FilterDatabase" localSheetId="0" hidden="1">'HS Summary'!$A$1:$M$6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USD&quot;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1F4E7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AF1F8"/>
      </patternFill>
    </fill>
    <fill>
      <patternFill patternType="solid">
        <fgColor rgb="00FDF1E3"/>
      </patternFill>
    </fill>
    <fill>
      <patternFill patternType="solid">
        <fgColor rgb="00EDF6EC"/>
      </patternFill>
    </fill>
    <fill>
      <patternFill patternType="solid">
        <fgColor rgb="00F5EEF8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  <xf numFmtId="4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4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3" fontId="0" fillId="5" borderId="1" applyAlignment="1" pivotButton="0" quotePrefix="0" xfId="0">
      <alignment vertical="top" wrapText="1"/>
    </xf>
    <xf numFmtId="4" fontId="0" fillId="5" borderId="1" applyAlignment="1" pivotButton="0" quotePrefix="0" xfId="0">
      <alignment vertical="top" wrapText="1"/>
    </xf>
    <xf numFmtId="164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3" fontId="0" fillId="6" borderId="1" applyAlignment="1" pivotButton="0" quotePrefix="0" xfId="0">
      <alignment vertical="top" wrapText="1"/>
    </xf>
    <xf numFmtId="4" fontId="0" fillId="6" borderId="1" applyAlignment="1" pivotButton="0" quotePrefix="0" xfId="0">
      <alignment vertical="top" wrapText="1"/>
    </xf>
    <xf numFmtId="164" fontId="0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3" fontId="2" fillId="7" borderId="1" applyAlignment="1" pivotButton="0" quotePrefix="0" xfId="0">
      <alignment vertical="top" wrapText="1"/>
    </xf>
    <xf numFmtId="4" fontId="2" fillId="7" borderId="1" applyAlignment="1" pivotButton="0" quotePrefix="0" xfId="0">
      <alignment vertical="top" wrapText="1"/>
    </xf>
    <xf numFmtId="164" fontId="2" fillId="7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52" customWidth="1" min="3" max="3"/>
    <col width="9" customWidth="1" min="4" max="4"/>
    <col width="14" customWidth="1" min="5" max="5"/>
    <col width="13" customWidth="1" min="6" max="6"/>
    <col width="11" customWidth="1" min="7" max="7"/>
    <col width="14" customWidth="1" min="8" max="8"/>
    <col width="13" customWidth="1" min="9" max="9"/>
    <col width="14" customWidth="1" min="10" max="10"/>
    <col width="14" customWidth="1" min="11" max="11"/>
    <col width="11" customWidth="1" min="12" max="12"/>
    <col width="44" customWidth="1" min="13" max="13"/>
  </cols>
  <sheetData>
    <row r="1" ht="34" customHeight="1">
      <c r="A1" s="1" t="inlineStr">
        <is>
          <t>Odesílatel (sender)</t>
        </is>
      </c>
      <c r="B1" s="1" t="inlineStr">
        <is>
          <t>HS kód</t>
        </is>
      </c>
      <c r="C1" s="1" t="inlineStr">
        <is>
          <t>Popis zboží (CZ)</t>
        </is>
      </c>
      <c r="D1" s="1" t="inlineStr">
        <is>
          <t>Země původu (COO)</t>
        </is>
      </c>
      <c r="E1" s="1" t="inlineStr">
        <is>
          <t>Faktura č.</t>
        </is>
      </c>
      <c r="F1" s="1" t="inlineStr">
        <is>
          <t>Incoterm</t>
        </is>
      </c>
      <c r="G1" s="1" t="inlineStr">
        <is>
          <t>Množství</t>
        </is>
      </c>
      <c r="H1" s="1" t="inlineStr">
        <is>
          <t>Jednotka</t>
        </is>
      </c>
      <c r="I1" s="1" t="inlineStr">
        <is>
          <t>Čistá hmotnost (kg)</t>
        </is>
      </c>
      <c r="J1" s="1" t="inlineStr">
        <is>
          <t>Hrubá hmotnost (kg)</t>
        </is>
      </c>
      <c r="K1" s="1" t="inlineStr">
        <is>
          <t>Hodnota (USD)</t>
        </is>
      </c>
      <c r="L1" s="1" t="inlineStr">
        <is>
          <t>Příznak</t>
        </is>
      </c>
      <c r="M1" s="1" t="inlineStr">
        <is>
          <t>Poznámka</t>
        </is>
      </c>
    </row>
    <row r="2">
      <c r="A2" s="2" t="inlineStr">
        <is>
          <t>LINHAI BILLY COMMODITY CO., LTD (Linhai, Zhejiang, CN)</t>
        </is>
      </c>
      <c r="B2" s="2" t="inlineStr">
        <is>
          <t>96039091</t>
        </is>
      </c>
      <c r="C2" s="2" t="inlineStr">
        <is>
          <t>Úklidové výrobky z plastu PP+PE – smetáček s lopatkou Economy, smeták s násadou 120 cm, smetáček Economy, kartáč (LF8806 kartáč na nádobí), WC sada LF112 / LF112A WC štětka / WC sada DELUX (plast. miska + štětka: tyčka + WC hlava)</t>
        </is>
      </c>
      <c r="D2" s="2" t="inlineStr">
        <is>
          <t>CN</t>
        </is>
      </c>
      <c r="E2" s="2" t="inlineStr">
        <is>
          <t>26111</t>
        </is>
      </c>
      <c r="F2" s="2" t="inlineStr">
        <is>
          <t>FOB Ningbo</t>
        </is>
      </c>
      <c r="G2" s="3" t="n">
        <v>35832</v>
      </c>
      <c r="H2" s="2" t="inlineStr">
        <is>
          <t>ks</t>
        </is>
      </c>
      <c r="I2" s="4" t="n">
        <v>3760</v>
      </c>
      <c r="J2" s="4" t="n">
        <v>4456.9</v>
      </c>
      <c r="K2" s="5" t="n">
        <v>11817.36</v>
      </c>
      <c r="L2" s="2" t="n"/>
      <c r="M2" s="2" t="inlineStr">
        <is>
          <t>Sloučeno 9 řádků packing listu / 8 řádků faktury do jednoho HS kódu.</t>
        </is>
      </c>
    </row>
    <row r="3">
      <c r="A3" s="6" t="inlineStr">
        <is>
          <t>NINGBO AIJE HOME PRODUCTS CO., LTD (Ningbo, Zhejiang, CN)</t>
        </is>
      </c>
      <c r="B3" s="6" t="inlineStr">
        <is>
          <t>39211900</t>
        </is>
      </c>
      <c r="C3" s="6" t="inlineStr">
        <is>
          <t>Houbička melaminová NANO 4 ks – čisticí houbička pro domácnost, materiál melamin, 4 ks v balení</t>
        </is>
      </c>
      <c r="D3" s="6" t="inlineStr">
        <is>
          <t>CN</t>
        </is>
      </c>
      <c r="E3" s="6" t="inlineStr">
        <is>
          <t>AJT2409035</t>
        </is>
      </c>
      <c r="F3" s="6" t="inlineStr">
        <is>
          <t>FOB Ningbo</t>
        </is>
      </c>
      <c r="G3" s="7" t="n">
        <v>12024</v>
      </c>
      <c r="H3" s="6" t="inlineStr">
        <is>
          <t>balení (4 ks)</t>
        </is>
      </c>
      <c r="I3" s="8" t="n">
        <v>100.2</v>
      </c>
      <c r="J3" s="8" t="n">
        <v>200.4</v>
      </c>
      <c r="K3" s="9" t="n">
        <v>2164.32</v>
      </c>
      <c r="L3" s="6" t="n"/>
      <c r="M3" s="6" t="inlineStr">
        <is>
          <t>B/L uvádí HS 392119; celní instrukce 39211900.</t>
        </is>
      </c>
    </row>
    <row r="4">
      <c r="A4" s="6" t="inlineStr">
        <is>
          <t>NINGBO AIJE HOME PRODUCTS CO., LTD (Ningbo, Zhejiang, CN)</t>
        </is>
      </c>
      <c r="B4" s="6" t="inlineStr">
        <is>
          <t>39249000</t>
        </is>
      </c>
      <c r="C4" s="6" t="inlineStr">
        <is>
          <t>Houbová drátěnka 2 ks – houbička na nádobí (čistí a myje), vnější polyester/polyethylen, vnitřní houbička polyuretan, 2 ks v balení</t>
        </is>
      </c>
      <c r="D4" s="6" t="inlineStr">
        <is>
          <t>CN</t>
        </is>
      </c>
      <c r="E4" s="6" t="inlineStr">
        <is>
          <t>AJT2409035</t>
        </is>
      </c>
      <c r="F4" s="6" t="inlineStr">
        <is>
          <t>FOB Ningbo</t>
        </is>
      </c>
      <c r="G4" s="7" t="n">
        <v>7200</v>
      </c>
      <c r="H4" s="6" t="inlineStr">
        <is>
          <t>sada (2 ks)</t>
        </is>
      </c>
      <c r="I4" s="8" t="n">
        <v>198</v>
      </c>
      <c r="J4" s="8" t="n">
        <v>240</v>
      </c>
      <c r="K4" s="9" t="n">
        <v>1296</v>
      </c>
      <c r="L4" s="6" t="n"/>
      <c r="M4" s="6" t="inlineStr">
        <is>
          <t>Stejný HS kód jako u Zhejiang Kelin – dle pravidla NEsloučeno, samostatný řádek na odesílatele.</t>
        </is>
      </c>
    </row>
    <row r="5">
      <c r="A5" s="10" t="inlineStr">
        <is>
          <t>ZHEJIANG KELIN HOME CO., LTD (Ninghai, Ningbo, CN)</t>
        </is>
      </c>
      <c r="B5" s="10" t="inlineStr">
        <is>
          <t>39249000</t>
        </is>
      </c>
      <c r="C5" s="10" t="inlineStr">
        <is>
          <t>Protiskluzové podložky do vany či sprchy z PVC (100 % PVC) – Podložka AQUA vanová 69×35 cm a AQUA sprchová 53×54 cm, různé barvy a rozměry</t>
        </is>
      </c>
      <c r="D5" s="10" t="inlineStr">
        <is>
          <t>CN</t>
        </is>
      </c>
      <c r="E5" s="10" t="inlineStr">
        <is>
          <t>KL260602</t>
        </is>
      </c>
      <c r="F5" s="10" t="inlineStr">
        <is>
          <t>FOB Ningbo</t>
        </is>
      </c>
      <c r="G5" s="11" t="n">
        <v>6048</v>
      </c>
      <c r="H5" s="10" t="inlineStr">
        <is>
          <t>ks</t>
        </is>
      </c>
      <c r="I5" s="12" t="n">
        <v>2923.2</v>
      </c>
      <c r="J5" s="12" t="n">
        <v>3175.2</v>
      </c>
      <c r="K5" s="13" t="n">
        <v>6804</v>
      </c>
      <c r="L5" s="10" t="n"/>
      <c r="M5" s="10" t="inlineStr">
        <is>
          <t>Sloučeno 6 řádků faktury (transparent/grey/blue × 2 rozměry) do jednoho HS kódu.</t>
        </is>
      </c>
    </row>
    <row r="6">
      <c r="A6" s="14" t="inlineStr">
        <is>
          <t>LAIZHOU LUTONG PLASTICS CO., LTD (Laizhou, Shandong, CN)</t>
        </is>
      </c>
      <c r="B6" s="14" t="inlineStr">
        <is>
          <t>56090000</t>
        </is>
      </c>
      <c r="C6" s="14" t="inlineStr">
        <is>
          <t>Šňůra na prádlo BAVLNA – bavlněná šňůra na prádlo 15 m a 20 m, splétaná z provazů dia 5 mm</t>
        </is>
      </c>
      <c r="D6" s="14" t="inlineStr">
        <is>
          <t>CN</t>
        </is>
      </c>
      <c r="E6" s="14" t="inlineStr">
        <is>
          <t>LTP260325L</t>
        </is>
      </c>
      <c r="F6" s="14" t="inlineStr">
        <is>
          <t>FOB Ningbo</t>
        </is>
      </c>
      <c r="G6" s="15" t="n">
        <v>16000</v>
      </c>
      <c r="H6" s="14" t="inlineStr">
        <is>
          <t>ks</t>
        </is>
      </c>
      <c r="I6" s="16" t="n">
        <v>2160</v>
      </c>
      <c r="J6" s="16" t="n">
        <v>2290</v>
      </c>
      <c r="K6" s="17" t="n">
        <v>9322</v>
      </c>
      <c r="L6" s="14" t="n"/>
      <c r="M6" s="14" t="inlineStr">
        <is>
          <t>Celní instrukce uvádí HS jen 7-místně (5609000); doplněno na 8-místný CN kód 56090000.</t>
        </is>
      </c>
    </row>
    <row r="7">
      <c r="A7" s="18" t="inlineStr">
        <is>
          <t>CELKEM</t>
        </is>
      </c>
      <c r="B7" s="18" t="n"/>
      <c r="C7" s="18" t="n"/>
      <c r="D7" s="18" t="n"/>
      <c r="E7" s="18" t="n"/>
      <c r="F7" s="18" t="n"/>
      <c r="G7" s="19" t="n">
        <v>77104</v>
      </c>
      <c r="H7" s="18" t="inlineStr">
        <is>
          <t>smíšené jednotky</t>
        </is>
      </c>
      <c r="I7" s="20" t="n">
        <v>9141.4</v>
      </c>
      <c r="J7" s="20" t="n">
        <v>10362.5</v>
      </c>
      <c r="K7" s="21" t="n">
        <v>31403.68</v>
      </c>
      <c r="L7" s="18" t="n"/>
      <c r="M7" s="18" t="inlineStr">
        <is>
          <t>Souhlasí s master B/L Maersk 802113412: 1 687 kartonů / 10 362,500 kg GW / 63,05 CBM.</t>
        </is>
      </c>
    </row>
  </sheetData>
  <autoFilter ref="A1:M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5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22">
        <f>== ZÁSILKA ===</f>
        <v/>
      </c>
    </row>
    <row r="2">
      <c r="A2" t="inlineStr">
        <is>
          <t>Číslo zásilky: JBA202605260011 | Master B/L: MAERSK 802113412 | Kontejner CAAU7856425 / plomba ML-CN3866360 / 40'HQ</t>
        </is>
      </c>
    </row>
    <row r="3">
      <c r="A3" t="inlineStr">
        <is>
          <t>Loď: NEW YORK EXPRESS / 623W | Naloženo (shipped on board): 5.6.2026</t>
        </is>
      </c>
    </row>
    <row r="4">
      <c r="A4" t="inlineStr">
        <is>
          <t>Trasa: NINGBO, Čína → BREMERHAVEN, Německo → MĚLNÍK, ČR | Doručení: BARTON TRADING s.r.o., Hybešova 1225/26, 779 00 Olomouc</t>
        </is>
      </c>
    </row>
    <row r="5">
      <c r="A5" t="inlineStr">
        <is>
          <t>Příjemce (CZ): BARTON TRADING s.r.o., EORI CZ43962432 | Celní zástupce / notify: Maurice Ward &amp; Co., s.r.o.</t>
        </is>
      </c>
    </row>
    <row r="6">
      <c r="A6" t="inlineStr">
        <is>
          <t>Celkem: 4 odesílatelé, 5 řádků HS, 1 687 kartonů, 10 362,50 kg GW, 9 141,40 kg NW, 63,05 CBM, 31 403,68 USD</t>
        </is>
      </c>
    </row>
    <row r="7">
      <c r="A7" t="inlineStr">
        <is>
          <t>Režim dle celní instrukce: JSD (vyclení do volného oběhu), T1 se nepožaduje. Požadavek na doručení: ranní čas 08:00.</t>
        </is>
      </c>
    </row>
    <row r="8">
      <c r="A8" t="inlineStr"/>
    </row>
    <row r="9">
      <c r="A9" s="22">
        <f>== ⚠ COO / PREFERENČNÍ VĚTA – KRITICKÉ ===</f>
        <v/>
      </c>
    </row>
    <row r="10">
      <c r="A10" t="inlineStr">
        <is>
          <t>Na ŽÁDNÉ ze čtyř faktur (26111, AJT2409035, KL260602, LTP260325L) NENÍ uvedena preferenční věta o původu.</t>
        </is>
      </c>
    </row>
    <row r="11">
      <c r="A11" t="inlineStr">
        <is>
          <t>Všechny doklady deklarují původ 'Made in China' / CN. EU nemá s Čínou dohodu o preferenčním původu, preferenční sazbu tedy NELZE uplatnit.</t>
        </is>
      </c>
    </row>
    <row r="12">
      <c r="A12" t="inlineStr">
        <is>
          <t>→ Použije se standardní třetizemní (erga omnes) celní sazba pro každý HS kód. Před podáním JSD ověřit aktuální sazby v TARICu.</t>
        </is>
      </c>
    </row>
    <row r="13">
      <c r="A13" t="inlineStr"/>
    </row>
    <row r="14">
      <c r="A14" s="22">
        <f>== CBAM ===</f>
        <v/>
      </c>
    </row>
    <row r="15">
      <c r="A15" t="inlineStr">
        <is>
          <t>V zásilce NENÍ žádné zboží spadající pod CBAM. Uvedené HS kódy (9603, 3921, 3924, 5609) nepatří do rozsahu CBAM</t>
        </is>
      </c>
    </row>
    <row r="16">
      <c r="A16" t="inlineStr">
        <is>
          <t>(cement, elektřina, hnojiva, železo a ocel, hliník, vodík – kap. 25, 27, 28, 31, 72, 73, 76).</t>
        </is>
      </c>
    </row>
    <row r="17">
      <c r="A17" t="inlineStr">
        <is>
          <t>→ Vyhledání příjemce v registru CBAM tedy není pro tuto zásilku vyžadováno.</t>
        </is>
      </c>
    </row>
    <row r="18">
      <c r="A18" t="inlineStr">
        <is>
          <t>Pro informaci: BARTON TRADING s.r.o. (EORI CZ43962432) NENÍ uvedena v reference/CBAM_receivers_CZ.xlsx (list List1) – ani podle názvu firmy,</t>
        </is>
      </c>
    </row>
    <row r="19">
      <c r="A19" t="inlineStr">
        <is>
          <t>ani podle EORI. Pokud bude tento příjemce v budoucnu dovážet CBAM zboží, je nutné firmu prověřit a doplnit do registru.</t>
        </is>
      </c>
    </row>
    <row r="20">
      <c r="A20" t="inlineStr"/>
    </row>
    <row r="21">
      <c r="A21" s="22">
        <f>== ANTIDUMPING ===</f>
        <v/>
      </c>
    </row>
    <row r="22">
      <c r="A22" t="inlineStr">
        <is>
          <t>U žádného z uvedených HS kódů nebylo zjištěno antidumpingové clo (kartáče a smetáky 9603, výrobky z plastů 3921/3924, bavlněné motouzy 5609).</t>
        </is>
      </c>
    </row>
    <row r="23">
      <c r="A23" t="inlineStr">
        <is>
          <t>→ Doporučeno standardně ověřit v TARICu k datu podání JSD.</t>
        </is>
      </c>
    </row>
    <row r="24">
      <c r="A24" t="inlineStr"/>
    </row>
    <row r="25">
      <c r="A25" s="22">
        <f>== INCOTERM ===</f>
        <v/>
      </c>
    </row>
    <row r="26">
      <c r="A26" t="inlineStr">
        <is>
          <t>FOB NINGBO – uvedeno shodně na všech čtyřech fakturách i packing listech (Linhai: 'FOB NINGBO', AIJE / Kelin / Laizhou: 'FOB NINGBO').</t>
        </is>
      </c>
    </row>
    <row r="27">
      <c r="A27" t="inlineStr">
        <is>
          <t>Přeprava: FREIGHT COLLECT na house B/L, FREIGHT PREPAID na master B/L.</t>
        </is>
      </c>
    </row>
    <row r="28">
      <c r="A28" t="inlineStr">
        <is>
          <t>→ Do celní hodnoty je nutné připočíst náklady na přepravu a pojištění po hranici EU (FOB nezahrnuje dopravné).</t>
        </is>
      </c>
    </row>
    <row r="29">
      <c r="A29" t="inlineStr"/>
    </row>
    <row r="30">
      <c r="A30" s="22">
        <f>== SLEVA ===</f>
        <v/>
      </c>
    </row>
    <row r="31">
      <c r="A31" t="inlineStr">
        <is>
          <t>Na žádném dokladu není uvedena obchodní sleva. Proporcionální rozpuštění slevy se proto neuplatňuje.</t>
        </is>
      </c>
    </row>
    <row r="32">
      <c r="A32" t="inlineStr"/>
    </row>
    <row r="33">
      <c r="A33" s="22">
        <f>== KONTROLA HMOTNOSTÍ A POČTŮ (souhlasí) ===</f>
        <v/>
      </c>
    </row>
    <row r="34">
      <c r="A34" t="inlineStr">
        <is>
          <t>Kartony: Linhai 948 + AIJE 227 + Kelin 252 + Laizhou 260 = 1 687 = master B/L ✓</t>
        </is>
      </c>
    </row>
    <row r="35">
      <c r="A35" t="inlineStr">
        <is>
          <t>Hrubá hmotnost: 4 456,90 + 440,40 + 3 175,20 + 2 290,00 = 10 362,50 kg = master B/L ✓</t>
        </is>
      </c>
    </row>
    <row r="36">
      <c r="A36" t="inlineStr">
        <is>
          <t>Objem: 33,95 + 12,70 + 7,10 + 9,30 = 63,05 CBM = master B/L ✓</t>
        </is>
      </c>
    </row>
    <row r="37">
      <c r="A37" t="inlineStr">
        <is>
          <t>Čistá hmotnost: 3 760,00 + 298,20 + 2 923,20 + 2 160,00 = 9 141,40 kg (z packing listů)</t>
        </is>
      </c>
    </row>
    <row r="38">
      <c r="A38" t="inlineStr"/>
    </row>
    <row r="39">
      <c r="A39" s="22">
        <f>== NESROVNALOSTI K OVĚŘENÍ ===</f>
        <v/>
      </c>
    </row>
    <row r="40">
      <c r="A40" t="inlineStr">
        <is>
          <t>1) AIJE – celní instrukce uvádí číslo faktury 'AJT2049035', faktura i packing list uvádějí 'AJT2409035'. V souhrnu použito číslo z faktury.</t>
        </is>
      </c>
    </row>
    <row r="41">
      <c r="A41" t="inlineStr">
        <is>
          <t>2) AIJE – faktura uvádí EORI příjemce 'CZ4392432' (8 znaků), ostatní doklady 'CZ43962432'. Správné je CZ43962432 (překlep na faktuře).</t>
        </is>
      </c>
    </row>
    <row r="42">
      <c r="A42" t="inlineStr">
        <is>
          <t>3) Kelin – faktura uvádí P.O.D. 'Olomouc, Czech', packing list a B/L uvádějí 'MELNIK, Czech'. Přístav vykládky/místo dodání je Mělník.</t>
        </is>
      </c>
    </row>
    <row r="43">
      <c r="A43" t="inlineStr">
        <is>
          <t>4) AIJE – faktura uvádí místo určení 'TO: OLOMOUC', packing list 'TO: MELNIK'. Totéž jako bod 3.</t>
        </is>
      </c>
    </row>
    <row r="44">
      <c r="A44" t="inlineStr">
        <is>
          <t>5) Master B/L Maersk uvádí jako odesílatele HIVIEW INTERNATIONAL CO., LIMITED (Hongkong) a příjemce Maurice Ward &amp; Co., s.r.o.</t>
        </is>
      </c>
    </row>
    <row r="45">
      <c r="A45" t="inlineStr">
        <is>
          <t xml:space="preserve">   Skuteční odesílatelé (4 čínští výrobci) a skutečný příjemce (Barton Trading) vyplývají z house B/L DK Sailing a z faktur.</t>
        </is>
      </c>
    </row>
    <row r="46">
      <c r="A46" t="inlineStr">
        <is>
          <t>6) Laizhou – celní instrukce uvádí HS jen 7-místně (5609000); v souhrnu doplněno na 56090000.</t>
        </is>
      </c>
    </row>
    <row r="47">
      <c r="A47" t="inlineStr">
        <is>
          <t>7) Množství není napříč zásilkou ve stejné jednotce (ks vs. balení / sada) – součet 'CELKEM' je proto pouze orientační.</t>
        </is>
      </c>
    </row>
    <row r="48">
      <c r="A48" t="inlineStr"/>
    </row>
    <row r="49">
      <c r="A49" s="22">
        <f>== ZDROJOVÉ DOKLADY ===</f>
        <v/>
      </c>
    </row>
    <row r="50">
      <c r="A50" t="inlineStr">
        <is>
          <t>Linhai_JBA202605260011.pdf – celní instrukce, packing list, faktura 26111, house B/L DK26060272CNNGBHAMFDA</t>
        </is>
      </c>
    </row>
    <row r="51">
      <c r="A51" t="inlineStr">
        <is>
          <t>AIJE_JBA202605260011.pdf – celní instrukce, weight/packing list, faktura AJT2409035, house B/L DK26060272CNNGBHAMFDB</t>
        </is>
      </c>
    </row>
    <row r="52">
      <c r="A52" t="inlineStr">
        <is>
          <t>Kelin_JBA202605260011.pdf – celní instrukce, packing list, faktura KL260602, house B/L DK26060272CNNGBHAMFDC</t>
        </is>
      </c>
    </row>
    <row r="53">
      <c r="A53" t="inlineStr">
        <is>
          <t>LAIZHOU_JBA202605260011.pdf – celní instrukce, faktura LTP260325L, packing list, house B/L DK26060272CNNGBHAMFDD</t>
        </is>
      </c>
    </row>
    <row r="54">
      <c r="A54" t="inlineStr">
        <is>
          <t>MM9481.pdf – master B/L Maersk 802113412 (sea waybill)</t>
        </is>
      </c>
    </row>
    <row r="55">
      <c r="A55" t="inlineStr">
        <is>
          <t>H_M948AKC1 / BKC1 / CKC1 / DKC1.pdf – house B/L DK Sailing pro Linhai / AIJE / Kelin / Laizhou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2026-08-12T10:38:09Z</dcterms:created>
  <dcterms:modified xsi:type="dcterms:W3CDTF">2026-08-12T10:38:09Z</dcterms:modified>
</cp:coreProperties>
</file>