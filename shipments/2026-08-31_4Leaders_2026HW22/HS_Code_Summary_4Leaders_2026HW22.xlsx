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S Summary" sheetId="1" state="visible" r:id="rId1"/>
    <sheet name="Dokumenty a poznámky" sheetId="2" state="visible" r:id="rId2"/>
  </sheets>
  <definedNames>
    <definedName name="_xlnm._FilterDatabase" localSheetId="0" hidden="1">'HS Summary'!$A$4:$N$17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13"/>
    </font>
    <font>
      <i val="1"/>
      <color rgb="00555555"/>
      <sz val="9"/>
    </font>
    <font>
      <b val="1"/>
      <color rgb="00FFFFFF"/>
      <sz val="10"/>
    </font>
    <font>
      <b val="1"/>
      <color rgb="001F4E78"/>
      <sz val="10"/>
    </font>
    <font>
      <sz val="9"/>
    </font>
    <font>
      <b val="1"/>
      <sz val="9"/>
    </font>
    <font>
      <b val="1"/>
      <color rgb="001F4E78"/>
      <sz val="11"/>
    </font>
    <font>
      <sz val="10"/>
    </font>
    <font>
      <b val="1"/>
      <color rgb="00C00000"/>
      <sz val="1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CE6F1"/>
      </patternFill>
    </fill>
    <fill>
      <patternFill patternType="solid">
        <fgColor rgb="00F2F2F2"/>
      </patternFill>
    </fill>
    <fill>
      <patternFill patternType="solid">
        <fgColor rgb="00FFE699"/>
      </patternFill>
    </fill>
  </fills>
  <borders count="6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  <border>
      <left/>
      <right/>
      <top style="thin">
        <color rgb="00B0B0B0"/>
      </top>
      <bottom/>
      <diagonal/>
    </border>
    <border>
      <left/>
      <right style="thin">
        <color rgb="00B0B0B0"/>
      </right>
      <top style="thin">
        <color rgb="00B0B0B0"/>
      </top>
      <bottom/>
      <diagonal/>
    </border>
    <border>
      <left/>
      <right/>
      <top style="thin">
        <color rgb="00B0B0B0"/>
      </top>
      <bottom style="thin">
        <color rgb="00B0B0B0"/>
      </bottom>
      <diagonal/>
    </border>
    <border>
      <left/>
      <right style="thin">
        <color rgb="00B0B0B0"/>
      </right>
      <top style="thin">
        <color rgb="00B0B0B0"/>
      </top>
      <bottom style="thin">
        <color rgb="00B0B0B0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right" vertical="top"/>
    </xf>
    <xf numFmtId="3" fontId="5" fillId="0" borderId="1" applyAlignment="1" pivotButton="0" quotePrefix="0" xfId="0">
      <alignment horizontal="right" vertical="top"/>
    </xf>
    <xf numFmtId="4" fontId="5" fillId="0" borderId="1" applyAlignment="1" pivotButton="0" quotePrefix="0" xfId="0">
      <alignment horizontal="right" vertical="top"/>
    </xf>
    <xf numFmtId="0" fontId="5" fillId="0" borderId="1" applyAlignment="1" pivotButton="0" quotePrefix="0" xfId="0">
      <alignment horizontal="left" vertical="top"/>
    </xf>
    <xf numFmtId="0" fontId="6" fillId="4" borderId="1" pivotButton="0" quotePrefix="0" xfId="0"/>
    <xf numFmtId="0" fontId="0" fillId="4" borderId="1" pivotButton="0" quotePrefix="0" xfId="0"/>
    <xf numFmtId="3" fontId="6" fillId="4" borderId="1" applyAlignment="1" pivotButton="0" quotePrefix="0" xfId="0">
      <alignment horizontal="right"/>
    </xf>
    <xf numFmtId="4" fontId="6" fillId="4" borderId="1" applyAlignment="1" pivotButton="0" quotePrefix="0" xfId="0">
      <alignment horizontal="right"/>
    </xf>
    <xf numFmtId="0" fontId="6" fillId="5" borderId="1" pivotButton="0" quotePrefix="0" xfId="0"/>
    <xf numFmtId="0" fontId="0" fillId="5" borderId="1" pivotButton="0" quotePrefix="0" xfId="0"/>
    <xf numFmtId="3" fontId="6" fillId="5" borderId="1" applyAlignment="1" pivotButton="0" quotePrefix="0" xfId="0">
      <alignment horizontal="right"/>
    </xf>
    <xf numFmtId="4" fontId="6" fillId="5" borderId="1" applyAlignment="1" pivotButton="0" quotePrefix="0" xfId="0">
      <alignment horizontal="right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14" customWidth="1" min="3" max="3"/>
    <col width="46" customWidth="1" min="4" max="4"/>
    <col width="10" customWidth="1" min="5" max="5"/>
    <col width="12" customWidth="1" min="6" max="6"/>
    <col width="14" customWidth="1" min="7" max="7"/>
    <col width="14" customWidth="1" min="8" max="8"/>
    <col width="15" customWidth="1" min="9" max="9"/>
    <col width="13" customWidth="1" min="10" max="10"/>
    <col width="16" customWidth="1" min="11" max="11"/>
    <col width="14" customWidth="1" min="12" max="12"/>
    <col width="12" customWidth="1" min="13" max="13"/>
    <col width="46" customWidth="1" min="14" max="14"/>
  </cols>
  <sheetData>
    <row r="1">
      <c r="A1" s="1" t="inlineStr">
        <is>
          <t>HS CODE SUMMARY – 4Leaders, s.r.o. – zásilka 2026HW22 (kontejner MRKU5203961)</t>
        </is>
      </c>
    </row>
    <row r="2">
      <c r="A2" s="2" t="inlineStr">
        <is>
          <t>Příjemce (CZ): 4Leaders, s.r.o., Příběnická 695/5, 390 01 Tábor  •  Původ: Čína (CN)  •  Měna: USD  •  ETD 16.07.2026, naloděno 20.07.2026  •  Plavidlo ELEONORA MAERSK 629W, Yantian → Bremerhaven</t>
        </is>
      </c>
    </row>
    <row r="4" ht="42" customHeight="1">
      <c r="A4" s="3" t="inlineStr">
        <is>
          <t>Odesílatel (sender)</t>
        </is>
      </c>
      <c r="B4" s="3" t="inlineStr">
        <is>
          <t>Faktura / B/L</t>
        </is>
      </c>
      <c r="C4" s="3" t="inlineStr">
        <is>
          <t>HS kód</t>
        </is>
      </c>
      <c r="D4" s="3" t="inlineStr">
        <is>
          <t>Popis zboží (CZ)</t>
        </is>
      </c>
      <c r="E4" s="3" t="inlineStr">
        <is>
          <t>Země původu (COO)</t>
        </is>
      </c>
      <c r="F4" s="3" t="inlineStr">
        <is>
          <t>Množství (ks)</t>
        </is>
      </c>
      <c r="G4" s="3" t="inlineStr">
        <is>
          <t>Čistá hmotnost (kg)</t>
        </is>
      </c>
      <c r="H4" s="3" t="inlineStr">
        <is>
          <t>Hrubá hmotnost (kg)</t>
        </is>
      </c>
      <c r="I4" s="3" t="inlineStr">
        <is>
          <t>Hodnota USD před slevou</t>
        </is>
      </c>
      <c r="J4" s="3" t="inlineStr">
        <is>
          <t>Sleva 7,53 % (USD)</t>
        </is>
      </c>
      <c r="K4" s="3" t="inlineStr">
        <is>
          <t>Celní hodnota USD po slevě</t>
        </is>
      </c>
      <c r="L4" s="3" t="inlineStr">
        <is>
          <t>Incoterm</t>
        </is>
      </c>
      <c r="M4" s="3" t="inlineStr">
        <is>
          <t>CBAM</t>
        </is>
      </c>
      <c r="N4" s="3" t="inlineStr">
        <is>
          <t>Antidumping / poznámka</t>
        </is>
      </c>
    </row>
    <row r="5">
      <c r="A5" s="4" t="inlineStr">
        <is>
          <t>ODESÍLATEL: Hefei Howell E-commerce Co., Ltd   |   faktura 4L26013S (HW22/1)   |   B/L F202615718-1   |   Incoterm: FOB Ningbo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6" t="n"/>
    </row>
    <row r="6">
      <c r="A6" s="7" t="inlineStr">
        <is>
          <t>Hefei Howell E-commerce Co., Ltd</t>
        </is>
      </c>
      <c r="B6" s="7" t="inlineStr">
        <is>
          <t>4L26013S (HW22/1)
F202615718-1</t>
        </is>
      </c>
      <c r="C6" s="8" t="inlineStr">
        <is>
          <t>8544429090</t>
        </is>
      </c>
      <c r="D6" s="7" t="inlineStr">
        <is>
          <t>Svítící nabíjecí kabel 3v1</t>
        </is>
      </c>
      <c r="E6" s="9" t="inlineStr">
        <is>
          <t>CN</t>
        </is>
      </c>
      <c r="F6" s="10" t="n">
        <v>250</v>
      </c>
      <c r="G6" s="11" t="n">
        <v>6</v>
      </c>
      <c r="H6" s="11" t="n">
        <v>7</v>
      </c>
      <c r="I6" s="11" t="n">
        <v>267.5</v>
      </c>
      <c r="J6" s="11" t="n">
        <v>-20.14</v>
      </c>
      <c r="K6" s="11" t="n">
        <v>247.36</v>
      </c>
      <c r="L6" s="12" t="inlineStr">
        <is>
          <t>FOB Ningbo</t>
        </is>
      </c>
      <c r="M6" s="7" t="inlineStr">
        <is>
          <t>Ne – nespadá pod přílohu I CBAM</t>
        </is>
      </c>
      <c r="N6" s="7" t="inlineStr">
        <is>
          <t>Kabely s konektory pro napětí ≤ 1000 V. Bez antidumpingu.</t>
        </is>
      </c>
    </row>
    <row r="7">
      <c r="A7" s="7" t="inlineStr">
        <is>
          <t>Hefei Howell E-commerce Co., Ltd</t>
        </is>
      </c>
      <c r="B7" s="7" t="inlineStr">
        <is>
          <t>4L26013S (HW22/1)
F202615718-1</t>
        </is>
      </c>
      <c r="C7" s="8" t="inlineStr">
        <is>
          <t>9504908000</t>
        </is>
      </c>
      <c r="D7" s="7" t="inlineStr">
        <is>
          <t>Hra Laser Game</t>
        </is>
      </c>
      <c r="E7" s="9" t="inlineStr">
        <is>
          <t>CN</t>
        </is>
      </c>
      <c r="F7" s="10" t="n">
        <v>3000</v>
      </c>
      <c r="G7" s="11" t="n">
        <v>2312.5</v>
      </c>
      <c r="H7" s="11" t="n">
        <v>2437.5</v>
      </c>
      <c r="I7" s="11" t="n">
        <v>28650</v>
      </c>
      <c r="J7" s="11" t="n">
        <v>-2157.35</v>
      </c>
      <c r="K7" s="11" t="n">
        <v>26492.65</v>
      </c>
      <c r="L7" s="12" t="inlineStr">
        <is>
          <t>FOB Ningbo</t>
        </is>
      </c>
      <c r="M7" s="7" t="inlineStr">
        <is>
          <t>Ne – nespadá pod přílohu I CBAM</t>
        </is>
      </c>
      <c r="N7" s="7" t="inlineStr">
        <is>
          <t>Ostatní společenské hry. Bez antidumpingu.</t>
        </is>
      </c>
    </row>
    <row r="8">
      <c r="A8" s="4" t="inlineStr">
        <is>
          <t>ODESÍLATEL: CHANGSHU YUMUWEN BUSINESS DEPARTMENT   |   faktura 4L26014S (HW22/2)   |   B/L F202615718-2   |   Incoterm: FOB Yantian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6" t="n"/>
    </row>
    <row r="9">
      <c r="A9" s="7" t="inlineStr">
        <is>
          <t>CHANGSHU YUMUWEN BUSINESS DEPARTMENT</t>
        </is>
      </c>
      <c r="B9" s="7" t="inlineStr">
        <is>
          <t>4L26014S (HW22/2)
F202615718-2</t>
        </is>
      </c>
      <c r="C9" s="8" t="inlineStr">
        <is>
          <t>5906100000</t>
        </is>
      </c>
      <c r="D9" s="7" t="inlineStr">
        <is>
          <t>Oboustranná lepicí páska s výztuží 5 m</t>
        </is>
      </c>
      <c r="E9" s="9" t="inlineStr">
        <is>
          <t>CN</t>
        </is>
      </c>
      <c r="F9" s="10" t="n">
        <v>675</v>
      </c>
      <c r="G9" s="11" t="n">
        <v>45</v>
      </c>
      <c r="H9" s="11" t="n">
        <v>60</v>
      </c>
      <c r="I9" s="11" t="n">
        <v>317.25</v>
      </c>
      <c r="J9" s="11" t="n">
        <v>-23.89</v>
      </c>
      <c r="K9" s="11" t="n">
        <v>293.36</v>
      </c>
      <c r="L9" s="12" t="inlineStr">
        <is>
          <t>FOB Yantian</t>
        </is>
      </c>
      <c r="M9" s="7" t="inlineStr">
        <is>
          <t>Ne – nespadá pod přílohu I CBAM</t>
        </is>
      </c>
      <c r="N9" s="7" t="inlineStr">
        <is>
          <t>Pryžovaná textilie – lepicí páska š. ≤ 20 cm. Bez antidumpingu.</t>
        </is>
      </c>
    </row>
    <row r="10">
      <c r="A10" s="7" t="inlineStr">
        <is>
          <t>CHANGSHU YUMUWEN BUSINESS DEPARTMENT</t>
        </is>
      </c>
      <c r="B10" s="7" t="inlineStr">
        <is>
          <t>4L26014S (HW22/2)
F202615718-2</t>
        </is>
      </c>
      <c r="C10" s="8" t="inlineStr">
        <is>
          <t>9503007000</t>
        </is>
      </c>
      <c r="D10" s="7" t="inlineStr">
        <is>
          <t>Lukostřelecká sada pro děti; Dětská sada – čerpací stanice; Dětský hrnčířský kruh – kreativní sada s hlínou a barvami</t>
        </is>
      </c>
      <c r="E10" s="9" t="inlineStr">
        <is>
          <t>CN</t>
        </is>
      </c>
      <c r="F10" s="10" t="n">
        <v>1360</v>
      </c>
      <c r="G10" s="11" t="n">
        <v>1759</v>
      </c>
      <c r="H10" s="11" t="n">
        <v>1859</v>
      </c>
      <c r="I10" s="11" t="n">
        <v>6543.8</v>
      </c>
      <c r="J10" s="11" t="n">
        <v>-492.75</v>
      </c>
      <c r="K10" s="11" t="n">
        <v>6051.05</v>
      </c>
      <c r="L10" s="12" t="inlineStr">
        <is>
          <t>FOB Yantian</t>
        </is>
      </c>
      <c r="M10" s="7" t="inlineStr">
        <is>
          <t>Ne – nespadá pod přílohu I CBAM</t>
        </is>
      </c>
      <c r="N10" s="7" t="inlineStr">
        <is>
          <t>Ostatní soupravy a hračky. Bez antidumpingu.</t>
        </is>
      </c>
    </row>
    <row r="11">
      <c r="A11" s="7" t="inlineStr">
        <is>
          <t>CHANGSHU YUMUWEN BUSINESS DEPARTMENT</t>
        </is>
      </c>
      <c r="B11" s="7" t="inlineStr">
        <is>
          <t>4L26014S (HW22/2)
F202615718-2</t>
        </is>
      </c>
      <c r="C11" s="8" t="inlineStr">
        <is>
          <t>9405214000</t>
        </is>
      </c>
      <c r="D11" s="7" t="inlineStr">
        <is>
          <t>3D lampička – fotbalový míč</t>
        </is>
      </c>
      <c r="E11" s="9" t="inlineStr">
        <is>
          <t>CN</t>
        </is>
      </c>
      <c r="F11" s="10" t="n">
        <v>300</v>
      </c>
      <c r="G11" s="11" t="n">
        <v>50</v>
      </c>
      <c r="H11" s="11" t="n">
        <v>55</v>
      </c>
      <c r="I11" s="11" t="n">
        <v>345</v>
      </c>
      <c r="J11" s="11" t="n">
        <v>-25.98</v>
      </c>
      <c r="K11" s="11" t="n">
        <v>319.02</v>
      </c>
      <c r="L11" s="12" t="inlineStr">
        <is>
          <t>FOB Yantian</t>
        </is>
      </c>
      <c r="M11" s="7" t="inlineStr">
        <is>
          <t>Ne – nespadá pod přílohu I CBAM</t>
        </is>
      </c>
      <c r="N11" s="7" t="inlineStr">
        <is>
          <t>Elektrické stolní lampy z plastů. Bez antidumpingu (opatření na CFL z ČLR zrušena).</t>
        </is>
      </c>
    </row>
    <row r="12">
      <c r="A12" s="7" t="inlineStr">
        <is>
          <t>CHANGSHU YUMUWEN BUSINESS DEPARTMENT</t>
        </is>
      </c>
      <c r="B12" s="7" t="inlineStr">
        <is>
          <t>4L26014S (HW22/2)
F202615718-2</t>
        </is>
      </c>
      <c r="C12" s="8" t="inlineStr">
        <is>
          <t>8206000000</t>
        </is>
      </c>
      <c r="D12" s="7" t="inlineStr">
        <is>
          <t>Multifunkční nástroj 18v1</t>
        </is>
      </c>
      <c r="E12" s="9" t="inlineStr">
        <is>
          <t>CN</t>
        </is>
      </c>
      <c r="F12" s="10" t="n">
        <v>160</v>
      </c>
      <c r="G12" s="11" t="n">
        <v>64</v>
      </c>
      <c r="H12" s="11" t="n">
        <v>68</v>
      </c>
      <c r="I12" s="11" t="n">
        <v>851.2</v>
      </c>
      <c r="J12" s="11" t="n">
        <v>-64.09</v>
      </c>
      <c r="K12" s="11" t="n">
        <v>787.11</v>
      </c>
      <c r="L12" s="12" t="inlineStr">
        <is>
          <t>FOB Yantian</t>
        </is>
      </c>
      <c r="M12" s="7" t="inlineStr">
        <is>
          <t>Ne – nespadá pod přílohu I CBAM</t>
        </is>
      </c>
      <c r="N12" s="7" t="inlineStr">
        <is>
          <t>Sady nářadí ze dvou a více položek 8202–8205 – clo dle položky s nejvyšší sazbou v sadě.</t>
        </is>
      </c>
    </row>
    <row r="13">
      <c r="A13" s="7" t="inlineStr">
        <is>
          <t>CHANGSHU YUMUWEN BUSINESS DEPARTMENT</t>
        </is>
      </c>
      <c r="B13" s="7" t="inlineStr">
        <is>
          <t>4L26014S (HW22/2)
F202615718-2</t>
        </is>
      </c>
      <c r="C13" s="8" t="inlineStr">
        <is>
          <t>9503003500</t>
        </is>
      </c>
      <c r="D13" s="7" t="inlineStr">
        <is>
          <t>Kreativní stavebnice; Hračka do vany – tobogán</t>
        </is>
      </c>
      <c r="E13" s="9" t="inlineStr">
        <is>
          <t>CN</t>
        </is>
      </c>
      <c r="F13" s="10" t="n">
        <v>6408</v>
      </c>
      <c r="G13" s="11" t="n">
        <v>4212</v>
      </c>
      <c r="H13" s="11" t="n">
        <v>4365</v>
      </c>
      <c r="I13" s="11" t="n">
        <v>19306.8</v>
      </c>
      <c r="J13" s="11" t="n">
        <v>-1453.8</v>
      </c>
      <c r="K13" s="11" t="n">
        <v>17953</v>
      </c>
      <c r="L13" s="12" t="inlineStr">
        <is>
          <t>FOB Yantian</t>
        </is>
      </c>
      <c r="M13" s="7" t="inlineStr">
        <is>
          <t>Ne – nespadá pod přílohu I CBAM</t>
        </is>
      </c>
      <c r="N13" s="7" t="inlineStr">
        <is>
          <t>Ostatní stavebnice a stavebnicové hračky, z plastů. Bez antidumpingu.  + $100.00 certifikace k Building Block Games Set (fakturováno zvlášť, sleva se na ni nevztahuje).</t>
        </is>
      </c>
    </row>
    <row r="14">
      <c r="A14" s="7" t="inlineStr">
        <is>
          <t>CHANGSHU YUMUWEN BUSINESS DEPARTMENT</t>
        </is>
      </c>
      <c r="B14" s="7" t="inlineStr">
        <is>
          <t>4L26014S (HW22/2)
F202615718-2</t>
        </is>
      </c>
      <c r="C14" s="8" t="inlineStr">
        <is>
          <t>9504908000</t>
        </is>
      </c>
      <c r="D14" s="7" t="inlineStr">
        <is>
          <t>Hra hádej kdo jsi</t>
        </is>
      </c>
      <c r="E14" s="9" t="inlineStr">
        <is>
          <t>CN</t>
        </is>
      </c>
      <c r="F14" s="10" t="n">
        <v>900</v>
      </c>
      <c r="G14" s="11" t="n">
        <v>330</v>
      </c>
      <c r="H14" s="11" t="n">
        <v>345</v>
      </c>
      <c r="I14" s="11" t="n">
        <v>1809</v>
      </c>
      <c r="J14" s="11" t="n">
        <v>-136.22</v>
      </c>
      <c r="K14" s="11" t="n">
        <v>1672.78</v>
      </c>
      <c r="L14" s="12" t="inlineStr">
        <is>
          <t>FOB Yantian</t>
        </is>
      </c>
      <c r="M14" s="7" t="inlineStr">
        <is>
          <t>Ne – nespadá pod přílohu I CBAM</t>
        </is>
      </c>
      <c r="N14" s="7" t="inlineStr">
        <is>
          <t>Ostatní společenské hry. Bez antidumpingu.</t>
        </is>
      </c>
    </row>
    <row r="15">
      <c r="A15" s="7" t="inlineStr">
        <is>
          <t>CHANGSHU YUMUWEN BUSINESS DEPARTMENT</t>
        </is>
      </c>
      <c r="B15" s="7" t="inlineStr">
        <is>
          <t>4L26014S (HW22/2)
F202615718-2</t>
        </is>
      </c>
      <c r="C15" s="8" t="inlineStr">
        <is>
          <t>9503009590</t>
        </is>
      </c>
      <c r="D15" s="7" t="inlineStr">
        <is>
          <t>Dinosauří projektor</t>
        </is>
      </c>
      <c r="E15" s="9" t="inlineStr">
        <is>
          <t>CN</t>
        </is>
      </c>
      <c r="F15" s="10" t="n">
        <v>960</v>
      </c>
      <c r="G15" s="11" t="n">
        <v>56</v>
      </c>
      <c r="H15" s="11" t="n">
        <v>58</v>
      </c>
      <c r="I15" s="11" t="n">
        <v>691.2</v>
      </c>
      <c r="J15" s="11" t="n">
        <v>-52.05</v>
      </c>
      <c r="K15" s="11" t="n">
        <v>639.15</v>
      </c>
      <c r="L15" s="12" t="inlineStr">
        <is>
          <t>FOB Yantian</t>
        </is>
      </c>
      <c r="M15" s="7" t="inlineStr">
        <is>
          <t>Ne – nespadá pod přílohu I CBAM</t>
        </is>
      </c>
      <c r="N15" s="7" t="inlineStr">
        <is>
          <t>Ostatní hračky z plastů. Bez antidumpingu.</t>
        </is>
      </c>
    </row>
    <row r="16">
      <c r="A16" s="7" t="inlineStr">
        <is>
          <t>CHANGSHU YUMUWEN BUSINESS DEPARTMENT</t>
        </is>
      </c>
      <c r="B16" s="7" t="inlineStr">
        <is>
          <t>4L26014S (HW22/2)
F202615718-2</t>
        </is>
      </c>
      <c r="C16" s="8" t="inlineStr">
        <is>
          <t>9503007590</t>
        </is>
      </c>
      <c r="D16" s="7" t="inlineStr">
        <is>
          <t>Kaskadérské skákací autíčko – modré</t>
        </is>
      </c>
      <c r="E16" s="9" t="inlineStr">
        <is>
          <t>CN</t>
        </is>
      </c>
      <c r="F16" s="10" t="n">
        <v>500</v>
      </c>
      <c r="G16" s="11" t="n">
        <v>12</v>
      </c>
      <c r="H16" s="11" t="n">
        <v>13</v>
      </c>
      <c r="I16" s="11" t="n">
        <v>190</v>
      </c>
      <c r="J16" s="11" t="n">
        <v>-14.31</v>
      </c>
      <c r="K16" s="11" t="n">
        <v>175.69</v>
      </c>
      <c r="L16" s="12" t="inlineStr">
        <is>
          <t>FOB Yantian</t>
        </is>
      </c>
      <c r="M16" s="7" t="inlineStr">
        <is>
          <t>Ne – nespadá pod přílohu I CBAM</t>
        </is>
      </c>
      <c r="N16" s="7" t="inlineStr">
        <is>
          <t>Ostatní soupravy hraček z plastů. Bez antidumpingu.</t>
        </is>
      </c>
    </row>
    <row r="18">
      <c r="A18" s="13" t="inlineStr">
        <is>
          <t>MEZISOUČET – Hefei Howell E-commerce Co., Ltd (4L26013S (HW22/1))</t>
        </is>
      </c>
      <c r="B18" s="14" t="n"/>
      <c r="C18" s="14" t="n"/>
      <c r="D18" s="14" t="n"/>
      <c r="E18" s="14" t="n"/>
      <c r="F18" s="15" t="n">
        <v>3250</v>
      </c>
      <c r="G18" s="16" t="n">
        <v>2318.5</v>
      </c>
      <c r="H18" s="16" t="n">
        <v>2444.5</v>
      </c>
      <c r="I18" s="16" t="n">
        <v>28917.5</v>
      </c>
      <c r="J18" s="16" t="n">
        <v>-2177.49</v>
      </c>
      <c r="K18" s="16" t="n">
        <v>26740.01</v>
      </c>
      <c r="L18" s="14" t="n"/>
      <c r="M18" s="14" t="n"/>
      <c r="N18" s="14" t="n"/>
    </row>
    <row r="19">
      <c r="A19" s="13" t="inlineStr">
        <is>
          <t>MEZISOUČET – CHANGSHU YUMUWEN BUSINESS DEPARTMENT (4L26014S (HW22/2))</t>
        </is>
      </c>
      <c r="B19" s="14" t="n"/>
      <c r="C19" s="14" t="n"/>
      <c r="D19" s="14" t="n"/>
      <c r="E19" s="14" t="n"/>
      <c r="F19" s="15" t="n">
        <v>11263</v>
      </c>
      <c r="G19" s="16" t="n">
        <v>6528</v>
      </c>
      <c r="H19" s="16" t="n">
        <v>6823</v>
      </c>
      <c r="I19" s="16" t="n">
        <v>30054.25</v>
      </c>
      <c r="J19" s="16" t="n">
        <v>-2263.09</v>
      </c>
      <c r="K19" s="16" t="n">
        <v>27891.16</v>
      </c>
      <c r="L19" s="14" t="n"/>
      <c r="M19" s="14" t="n"/>
      <c r="N19" s="14" t="n"/>
    </row>
    <row r="20">
      <c r="A20" s="17" t="inlineStr">
        <is>
          <t>CELKEM ZÁSILKA 2026HW22</t>
        </is>
      </c>
      <c r="B20" s="18" t="n"/>
      <c r="C20" s="18" t="n"/>
      <c r="D20" s="18" t="n"/>
      <c r="E20" s="18" t="n"/>
      <c r="F20" s="19" t="n">
        <v>14513</v>
      </c>
      <c r="G20" s="20" t="n">
        <v>8846.5</v>
      </c>
      <c r="H20" s="20" t="n">
        <v>9267.5</v>
      </c>
      <c r="I20" s="20" t="n">
        <v>58971.75</v>
      </c>
      <c r="J20" s="20" t="n">
        <v>-4440.58</v>
      </c>
      <c r="K20" s="20" t="n">
        <v>54631.17</v>
      </c>
      <c r="L20" s="18" t="n"/>
      <c r="M20" s="18" t="n"/>
      <c r="N20" s="18" t="n"/>
    </row>
  </sheetData>
  <autoFilter ref="A4:N17"/>
  <mergeCells count="4">
    <mergeCell ref="A5:N5"/>
    <mergeCell ref="A8:N8"/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21">
        <f>== ZÁSILKA ===</f>
        <v/>
      </c>
    </row>
    <row r="2">
      <c r="A2" s="22" t="inlineStr">
        <is>
          <t>Klient / příjemce (CZ): 4Leaders, s.r.o., Příběnická 695/5, 390 01 Tábor</t>
        </is>
      </c>
    </row>
    <row r="3">
      <c r="A3" s="22" t="inlineStr">
        <is>
          <t>Zásilka: 2026HW22  •  kontejner MRKU5203961 / plomba ML-CN8916776  •  1x40'HQ (část kontejneru)</t>
        </is>
      </c>
    </row>
    <row r="4">
      <c r="A4" s="22" t="inlineStr">
        <is>
          <t>Plavidlo ELEONORA MAERSK 629W  •  Yantian, Čína → Bremerhaven  •  naloděno 20.07.2026, ETD 16.07.2026</t>
        </is>
      </c>
    </row>
    <row r="5">
      <c r="A5" s="22" t="inlineStr">
        <is>
          <t>Dvě faktury / dva odesílatelé, dva B/L – zásilka je proto klasifikována PODLE ODESÍLATELE, HS kódy sloučeny v rámci odesílatele.</t>
        </is>
      </c>
    </row>
    <row r="6">
      <c r="A6" s="22" t="inlineStr">
        <is>
          <t>Celkem: 421 kartonů, čistá hmotnost 8 846,50 kg, hrubá hmotnost 9 267,50 kg, 65,96 CBM.</t>
        </is>
      </c>
    </row>
    <row r="7">
      <c r="A7" s="22" t="inlineStr">
        <is>
          <t>Celní hodnota celkem: USD 54 631,17 (po slevě, vč. certifikace 100 USD). Faktury dohromady uvádějí 54 631,16 – rozdíl 0,01 vzniká zaokrouhlením slevy na faktuře HW22/1.</t>
        </is>
      </c>
    </row>
    <row r="8">
      <c r="A8" s="22" t="inlineStr"/>
    </row>
    <row r="9">
      <c r="A9" s="23">
        <f>== ⚠ PREFERENČNÍ VĚTA / COO – NENÍ V DOKUMENTECH ===</f>
        <v/>
      </c>
    </row>
    <row r="10">
      <c r="A10" s="22" t="inlineStr">
        <is>
          <t>Na fakturách 4L26013S ani 4L26014S NENÍ uvedena preferenční věta (prohlášení o preferenčním původu).</t>
        </is>
      </c>
    </row>
    <row r="11">
      <c r="A11" s="22" t="inlineStr">
        <is>
          <t>Obě faktury uvádějí pouze "MADE IN CHINA". Země původu = Čína (CN).</t>
        </is>
      </c>
    </row>
    <row r="12">
      <c r="A12" s="22" t="inlineStr">
        <is>
          <t>EU nemá s Čínou preferenční dohodu, preferenční sazba tedy není k dispozici – uplatní se STANDARDNÍ CLO</t>
        </is>
      </c>
    </row>
    <row r="13">
      <c r="A13" s="22" t="inlineStr">
        <is>
          <t>pro třetí země (erga omnes) podle jednotlivých HS kódů. Nežádat dodavatele o preferenční prohlášení.</t>
        </is>
      </c>
    </row>
    <row r="14">
      <c r="A14" s="22" t="inlineStr">
        <is>
          <t>Ověřit v TARIC aktuální sazby k datu propuštění.</t>
        </is>
      </c>
    </row>
    <row r="15">
      <c r="A15" s="22" t="inlineStr"/>
    </row>
    <row r="16">
      <c r="A16" s="23">
        <f>== ⚠ NESROVNALOSTI V DOKUMENTECH – K OVĚŘENÍ ===</f>
        <v/>
      </c>
    </row>
    <row r="17">
      <c r="A17" s="22" t="inlineStr">
        <is>
          <t>1) INCOTERM vs. přístav nalodění (faktura HW22/1): faktura 4L26013S uvádí "SHIPMENT TERMS: FOB NINGBO",</t>
        </is>
      </c>
    </row>
    <row r="18">
      <c r="A18" s="22" t="inlineStr">
        <is>
          <t xml:space="preserve">   ale B/L F202615718-1 uvádí jako Port of Loading YANTIAN, CHINA. Nutno potvrdit správné místo dodání,</t>
        </is>
      </c>
    </row>
    <row r="19">
      <c r="A19" s="22" t="inlineStr">
        <is>
          <t xml:space="preserve">   liší se náklady na dopravu připočítávané do celní hodnoty (FOB → CIF pro účely cla).</t>
        </is>
      </c>
    </row>
    <row r="20">
      <c r="A20" s="22" t="inlineStr">
        <is>
          <t>2) ODESÍLATEL (HW22/2): obchodní fakturu 4L26014S vystavil CHANGSHU YUMUWEN BUSINESS DEPARTMENT,</t>
        </is>
      </c>
    </row>
    <row r="21">
      <c r="A21" s="22" t="inlineStr">
        <is>
          <t xml:space="preserve">   ale packing list HW22/2 i B/L F202615718-2 uvádějí jako shippera HEFEI HOWELL E-COMMERCE CO., LTD.</t>
        </is>
      </c>
    </row>
    <row r="22">
      <c r="A22" s="22" t="inlineStr">
        <is>
          <t xml:space="preserve">   V tabulce je odesílatel veden podle FAKTURY (Changshu Yumuwen) – prodávající je rozhodující pro celní hodnotu.</t>
        </is>
      </c>
    </row>
    <row r="23">
      <c r="A23" s="22" t="inlineStr">
        <is>
          <t xml:space="preserve">   Doporučuji si nechat potvrdit, kdo je skutečný vývozce, aby souhlasil údaj v kolonce 2 JSD.</t>
        </is>
      </c>
    </row>
    <row r="24">
      <c r="A24" s="22" t="inlineStr">
        <is>
          <t>3) Packing list HW22/1 uvádí v součtu čistou hmotnost 2 319 kg, součet řádků je 2 318,50 kg (zaokrouhlení).</t>
        </is>
      </c>
    </row>
    <row r="25">
      <c r="A25" s="22" t="inlineStr">
        <is>
          <t xml:space="preserve">   V přehledu je použit součet řádků 2 318,50 kg. Hrubá hmotnost 2 444,50 kg souhlasí s B/L.</t>
        </is>
      </c>
    </row>
    <row r="26">
      <c r="A26" s="22" t="inlineStr"/>
    </row>
    <row r="27">
      <c r="A27" s="21">
        <f>== SLEVA (proporcionální rozpuštění) ===</f>
        <v/>
      </c>
    </row>
    <row r="28">
      <c r="A28" s="22" t="inlineStr">
        <is>
          <t>Obě faktury uvádějí slevu "Discount (Devaluation of yuan 7,53 %)".</t>
        </is>
      </c>
    </row>
    <row r="29">
      <c r="A29" s="22" t="inlineStr">
        <is>
          <t>HW22/1: zboží USD 28 917,50 − sleva USD 2 177,49 = USD 26 740,01 (faktura uvádí 26 740,00; rozdíl 0,01 = zaokrouhlení).</t>
        </is>
      </c>
    </row>
    <row r="30">
      <c r="A30" s="22" t="inlineStr">
        <is>
          <t>HW22/2: zboží USD 30 054,25 − sleva USD 2 263,09 = USD 27 791,16 + certifikace USD 100,00 = USD 27 891,16 ✓.</t>
        </is>
      </c>
    </row>
    <row r="31">
      <c r="A31" s="22" t="inlineStr">
        <is>
          <t>Sleva byla rozpuštěna proporcionálně k hodnotě jednotlivých položek (metoda největšího zbytku, součet přesně sedí).</t>
        </is>
      </c>
    </row>
    <row r="32">
      <c r="A32" s="22" t="inlineStr">
        <is>
          <t>Poplatek za certifikaci USD 100 se týká položky Building Block Games Set (HS 9503003500) a je do celní hodnoty</t>
        </is>
      </c>
    </row>
    <row r="33">
      <c r="A33" s="22" t="inlineStr">
        <is>
          <t>tohoto HS kódu přičten – jde o platbu prodávajícímu za zboží, sleva se na něj nevztahuje.</t>
        </is>
      </c>
    </row>
    <row r="34">
      <c r="A34" s="22" t="inlineStr"/>
    </row>
    <row r="35">
      <c r="A35" s="21">
        <f>== CBAM ===</f>
        <v/>
      </c>
    </row>
    <row r="36">
      <c r="A36" s="22" t="inlineStr">
        <is>
          <t>CBAM se na tuto zásilku NEVZTAHUJE. Žádný z HS kódů (5906, 8206, 8544, 9405, 9503, 9504) nespadá</t>
        </is>
      </c>
    </row>
    <row r="37">
      <c r="A37" s="22" t="inlineStr">
        <is>
          <t>pod přílohu I nařízení CBAM (cement 2523, elektřina, hnojiva, železo a ocel kap. 72/73, hliník 76, vodík 2804).</t>
        </is>
      </c>
    </row>
    <row r="38">
      <c r="A38" s="22" t="inlineStr">
        <is>
          <t>Kód Y-… se do JSD neuvádí, protože zboží není zbožím CBAM.</t>
        </is>
      </c>
    </row>
    <row r="39">
      <c r="A39" s="22" t="inlineStr">
        <is>
          <t>⚠ POZOR: příjemce 4Leaders, s.r.o. (Tábor) NENÍ v registru reference/CBAM_receivers_CZ.xlsx (list List1).</t>
        </is>
      </c>
    </row>
    <row r="40">
      <c r="A40" s="22" t="inlineStr">
        <is>
          <t>Hledáno podle sloupce "Firma" i podle EORI – žádná shoda, ani mezi firmami mimo EU využívajícími náš sdílený účet.</t>
        </is>
      </c>
    </row>
    <row r="41">
      <c r="A41" s="22" t="inlineStr">
        <is>
          <t>Pro tuto zásilku to nevadí (není CBAM zboží), ale doporučuji firmu do registru doplnit pro budoucí zásilky.</t>
        </is>
      </c>
    </row>
    <row r="42">
      <c r="A42" s="22" t="inlineStr"/>
    </row>
    <row r="43">
      <c r="A43" s="21">
        <f>== ANTIDUMPING ===</f>
        <v/>
      </c>
    </row>
    <row r="44">
      <c r="A44" s="22" t="inlineStr">
        <is>
          <t>U žádného z HS kódů v této zásilce nebylo zjištěno platné antidumpingové ani vyrovnávací clo z ČLR.</t>
        </is>
      </c>
    </row>
    <row r="45">
      <c r="A45" s="22" t="inlineStr">
        <is>
          <t>Pozornost si zaslouží HS 9405214000 (lampičky) – opatření na kompaktní zářivky z ČLR jsou dávno ukončena,</t>
        </is>
      </c>
    </row>
    <row r="46">
      <c r="A46" s="22" t="inlineStr">
        <is>
          <t>a HS 8206000000 (sada nářadí) – clo se určuje podle položky s nejvyšší sazbou v sadě.</t>
        </is>
      </c>
    </row>
    <row r="47">
      <c r="A47" s="22" t="inlineStr">
        <is>
          <t>Doporučuji potvrdit v TARIC ke dni propuštění zboží.</t>
        </is>
      </c>
    </row>
    <row r="48">
      <c r="A48" s="22" t="inlineStr"/>
    </row>
    <row r="49">
      <c r="A49" s="21">
        <f>== INCOTERM ===</f>
        <v/>
      </c>
    </row>
    <row r="50">
      <c r="A50" s="22" t="inlineStr">
        <is>
          <t>HW22/1 (Hefei Howell): FOB Ningbo dle faktury – viz nesrovnalost výše (B/L uvádí Yantian).</t>
        </is>
      </c>
    </row>
    <row r="51">
      <c r="A51" s="22" t="inlineStr">
        <is>
          <t>HW22/2 (Changshu Yumuwen): FOB Yantian dle faktury, souhlasí s B/L.</t>
        </is>
      </c>
    </row>
    <row r="52">
      <c r="A52" s="22" t="inlineStr">
        <is>
          <t>Přeprava: FREIGHT COLLECT. Do celní hodnoty je nutné připočítat námořní přepravné a pojištění po hranice EU.</t>
        </is>
      </c>
    </row>
    <row r="53">
      <c r="A53" s="22" t="inlineStr"/>
    </row>
    <row r="54">
      <c r="A54" s="21">
        <f>== ZDROJE ===</f>
        <v/>
      </c>
    </row>
    <row r="55">
      <c r="A55" s="22" t="inlineStr">
        <is>
          <t>HW22_CI_1.pdf, HW22_CI_2.pdf (obchodní faktury), HW22_PL_1.pdf, HW22_PL_2.pdf (packing listy),</t>
        </is>
      </c>
    </row>
    <row r="56">
      <c r="A56" s="22" t="inlineStr">
        <is>
          <t>F202615718-1.pdf, F202615718-2.pdf (draft B/L), Popis 2026HW22.xlsx (české popisy + celní nomenklatura).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2026-08-31T07:51:16Z</dcterms:created>
  <dcterms:modified xsi:type="dcterms:W3CDTF">2026-08-31T07:51:16Z</dcterms:modified>
</cp:coreProperties>
</file>