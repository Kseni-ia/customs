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  <col width="26" customWidth="1" min="4" max="4"/>
    <col width="12" customWidth="1" min="5" max="5"/>
    <col width="14" customWidth="1" min="6" max="6"/>
    <col width="14" customWidth="1" min="7" max="7"/>
    <col width="16" customWidth="1" min="8" max="8"/>
    <col width="13" customWidth="1" min="9" max="9"/>
    <col width="70" customWidth="1" min="10" max="10"/>
  </cols>
  <sheetData>
    <row r="1">
      <c r="A1" s="1" t="inlineStr">
        <is>
          <t>HS kód (EU TARIC)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Faktura (č.)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CNY</t>
        </is>
      </c>
      <c r="I1" s="1" t="inlineStr">
        <is>
          <t>Příznak</t>
        </is>
      </c>
      <c r="J1" s="1" t="inlineStr">
        <is>
          <t>TARIC / poznámka / CBAM / Antidumping</t>
        </is>
      </c>
    </row>
    <row r="2">
      <c r="A2" t="inlineStr">
        <is>
          <t>8421392590</t>
        </is>
      </c>
      <c r="B2" s="2" t="inlineStr">
        <is>
          <t>Stroje a přístroje pro filtrování nebo čištění vzduchu – sběrače prachu (DCE125) a předvyrobené filtrační jednotky (UMA)</t>
        </is>
      </c>
      <c r="C2" t="inlineStr">
        <is>
          <t>CN</t>
        </is>
      </c>
      <c r="D2" s="2" t="inlineStr">
        <is>
          <t>30600162208, 30600162209, 30600162250</t>
        </is>
      </c>
      <c r="E2" t="n">
        <v>25</v>
      </c>
      <c r="F2" t="n">
        <v>1420</v>
      </c>
      <c r="G2" t="n">
        <v>2160</v>
      </c>
      <c r="H2" t="n">
        <v>216500.61</v>
      </c>
      <c r="I2" t="inlineStr"/>
      <c r="J2" s="2" t="inlineStr">
        <is>
          <t>EU kód 8421 39 25 90 (ostatní, ne pro civilní letadla). Sloučeno z čínských exportních kódů 8421392990 + 8421392290 – v TARIC EU neexistují, oba spadají pod filtraci vzduchu.</t>
        </is>
      </c>
    </row>
    <row r="3">
      <c r="A3" s="8" t="inlineStr">
        <is>
          <t>8421199090</t>
        </is>
      </c>
      <c r="B3" s="9" t="inlineStr">
        <is>
          <t>Sada pro uzemnění sběrné nádoby filtru (BIN BASE PACK)</t>
        </is>
      </c>
      <c r="C3" s="8" t="inlineStr">
        <is>
          <t>CN</t>
        </is>
      </c>
      <c r="D3" s="9" t="inlineStr">
        <is>
          <t>30600162210</t>
        </is>
      </c>
      <c r="E3" s="8" t="n">
        <v>4</v>
      </c>
      <c r="F3" s="8" t="n">
        <v>52</v>
      </c>
      <c r="G3" s="8" t="n">
        <v>80</v>
      </c>
      <c r="H3" s="8" t="n">
        <v>6971.69</v>
      </c>
      <c r="I3" s="8" t="inlineStr">
        <is>
          <t>OVĚŘIT</t>
        </is>
      </c>
      <c r="J3" s="9" t="inlineStr">
        <is>
          <t>Čínský exportní kód. EU členění 8421 19 je jiné (8421 19 20 laboratorní / 8421 19 70 ostatní odstředivky) – ověřit správné EU zařazení, položka možná patří spíše do částí 8421 99.</t>
        </is>
      </c>
    </row>
    <row r="4">
      <c r="A4" s="8" t="inlineStr">
        <is>
          <t>8421999090</t>
        </is>
      </c>
      <c r="B4" s="9" t="inlineStr">
        <is>
          <t>Sběrná nádoba filtru (dust bins)</t>
        </is>
      </c>
      <c r="C4" s="8" t="inlineStr">
        <is>
          <t>CN</t>
        </is>
      </c>
      <c r="D4" s="9" t="inlineStr">
        <is>
          <t>30600162209</t>
        </is>
      </c>
      <c r="E4" s="8" t="n">
        <v>6</v>
      </c>
      <c r="F4" s="8" t="n">
        <v>33</v>
      </c>
      <c r="G4" s="8" t="n">
        <v>85</v>
      </c>
      <c r="H4" s="8" t="n">
        <v>5035.32</v>
      </c>
      <c r="I4" s="8" t="inlineStr">
        <is>
          <t>OVĚŘIT</t>
        </is>
      </c>
      <c r="J4" s="9" t="inlineStr">
        <is>
          <t>Čínský exportní kód. V EU CN odpovídá 8421 99 90 (ostatní části a součásti) – ověřit přesný TARIC při podání JSD.</t>
        </is>
      </c>
    </row>
    <row r="5">
      <c r="A5" s="3" t="inlineStr">
        <is>
          <t>7318230000</t>
        </is>
      </c>
      <c r="B5" s="4" t="inlineStr">
        <is>
          <t>Sada pro upevnění těsnícího zařízení (nýty)</t>
        </is>
      </c>
      <c r="C5" s="3" t="inlineStr">
        <is>
          <t>CN</t>
        </is>
      </c>
      <c r="D5" s="4" t="inlineStr">
        <is>
          <t>30600162250</t>
        </is>
      </c>
      <c r="E5" s="3" t="n">
        <v>4</v>
      </c>
      <c r="F5" s="3" t="n">
        <v>0.5</v>
      </c>
      <c r="G5" s="3" t="n">
        <v>1</v>
      </c>
      <c r="H5" s="3" t="n">
        <v>374.63</v>
      </c>
      <c r="I5" s="3" t="inlineStr">
        <is>
          <t>CBAM</t>
        </is>
      </c>
      <c r="J5" s="4" t="inlineStr">
        <is>
          <t>EU kód 7318 23 00 existuje shodně. CBAM zboží (železo/ocel, kap. 73), NW 0,5 kg – de minimis → kód Y137 v JSD. AD clo na spojovací materiál z CN (nař. 2022/191) se na 7318 23 NEvztahuje.</t>
        </is>
      </c>
    </row>
    <row r="6">
      <c r="A6" s="3" t="inlineStr">
        <is>
          <t>7307990000</t>
        </is>
      </c>
      <c r="B6" s="4" t="inlineStr">
        <is>
          <t>Sestava vyrovnávacího kohoutu zásobníku na prach</t>
        </is>
      </c>
      <c r="C6" s="3" t="inlineStr">
        <is>
          <t>CN</t>
        </is>
      </c>
      <c r="D6" s="4" t="inlineStr">
        <is>
          <t>30600162250</t>
        </is>
      </c>
      <c r="E6" s="3" t="n">
        <v>4</v>
      </c>
      <c r="F6" s="3" t="n">
        <v>1</v>
      </c>
      <c r="G6" s="3" t="n">
        <v>1.5</v>
      </c>
      <c r="H6" s="3" t="n">
        <v>284.96</v>
      </c>
      <c r="I6" s="3" t="inlineStr">
        <is>
          <t>CBAM</t>
        </is>
      </c>
      <c r="J6" s="4" t="inlineStr">
        <is>
          <t>Čínský kód; EU ekvivalent 7307 99 80 (ostatní příslušenství pro trouby/trubky). CBAM zboží, NW 1 kg – de minimis → Y137. AD clo na svařovací tvarovky z CN (ex 7307 99 80, 58,6 %) – díl je montážní sestava, pravděpodobně mimo rozsah, ověřit v TARIC.</t>
        </is>
      </c>
    </row>
    <row r="7">
      <c r="A7" s="5" t="inlineStr">
        <is>
          <t>CELKEM</t>
        </is>
      </c>
      <c r="B7" s="5" t="inlineStr"/>
      <c r="C7" s="5" t="inlineStr"/>
      <c r="D7" s="5" t="inlineStr"/>
      <c r="E7" s="5" t="n">
        <v>43</v>
      </c>
      <c r="F7" s="5" t="n">
        <v>1506.5</v>
      </c>
      <c r="G7" s="5" t="n">
        <v>2327.5</v>
      </c>
      <c r="H7" s="5" t="n">
        <v>229167.21</v>
      </c>
      <c r="I7" s="5" t="inlineStr"/>
      <c r="J7" s="5" t="inlineStr"/>
    </row>
    <row r="9">
      <c r="A9" s="5" t="inlineStr">
        <is>
          <t>Legenda:</t>
        </is>
      </c>
    </row>
    <row r="10">
      <c r="A10" t="inlineStr">
        <is>
          <t>🟡 ORANŽOVÁ</t>
        </is>
      </c>
      <c r="B10" t="inlineStr">
        <is>
          <t>CBAM zboží (železo/ocel) – celkem jen 1,5 kg NW; navrhnout kód Y137 (de minimis) v JSD</t>
        </is>
      </c>
    </row>
    <row r="11">
      <c r="A11" t="inlineStr">
        <is>
          <t>🟨 SVĚTLE ŽLUTÁ</t>
        </is>
      </c>
      <c r="B11" t="inlineStr">
        <is>
          <t>OVĚŘIT – čínský exportní kód bez přímého EU ekvivalentu, zkontrolovat zařazení v TARIC před podáním JSD</t>
        </is>
      </c>
    </row>
    <row r="12">
      <c r="A12" t="inlineStr">
        <is>
          <t>HS kódy</t>
        </is>
      </c>
      <c r="B12" t="inlineStr">
        <is>
          <t>Kódy na fakturách jsou čínské exportní („Orig Export HS"). Pro JSD platí EU TARIC – 8421392990 + 8421392290 sloučeny pod 8421 39 25 90 (filtrace vzduchu).</t>
        </is>
      </c>
    </row>
    <row r="13">
      <c r="A13" t="inlineStr">
        <is>
          <t>COO</t>
        </is>
      </c>
      <c r="B13" t="inlineStr">
        <is>
          <t>Vše CN (Čína) – BEZ preferenční věty na fakturách → standardní sazba třetí země</t>
        </is>
      </c>
    </row>
    <row r="14">
      <c r="A14" t="inlineStr">
        <is>
          <t>Kontrola</t>
        </is>
      </c>
      <c r="B14" t="inlineStr">
        <is>
          <t>GW 2327,5 kg a 31 kusů souhlasí s HBL DK26050913; hodnota souhlasí se 4 fakturami (229 167,21 CNY)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>
        <f>== ZÁSILKA ===</f>
        <v/>
      </c>
    </row>
    <row r="2">
      <c r="A2" t="inlineStr">
        <is>
          <t>Klient: Donaldson Industrial CR s.r.o., Královský Vrch 1986, 432 01 Kadaň (PLT 328)</t>
        </is>
      </c>
    </row>
    <row r="3">
      <c r="A3" t="inlineStr">
        <is>
          <t>Dodavatel: Donaldson (Wuxi) Filters Co., Ltd., Wuxi, Čína – intercompany</t>
        </is>
      </c>
    </row>
    <row r="4">
      <c r="A4" t="inlineStr">
        <is>
          <t>Reference: DON_WUXI_2026_05_12 | HBL: DK26050913 (HBLDK26050913OBD) | 1×40HQ kontejner MRKU3552075, plomba CN4796312</t>
        </is>
      </c>
    </row>
    <row r="5">
      <c r="A5" t="inlineStr">
        <is>
          <t>Trasa: Shanghai/Shenzhen → Mělník, dále Kadaň | Loď AL MURAYKH/622W, na palubě 06.06.2026 | FREIGHT COLLECT</t>
        </is>
      </c>
    </row>
    <row r="6">
      <c r="A6" t="inlineStr">
        <is>
          <t>31 nákladových kusů | 2 327,5 kg brutto | 24,95 CBM | dřevěné obaly FUMIGOVÁNY</t>
        </is>
      </c>
    </row>
    <row r="7">
      <c r="A7" t="inlineStr">
        <is>
          <t>Speditér: Maurice Ward &amp; Co., s.r.o.</t>
        </is>
      </c>
    </row>
    <row r="9">
      <c r="A9" s="5">
        <f>== PŘIJATÉ DOKUMENTY (stav 10.7.2026) ===</f>
        <v/>
      </c>
    </row>
    <row r="10">
      <c r="A10" t="inlineStr">
        <is>
          <t>✓ Master seznam DON_WUXI_2026_05_12.xlsx (13 položek, HS kódy + české popisy)</t>
        </is>
      </c>
    </row>
    <row r="11">
      <c r="A11" t="inlineStr">
        <is>
          <t>✓ 4 faktury Donaldson Wuxi: 30600162208 (108 215,26 CNY), 30600162209 (66 312,49 CNY), 30600162210 (6 971,69 CNY), 30600162250 (47 667,77 CNY) – celkem 229 167,21 CNY</t>
        </is>
      </c>
    </row>
    <row r="12">
      <c r="A12" t="inlineStr">
        <is>
          <t>✓ HBL DK26050913 (Maurice Ward)</t>
        </is>
      </c>
    </row>
    <row r="13">
      <c r="A13" t="inlineStr">
        <is>
          <t>✓ 13 packing listů k dodávkám DE10323-2, DE10370-1÷5, DE10386-1/2/4/5/6/7, DE10395</t>
        </is>
      </c>
    </row>
    <row r="14">
      <c r="A14" t="inlineStr">
        <is>
          <t>✓ Prohlášení o neruském původu (HS kap. 72+73) – Donaldson Wuxi → Donaldson Industrial CR, podepsáno 11.12.2025 (čl. 3g nař. 833/2014 – kryje položky 7307990000 a 7318230000)</t>
        </is>
      </c>
    </row>
    <row r="16">
      <c r="A16" s="5">
        <f>== PREFERENČNÍ VĚTA / COO – DŮLEŽITÉ ===</f>
        <v/>
      </c>
    </row>
    <row r="17">
      <c r="A17" t="inlineStr">
        <is>
          <t>Preferenční věta NENÍ na žádné faktuře uvedena. Původ všech položek: CN (Čína).</t>
        </is>
      </c>
    </row>
    <row r="18">
      <c r="A18" t="inlineStr">
        <is>
          <t>Mezi EU a Čínou neexistuje preferenční dohoda → platí standardní (erga omnes) sazba třetí země. Nic k uplatnění.</t>
        </is>
      </c>
    </row>
    <row r="19">
      <c r="A19" t="inlineStr">
        <is>
          <t>Incoterm dle faktur: FCA DONALDSON FACILITY (do summary se dle pravidel neuvádí).</t>
        </is>
      </c>
    </row>
    <row r="21">
      <c r="A21" s="5">
        <f>== CBAM ===</f>
        <v/>
      </c>
    </row>
    <row r="22">
      <c r="A22" t="inlineStr">
        <is>
          <t>Dotčené HS kódy: 7307990000 (1,0 kg NW; 284,96 CNY) a 7318230000 (0,5 kg NW; 374,63 CNY) – železo/ocel kap. 73.</t>
        </is>
      </c>
    </row>
    <row r="23">
      <c r="A23" t="inlineStr">
        <is>
          <t>Celkem 1,5 kg NW – VÝRAZNĚ pod limitem de minimis 50 t/rok → navrhnout kód Y137 v JSD (potvrdit se zákazníkem stav jeho ročních dovozů).</t>
        </is>
      </c>
    </row>
    <row r="24">
      <c r="A24" t="inlineStr">
        <is>
          <t>Prohlášení o neruském původu oceli je k dispozici (viz výše) – vyhovuje čl. 3g(1)(d) nař. 833/2014.</t>
        </is>
      </c>
    </row>
    <row r="26">
      <c r="A26" s="5">
        <f>== ANTIDUMPING ===</f>
        <v/>
      </c>
    </row>
    <row r="27">
      <c r="A27" t="inlineStr">
        <is>
          <t>7318230000 (nýty – Sada pro upevnění těsnícího zařízení): AD nař. 2022/191 na spojovací materiál z CN pokrývá 7318 12/14/15/21/22 → 7318 23 NENÍ v rozsahu, AD clo se neuplatní.</t>
        </is>
      </c>
    </row>
    <row r="28">
      <c r="A28" t="inlineStr">
        <is>
          <t>7307990000 (Sestava vyrovnávacího kohoutu): na potrubní tvarovky z CN existuje AD clo (ex 7307 99 80, svařovací tvarovky, 58,6 %). Díl je montážní sestava (spigot assy), pravděpodobně MIMO rozsah – OVĚŘIT v TARIC při podání JSD.</t>
        </is>
      </c>
    </row>
    <row r="29">
      <c r="A29" t="inlineStr">
        <is>
          <t>Ostatní položky (kap. 84 – filtrační technika): žádná AD opatření známa.</t>
        </is>
      </c>
    </row>
    <row r="31">
      <c r="A31" s="5">
        <f>== POZNÁMKY / NESROVNALOSTI ===</f>
        <v/>
      </c>
    </row>
    <row r="32">
      <c r="A32" t="inlineStr">
        <is>
          <t>HBL uvádí „DE10386-1-7", ale dodávka DE10386-3 v master seznamu ani fakturách NEfiguruje (existují jen -1,-2,-4,-5,-6,-7). Součet faktury 30600162250 sedí na 6 položek → -3 zřejmě nebyla expedována. Nemá vliv na hodnoty.</t>
        </is>
      </c>
    </row>
    <row r="33">
      <c r="A33" t="inlineStr">
        <is>
          <t>Hmotnosti z jednotlivých packing listů souhlasí 1:1 s master seznamem; NW celkem 1 506,5 kg, GW 2 327,5 kg = HBL.</t>
        </is>
      </c>
    </row>
    <row r="34">
      <c r="A34" t="inlineStr">
        <is>
          <t>Měna faktur: CNY (žádná sleva na fakturách → žádné rozpočítávání).</t>
        </is>
      </c>
    </row>
    <row r="36">
      <c r="A36" s="5">
        <f>== HS KÓDY – ČÍNSKÉ vs. EU (aktualizace) ===</f>
        <v/>
      </c>
    </row>
    <row r="37">
      <c r="A37" t="inlineStr">
        <is>
          <t>Kódy na fakturách/master seznamu jsou ČÍNSKÉ exportní kódy („Orig Export HS"), ne EU TARIC.</t>
        </is>
      </c>
    </row>
    <row r="38">
      <c r="A38" t="inlineStr">
        <is>
          <t>Čínské 8421392990 (sběrače prachu) a 8421392290 (UMA jednotky) v EU nomenklatuře neexistují – EU má pro filtraci vzduchu jediný kód 8421 39 25 (TARIC 8421 39 25 90 – ostatní).</t>
        </is>
      </c>
    </row>
    <row r="39">
      <c r="A39" t="inlineStr">
        <is>
          <t>→ Obě skupiny sloučeny do jednoho řádku 8421392590: 25 ks, NW 1 420 kg, GW 2 160 kg, 216 500,61 CNY.</t>
        </is>
      </c>
    </row>
    <row r="40">
      <c r="A40" t="inlineStr">
        <is>
          <t>Zbývající kódy k ověření v TARIC: 8421199090 (EU členění 8421 19 je odlišné) a 8421999090 (EU 8421 99 90). 7318230000 má v EU přímý ekvivalent, 7307990000 → EU 7307 99 80.</t>
        </is>
      </c>
    </row>
    <row r="41">
      <c r="A41" t="inlineStr">
        <is>
          <t>HBL uvádí HS 842139 – konzistentní s hlavní položkou 8421 39 25 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2026-07-10T14:17:30Z</dcterms:created>
  <dcterms:modified xsi:type="dcterms:W3CDTF">2026-07-17T09:02:12Z</dcterms:modified>
</cp:coreProperties>
</file>