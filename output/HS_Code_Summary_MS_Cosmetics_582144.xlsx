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24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3" customWidth="1" min="10" max="10"/>
    <col width="12" customWidth="1" min="11" max="11"/>
    <col width="60" customWidth="1" min="12" max="12"/>
  </cols>
  <sheetData>
    <row r="1">
      <c r="A1" s="1" t="inlineStr">
        <is>
          <t>Odesílatel</t>
        </is>
      </c>
      <c r="B1" s="1" t="inlineStr">
        <is>
          <t>HS kód</t>
        </is>
      </c>
      <c r="C1" s="1" t="inlineStr">
        <is>
          <t>KN kód (8 míst)</t>
        </is>
      </c>
      <c r="D1" s="1" t="inlineStr">
        <is>
          <t>Popis zboží (CZ – dle klienta)</t>
        </is>
      </c>
      <c r="E1" s="1" t="inlineStr">
        <is>
          <t>Země původu (COO)</t>
        </is>
      </c>
      <c r="F1" s="1" t="inlineStr">
        <is>
          <t>Celkové množství (ks)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Hodnota USD – Total</t>
        </is>
      </c>
      <c r="J1" s="1" t="inlineStr">
        <is>
          <t>Incoterm</t>
        </is>
      </c>
      <c r="K1" s="1" t="inlineStr">
        <is>
          <t>Příznak</t>
        </is>
      </c>
      <c r="L1" s="1" t="inlineStr">
        <is>
          <t>TARIC / poznámka / CBAM / Antidumping</t>
        </is>
      </c>
    </row>
    <row r="2">
      <c r="A2" s="2" t="inlineStr">
        <is>
          <t>Shya Hsin Packaging Industry (China) Co., Ltd.</t>
        </is>
      </c>
      <c r="B2" s="2" t="inlineStr">
        <is>
          <t>392350</t>
        </is>
      </c>
      <c r="C2" s="3" t="inlineStr">
        <is>
          <t>3923 50 10 (dle T1) – OVĚŘIT</t>
        </is>
      </c>
      <c r="D2" s="2" t="inlineStr">
        <is>
          <t>plastové víčko</t>
        </is>
      </c>
      <c r="E2" s="2" t="inlineStr">
        <is>
          <t>CN</t>
        </is>
      </c>
      <c r="F2" s="4" t="n">
        <v>25000</v>
      </c>
      <c r="G2" s="5" t="n">
        <v>152.928</v>
      </c>
      <c r="H2" s="5" t="n">
        <v>239.96</v>
      </c>
      <c r="I2" s="6" t="n">
        <v>6500</v>
      </c>
      <c r="J2" s="2" t="inlineStr">
        <is>
          <t>DAP Toužim</t>
        </is>
      </c>
      <c r="K2" s="3" t="inlineStr">
        <is>
          <t>OVĚŘIT KN</t>
        </is>
      </c>
      <c r="L2" s="2" t="inlineStr">
        <is>
          <t>KN nesoulad: T1 uvádí 3923 50 10 (víčka a uzávěry pro LAHVE), email klienta „392350000“ (9 míst), faktura 3923.50.0000. Položka = víčko k „Sugar Lip Polish 10g“ (spíš kelímek/dóza než lahev) → zvážit 3923 50 90. CBAM: ne. Antidumping: ne. Melt &amp; pour: n/a (plast).</t>
        </is>
      </c>
    </row>
    <row r="3">
      <c r="A3" s="7" t="inlineStr">
        <is>
          <t>CELKEM</t>
        </is>
      </c>
      <c r="B3" s="7" t="n"/>
      <c r="C3" s="7" t="n"/>
      <c r="D3" s="7" t="n"/>
      <c r="E3" s="7" t="n"/>
      <c r="F3" s="8">
        <f>SUM(F2:F2)</f>
        <v/>
      </c>
      <c r="G3" s="9">
        <f>SUM(G2:G2)</f>
        <v/>
      </c>
      <c r="H3" s="9">
        <f>SUM(H2:H2)</f>
        <v/>
      </c>
      <c r="I3" s="10">
        <f>SUM(I2:I2)</f>
        <v/>
      </c>
      <c r="J3" s="7" t="n"/>
      <c r="K3" s="7" t="n"/>
      <c r="L3" s="7" t="n"/>
    </row>
    <row r="5">
      <c r="A5" s="11" t="inlineStr">
        <is>
          <t>Legenda:</t>
        </is>
      </c>
    </row>
    <row r="6">
      <c r="A6" s="11" t="inlineStr">
        <is>
          <t>🟠 OVĚŘIT KN</t>
        </is>
      </c>
      <c r="B6" t="inlineStr">
        <is>
          <t>Nesoulad KN kódu mezi doklady – potvrdit před podáním JSD</t>
        </is>
      </c>
    </row>
    <row r="7">
      <c r="A7" s="11" t="inlineStr">
        <is>
          <t>Hodnota</t>
        </is>
      </c>
      <c r="B7" t="inlineStr">
        <is>
          <t>Částka „Total in USD“ z faktury HKL-351-260700094 (25 000 ks × 0,26 USD). Sleva na faktuře není.</t>
        </is>
      </c>
    </row>
    <row r="8">
      <c r="A8" s="11" t="inlineStr">
        <is>
          <t>Hmotnosti</t>
        </is>
      </c>
      <c r="B8" t="inlineStr">
        <is>
          <t>NW 152,928 kg z packing listu; GW 239,96 kg = PL = B/L = T1 (pol. 1). 2 PLT / 27 CTNS.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1">
        <f>== ZÁSILKA ===</f>
        <v/>
      </c>
    </row>
    <row r="2">
      <c r="A2" t="inlineStr">
        <is>
          <t>Aviso 582144 | ref. YSGSFS260610713 | C00080994 | CZ26013907 (email S. Hampl, OR IMPORT)</t>
        </is>
      </c>
    </row>
    <row r="3">
      <c r="A3" t="inlineStr">
        <is>
          <t>B/L SSH126202553 (telex release, draft) – Shanghai → Prague, EVER ACME 1408013W, on board 17.7.2026, FREIGHT COLLECT</t>
        </is>
      </c>
    </row>
    <row r="4">
      <c r="A4" t="inlineStr">
        <is>
          <t>Kontejner UETU7881272 (40'HQ, CFS/CFS, LCL), PO# 60-058023</t>
        </is>
      </c>
    </row>
    <row r="5">
      <c r="A5" t="inlineStr">
        <is>
          <t>T1 MRN 26DE485197651500J2, položka 1 z 9 (PLASTIC CAP, 2 PK, 239,96 kg), odeslání DE004851 Hamburg → určení CZ521050, příjezd 21.9.2026</t>
        </is>
      </c>
    </row>
    <row r="6">
      <c r="A6" t="inlineStr">
        <is>
          <t>Faktura / PL: HKL-351-260700094 ze dne 6.7.2026</t>
        </is>
      </c>
    </row>
    <row r="7">
      <c r="A7" t="inlineStr"/>
    </row>
    <row r="8">
      <c r="A8" s="11">
        <f>== ODESÍLATEL / PŘÍJEMCE – NESOULAD, POTVRDIT ===</f>
        <v/>
      </c>
    </row>
    <row r="9">
      <c r="A9" t="inlineStr">
        <is>
          <t>Odesílatel: Shya Hsin Packaging Industry (China) Co., Ltd., No.139 Yujinxiang Road, Kunshan, Jiangsu 215300, CN</t>
        </is>
      </c>
    </row>
    <row r="10">
      <c r="A10" t="inlineStr">
        <is>
          <t>Faktura – Sold to: Fresh Corporation S.R.O., IČ 24238155, Široká 24/4, 110 00 Praha 1</t>
        </is>
      </c>
    </row>
    <row r="11">
      <c r="A11" t="inlineStr">
        <is>
          <t>Faktura – Deliver to: MS COSMETICS EUROPE, Na Dlouhém 86, 251 01 Říčany-Jažlovice</t>
        </is>
      </c>
    </row>
    <row r="12">
      <c r="A12" t="inlineStr">
        <is>
          <t>B/L – Consignee: MARVINPAC, Na Dlouhém 86, 251 01 Říčany-Jažlovice</t>
        </is>
      </c>
    </row>
    <row r="13">
      <c r="A13" t="inlineStr">
        <is>
          <t>T1 – Příjemce: Mikbaits s.r.o., Podlázky 150, Mladá Boleslav (sběrný příjemce za celou T1, 9 položek)</t>
        </is>
      </c>
    </row>
    <row r="14">
      <c r="A14" t="inlineStr">
        <is>
          <t>→ V emailu je „Má být procleno na:“ bez vyplnění. Na koho proclít, NENÍ uvedeno – potvrdit s S. Hamplem.</t>
        </is>
      </c>
    </row>
    <row r="15">
      <c r="A15" t="inlineStr"/>
    </row>
    <row r="16">
      <c r="A16" s="11">
        <f>== INCOTERM / CELNÍ HODNOTA ===</f>
        <v/>
      </c>
    </row>
    <row r="17">
      <c r="A17" t="inlineStr">
        <is>
          <t>Incoterm dle faktury: DAP Toužim („DAP-Touzim“). Pozor: místo dodání na faktuře/B/L je Říčany-Jažlovice, ne Toužim.</t>
        </is>
      </c>
    </row>
    <row r="18">
      <c r="A18" t="inlineStr">
        <is>
          <t>B/L uvádí FREIGHT COLLECT – v rozporu s DAP (u DAP platí dopravu prodávající). Ověřit, kdo platí námořní dopravné.</t>
        </is>
      </c>
    </row>
    <row r="19">
      <c r="A19" t="inlineStr">
        <is>
          <t>Tuzemský úsek dle emailu: 390 EUR – doprava po vstupu do EU se do celní hodnoty nezahrnuje (čl. 72 písm. a) UCC).</t>
        </is>
      </c>
    </row>
    <row r="20">
      <c r="A20" t="inlineStr">
        <is>
          <t>Pokud dopravné platí kupující (freight collect), je nutné k Total 6 500 USD přičíst dopravné do místa vstupu do EU (celkové dopravné − 390 EUR tuzemský úsek) – faktura za dopravné v podkladech není.</t>
        </is>
      </c>
    </row>
    <row r="21">
      <c r="A21" t="inlineStr"/>
    </row>
    <row r="22">
      <c r="A22" s="11">
        <f>== KN KÓD ===</f>
        <v/>
      </c>
    </row>
    <row r="23">
      <c r="A23" t="inlineStr">
        <is>
          <t>HS kód 392350 souhlasí na všech dokladech (email, faktura, B/L, T1) – nebyl odvozován (CCT/VPV KN tariff rule nepoužito).</t>
        </is>
      </c>
    </row>
    <row r="24">
      <c r="A24" t="inlineStr">
        <is>
          <t>Rozdíl na úrovni KN: T1 = 3923 50 10 (víčka a uzávěry pro lahve); email „392350000“ (9 míst, neúplné); faktura 3923.50.0000.</t>
        </is>
      </c>
    </row>
    <row r="25">
      <c r="A25" t="inlineStr">
        <is>
          <t>Zboží: CAP SUGAR LIP POLISH 10g GLB RENO – víčko ke kosmetickému obalu 10 g. Pokud jde o víčko k dóze/kelímku (ne lahvi) → 3923 50 90.</t>
        </is>
      </c>
    </row>
    <row r="26">
      <c r="A26" t="inlineStr">
        <is>
          <t>→ Potvrdit typ obalu s klientem; při nejistotě konzultovat tarifní oddělení (customs.tariff@mauriceward.com).</t>
        </is>
      </c>
    </row>
    <row r="27">
      <c r="A27" t="inlineStr"/>
    </row>
    <row r="28">
      <c r="A28" s="11">
        <f>== PŮVOD / PREFERENCE ===</f>
        <v/>
      </c>
    </row>
    <row r="29">
      <c r="A29" t="inlineStr">
        <is>
          <t>COO: Čína (faktura). Preferenční věta: NENÍ. REX číslo: NENÍ na faktuře. → Uplatní se smluvní (třetizemní) clo.</t>
        </is>
      </c>
    </row>
    <row r="30">
      <c r="A30" t="inlineStr"/>
    </row>
    <row r="31">
      <c r="A31" s="11">
        <f>== CBAM / ANTIDUMPING / MELT &amp; POUR ===</f>
        <v/>
      </c>
    </row>
    <row r="32">
      <c r="A32" t="inlineStr">
        <is>
          <t>CBAM: 3923 není CBAM zboží – nevztahuje se. (Fresh Corporation / MS Cosmetics / Marvinpac v CBAM_receivers_CZ.xlsx nejsou.)</t>
        </is>
      </c>
    </row>
    <row r="33">
      <c r="A33" t="inlineStr">
        <is>
          <t>Antidumping: na 3923 50 z CN nezjištěno.</t>
        </is>
      </c>
    </row>
    <row r="34">
      <c r="A34" t="inlineStr">
        <is>
          <t>Melt and pour: nevztahuje se (plast, ne ocel/železo).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2026-10-09T11:44:24Z</dcterms:created>
  <dcterms:modified xmlns:dcterms="http://purl.org/dc/terms/" xmlns:xsi="http://www.w3.org/2001/XMLSchema-instance" xsi:type="dcterms:W3CDTF">2026-10-09T11:44:24Z</dcterms:modified>
</cp:coreProperties>
</file>