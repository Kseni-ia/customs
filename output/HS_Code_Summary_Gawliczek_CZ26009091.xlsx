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46" customWidth="1" min="3" max="3"/>
    <col width="10" customWidth="1" min="4" max="4"/>
    <col width="12" customWidth="1" min="5" max="5"/>
    <col width="13" customWidth="1" min="6" max="6"/>
    <col width="13" customWidth="1" min="7" max="7"/>
    <col width="12" customWidth="1" min="8" max="8"/>
    <col width="10" customWidth="1" min="9" max="9"/>
    <col width="42" customWidth="1" min="10" max="10"/>
  </cols>
  <sheetData>
    <row r="1">
      <c r="A1" s="1" t="inlineStr">
        <is>
          <t>Odesílatel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Celkové 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Hodnota (USD)</t>
        </is>
      </c>
      <c r="I1" s="1" t="inlineStr">
        <is>
          <t>Příznak</t>
        </is>
      </c>
      <c r="J1" s="1" t="inlineStr">
        <is>
          <t>Poznámka / CBAM / Antidumping</t>
        </is>
      </c>
    </row>
    <row r="2">
      <c r="A2" s="2" t="inlineStr">
        <is>
          <t>Foshan So-Tech Hardware Manufacturing Co., Ltd (prodejce Aini (HK) International Ltd)</t>
        </is>
      </c>
      <c r="B2" s="2" t="inlineStr">
        <is>
          <t>8419 19 00</t>
        </is>
      </c>
      <c r="C2" s="2" t="inlineStr">
        <is>
          <t>Bojlery – zásobníkové ohřívače vody (80 l + 300 l)</t>
        </is>
      </c>
      <c r="D2" s="2" t="inlineStr">
        <is>
          <t>CN</t>
        </is>
      </c>
      <c r="E2" s="2" t="n">
        <v>71</v>
      </c>
      <c r="F2" s="3" t="n">
        <v>3448.3</v>
      </c>
      <c r="G2" s="3" t="n">
        <v>3740.4</v>
      </c>
      <c r="H2" s="3" t="n">
        <v>19464</v>
      </c>
      <c r="I2" s="2" t="inlineStr"/>
      <c r="J2" s="2" t="inlineStr"/>
    </row>
    <row r="3">
      <c r="A3" s="2" t="inlineStr">
        <is>
          <t>Foshan So-Tech Hardware Manufacturing Co., Ltd (prodejce Aini (HK) International Ltd)</t>
        </is>
      </c>
      <c r="B3" s="2" t="inlineStr">
        <is>
          <t>8516 80 80</t>
        </is>
      </c>
      <c r="C3" s="2" t="inlineStr">
        <is>
          <t>Elektrické topné spirály (3 kW)</t>
        </is>
      </c>
      <c r="D3" s="2" t="inlineStr">
        <is>
          <t>CN</t>
        </is>
      </c>
      <c r="E3" s="2" t="n">
        <v>30</v>
      </c>
      <c r="F3" s="3" t="n">
        <v>14</v>
      </c>
      <c r="G3" s="3" t="n">
        <v>14.5</v>
      </c>
      <c r="H3" s="3" t="n">
        <v>30</v>
      </c>
      <c r="I3" s="2" t="inlineStr"/>
      <c r="J3" s="2" t="inlineStr"/>
    </row>
    <row r="4">
      <c r="A4" s="4" t="inlineStr">
        <is>
          <t>Foshan So-Tech Hardware Manufacturing Co., Ltd (prodejce Aini (HK) International Ltd)</t>
        </is>
      </c>
      <c r="B4" s="4" t="inlineStr">
        <is>
          <t>7326 90 98</t>
        </is>
      </c>
      <c r="C4" s="4" t="inlineStr">
        <is>
          <t>Nástěnné držáky (ocel)</t>
        </is>
      </c>
      <c r="D4" s="4" t="inlineStr">
        <is>
          <t>CN</t>
        </is>
      </c>
      <c r="E4" s="4" t="n">
        <v>82</v>
      </c>
      <c r="F4" s="5" t="n">
        <v>18.5</v>
      </c>
      <c r="G4" s="5" t="n">
        <v>19.1</v>
      </c>
      <c r="H4" s="5" t="n">
        <v>65.59999999999999</v>
      </c>
      <c r="I4" s="4" t="inlineStr">
        <is>
          <t>CBAM</t>
        </is>
      </c>
      <c r="J4" s="4" t="inlineStr">
        <is>
          <t>CBAM zboží (železo/ocel). Uplatnit kód Y137 (výjimka de minimis) – NW 18,5 kg, hluboko pod limitem 50 t/rok.</t>
        </is>
      </c>
    </row>
    <row r="5">
      <c r="A5" s="2" t="inlineStr">
        <is>
          <t>Guangdong Warmhouse Technology Co., Ltd</t>
        </is>
      </c>
      <c r="B5" s="2" t="inlineStr">
        <is>
          <t>8418 61 00</t>
        </is>
      </c>
      <c r="C5" s="2" t="inlineStr">
        <is>
          <t>Tepelná čerpadla vzduch-voda (HM-M0-A2 18 ks, HM-M1S-A2 24 ks, HM-M2S-A2 4 ks) + náhradní díly 71 ks; chladivo R290</t>
        </is>
      </c>
      <c r="D5" s="2" t="inlineStr">
        <is>
          <t>CN</t>
        </is>
      </c>
      <c r="E5" s="2" t="n">
        <v>117</v>
      </c>
      <c r="F5" s="3" t="n">
        <v>5520.8</v>
      </c>
      <c r="G5" s="3" t="n">
        <v>7306</v>
      </c>
      <c r="H5" s="3" t="n">
        <v>68983.46000000001</v>
      </c>
      <c r="I5" s="2" t="inlineStr"/>
      <c r="J5" s="2" t="inlineStr"/>
    </row>
    <row r="6">
      <c r="A6" s="6" t="inlineStr">
        <is>
          <t>CELKEM (zboží)</t>
        </is>
      </c>
      <c r="B6" s="6" t="inlineStr"/>
      <c r="C6" s="6" t="inlineStr"/>
      <c r="D6" s="6" t="inlineStr"/>
      <c r="E6" s="6" t="n">
        <v>300</v>
      </c>
      <c r="F6" s="7" t="n">
        <v>9001.6</v>
      </c>
      <c r="G6" s="7" t="n">
        <v>11080</v>
      </c>
      <c r="H6" s="7" t="n">
        <v>88543.06</v>
      </c>
      <c r="I6" s="6" t="inlineStr"/>
      <c r="J6" s="6" t="inlineStr"/>
    </row>
    <row r="7">
      <c r="A7" s="8" t="inlineStr"/>
      <c r="B7" s="8" t="inlineStr"/>
      <c r="C7" s="8" t="inlineStr">
        <is>
          <t>FOB local charge (není zboží – mimo HS kódy)</t>
        </is>
      </c>
      <c r="D7" s="8" t="inlineStr"/>
      <c r="E7" s="8" t="inlineStr"/>
      <c r="F7" s="8" t="inlineStr"/>
      <c r="G7" s="8" t="inlineStr"/>
      <c r="H7" s="9" t="n">
        <v>1260</v>
      </c>
      <c r="I7" s="8" t="inlineStr"/>
      <c r="J7" s="8" t="inlineStr">
        <is>
          <t>Foshan/Aini 680 + Warmhouse 580 USD</t>
        </is>
      </c>
    </row>
    <row r="8">
      <c r="A8" s="10" t="inlineStr"/>
      <c r="B8" s="10" t="inlineStr"/>
      <c r="C8" s="10" t="inlineStr">
        <is>
          <t>CELKEM faktura (zboží + FOB local charge)</t>
        </is>
      </c>
      <c r="D8" s="10" t="inlineStr"/>
      <c r="E8" s="10" t="inlineStr"/>
      <c r="F8" s="10" t="inlineStr"/>
      <c r="G8" s="10" t="inlineStr"/>
      <c r="H8" s="11" t="n">
        <v>89803.06</v>
      </c>
      <c r="I8" s="10" t="inlineStr"/>
      <c r="J8" s="10">
        <f> HODNOTA FAKTURY v celní instrukci (89 803,06 USD)</f>
        <v/>
      </c>
    </row>
    <row r="10">
      <c r="A10" s="12" t="inlineStr">
        <is>
          <t>Legenda:</t>
        </is>
      </c>
    </row>
    <row r="11">
      <c r="A11" t="inlineStr">
        <is>
          <t>🟡 CBAM – zboží podléhá CBAM (železo/ocel/hliník); uvést kód Y137 (de minimis) v JSD.</t>
        </is>
      </c>
    </row>
    <row r="12">
      <c r="A12" t="inlineStr">
        <is>
          <t>🔴 Antidumping – v této zásilce se nevyskytuje.</t>
        </is>
      </c>
    </row>
    <row r="13">
      <c r="A13" t="inlineStr">
        <is>
          <t>Incoterm: FOB Shenzhen (nakládka Yantian), přeprava FREIGHT COLLECT – pro celní hodnotu připočíst přepravu do hranice EU. (Incoterm sloupec dle instrukcí NEuveden.)</t>
        </is>
      </c>
    </row>
    <row r="14">
      <c r="A14" t="inlineStr">
        <is>
          <t>Sazební zařazení: čeká na potvrzení tarifního oddělení (Veronika).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ZÁSILKA: Gawliczek s.r.o. / ref. CZ26009091 – 1× 40'HQ kontejner TIIU7736488 (dvě části jednoho kontejneru).</t>
        </is>
      </c>
    </row>
    <row r="2">
      <c r="A2" s="13" t="inlineStr">
        <is>
          <t>Odesílatelé: (1) Foshan So-Tech Hardware Manufacturing Co., Ltd – bojlery, prodejce Aini (HK) International Ltd, HBL DK26061055-A; (2) Guangdong Warmhouse Technology Co., Ltd – tepelná čerpadla, HBL DK26061055-B.</t>
        </is>
      </c>
    </row>
    <row r="3">
      <c r="A3" s="13" t="inlineStr">
        <is>
          <t>Příjemce: GAWLICZEK s.r.o., Na Sedláčích 147, 739 34 Šenov. Vyclívá Maurice Ward &amp; Co., s.r.o. JSD (vyclení do volného oběhu), přes Českou Třebovou.</t>
        </is>
      </c>
    </row>
    <row r="4">
      <c r="A4" s="13" t="inlineStr">
        <is>
          <t>Trasa: Yantian, CN → Hamburg, DE → Šenov, CZ. SHIPPED ON BOARD 19.6.2026. FREIGHT COLLECT.</t>
        </is>
      </c>
    </row>
    <row r="5">
      <c r="A5" s="13" t="inlineStr"/>
    </row>
    <row r="6">
      <c r="A6" s="13" t="inlineStr">
        <is>
          <t>PREFERENČNÍ VĚTA: v dokladech NENÍ. Původ zboží: Čína → standardní clo třetí země (erga omnes). Preferenční sazba se neuplatní.</t>
        </is>
      </c>
    </row>
    <row r="7">
      <c r="A7" s="13" t="inlineStr"/>
    </row>
    <row r="8">
      <c r="A8" s="13" t="inlineStr">
        <is>
          <t>CHLADIVO (tepelná čerpadla 8418 61 00): R290 – potvrzeno D. Procházkou (Maurice Ward) dle obchodní korespondence s klientem z 5.6.2026. R290 = propan = NEfluorovaný plyn → F-plyn kvóta/prohlášení se k odbavení NEŘEŠÍ. (Pozn.: R290 je hořlavé chladivo – DG v přepravě řeší dopravce, nikoli JSD.)</t>
        </is>
      </c>
    </row>
    <row r="9">
      <c r="A9" s="13" t="inlineStr"/>
    </row>
    <row r="10">
      <c r="A10" s="13" t="inlineStr">
        <is>
          <t>CBAM: dotčené zboží 7326 90 98 (ocel), NW cca 18,5 kg. Uplatnit kód Y137 (výjimka de minimis) v JSD – hluboko pod limitem.</t>
        </is>
      </c>
    </row>
    <row r="11">
      <c r="A11" s="13" t="inlineStr"/>
    </row>
    <row r="12">
      <c r="A12" s="13" t="inlineStr">
        <is>
          <t>FOB LOCAL CHARGE: Foshan/Aini 680 USD + Warmhouse 580 USD = 1 260 USD. Není zboží – vedeno mimo HS kódy.</t>
        </is>
      </c>
    </row>
    <row r="13">
      <c r="A13" s="13" t="inlineStr"/>
    </row>
    <row r="14">
      <c r="A14" s="13" t="inlineStr">
        <is>
          <t>KONTROLA HODNOT: zboží 88 543,06 USD + FOB local 1 260,00 = 89 803,06 USD → odpovídá HODNOTĚ FAKTURY v celní instrukci.</t>
        </is>
      </c>
    </row>
    <row r="15">
      <c r="A15" s="13" t="inlineStr">
        <is>
          <t>KONTROLA HMOTNOSTÍ: NW 9 001,60 kg; GW 11 080,00 kg (= HBL-A 3 774 + HBL-B 7 306) – souhlasí s balicími listy i konosamenty.</t>
        </is>
      </c>
    </row>
    <row r="16">
      <c r="A16" s="13" t="inlineStr">
        <is>
          <t>SLEVA: na fakturách se nevyskytuje žádná obchodní sleva – hodnota po slevě = hodnota před slevou.</t>
        </is>
      </c>
    </row>
    <row r="17">
      <c r="A17" s="13" t="inlineStr"/>
    </row>
    <row r="18">
      <c r="A18" s="13" t="inlineStr">
        <is>
          <t>Číslo faktury: WMHP2026041516 (v celní instrukci uveden překlep 'WHMP2026041516').</t>
        </is>
      </c>
    </row>
    <row r="19">
      <c r="A19" s="13" t="inlineStr">
        <is>
          <t>OTEVŘENO: čeká se na potvrzení sazebního zařazení tarifním oddělením (Veronika); MRN + dopravné dodá Maurice Ward.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2026-07-10T08:39:17Z</dcterms:created>
  <dcterms:modified xsi:type="dcterms:W3CDTF">2026-07-10T08:39:17Z</dcterms:modified>
</cp:coreProperties>
</file>