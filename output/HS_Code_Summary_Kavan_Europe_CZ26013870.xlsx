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etail řádků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USD&quot;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48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3" customWidth="1" min="9" max="9"/>
    <col width="8" customWidth="1" min="10" max="10"/>
    <col width="12" customWidth="1" min="11" max="11"/>
    <col width="55" customWidth="1" min="12" max="12"/>
  </cols>
  <sheetData>
    <row r="1">
      <c r="A1" s="1" t="inlineStr">
        <is>
          <t>Zásilka: KAVAN EUROPE / JBA20260827008 / CZ26013870 — kontejner MRKU7682307, B/L DK26090642CNYTNBHNFD</t>
        </is>
      </c>
    </row>
    <row r="2">
      <c r="A2" t="inlineStr">
        <is>
          <t>Příjemce: Kavan Europe s.r.o., Doubravice 110, 533 53 Pardubice   |   Incoterm: FOB Yantian   |   Měna: USD</t>
        </is>
      </c>
    </row>
    <row r="4">
      <c r="A4" s="2" t="inlineStr">
        <is>
          <t>Odesílatel</t>
        </is>
      </c>
      <c r="B4" s="2" t="inlineStr">
        <is>
          <t>HS kód</t>
        </is>
      </c>
      <c r="C4" s="2" t="inlineStr">
        <is>
          <t>Popis zboží (CZ – od klienta)</t>
        </is>
      </c>
      <c r="D4" s="2" t="inlineStr">
        <is>
          <t>Země původu (COO)</t>
        </is>
      </c>
      <c r="E4" s="2" t="inlineStr">
        <is>
          <t>Celkové množství (ks)</t>
        </is>
      </c>
      <c r="F4" s="2" t="inlineStr">
        <is>
          <t>Čistá hmotnost (kg)</t>
        </is>
      </c>
      <c r="G4" s="2" t="inlineStr">
        <is>
          <t>Hrubá hmotnost (kg)</t>
        </is>
      </c>
      <c r="H4" s="2" t="inlineStr">
        <is>
          <t>Hodnota USD – Total (faktura)</t>
        </is>
      </c>
      <c r="I4" s="2" t="inlineStr">
        <is>
          <t>Incoterm</t>
        </is>
      </c>
      <c r="J4" s="2" t="inlineStr">
        <is>
          <t>CBAM</t>
        </is>
      </c>
      <c r="K4" s="2" t="inlineStr">
        <is>
          <t>Antidumping</t>
        </is>
      </c>
      <c r="L4" s="2" t="inlineStr">
        <is>
          <t>Poznámka</t>
        </is>
      </c>
    </row>
    <row r="5">
      <c r="A5" s="3" t="inlineStr">
        <is>
          <t>HIGH SPEED HOBBY CO.,LTD (Hong Kong)</t>
        </is>
      </c>
      <c r="B5" s="3" t="inlineStr">
        <is>
          <t>9503007590</t>
        </is>
      </c>
      <c r="C5" s="3" t="inlineStr">
        <is>
          <t>Stavebnice modelů aut s vestavěným motorem z plastu a jejich části a součásti,náhradní karoserie,kola,pneu,díly řízení.</t>
        </is>
      </c>
      <c r="D5" s="3" t="inlineStr">
        <is>
          <t>CN</t>
        </is>
      </c>
      <c r="E5" s="4" t="n">
        <v>1103</v>
      </c>
      <c r="F5" s="5" t="n">
        <v>2187.8</v>
      </c>
      <c r="G5" s="5" t="n">
        <v>2541.6</v>
      </c>
      <c r="H5" s="6" t="n">
        <v>94509.85000000001</v>
      </c>
      <c r="I5" s="3" t="inlineStr">
        <is>
          <t>FOB Yantian</t>
        </is>
      </c>
      <c r="J5" s="3" t="inlineStr">
        <is>
          <t>Ne</t>
        </is>
      </c>
      <c r="K5" s="3" t="inlineStr">
        <is>
          <t>Ne</t>
        </is>
      </c>
      <c r="L5" s="3" t="inlineStr">
        <is>
          <t>Faktura uvádí HS 950300 u obou řádků (modely + náhradní díly); TARIC 9503007590 dle klienta. Množství: 673 ks modelů + 430 ks náhradních dílů (PL uvádí jen 593 ks modelů – viz poznámky).</t>
        </is>
      </c>
    </row>
    <row r="6">
      <c r="A6" s="7" t="inlineStr">
        <is>
          <t>CELKEM</t>
        </is>
      </c>
      <c r="B6" s="7" t="n"/>
      <c r="C6" s="7" t="n"/>
      <c r="D6" s="7" t="n"/>
      <c r="E6" s="8">
        <f>SUM(E5:E5)</f>
        <v/>
      </c>
      <c r="F6" s="9">
        <f>SUM(F5:F5)</f>
        <v/>
      </c>
      <c r="G6" s="9">
        <f>SUM(G5:G5)</f>
        <v/>
      </c>
      <c r="H6" s="10">
        <f>SUM(H5:H5)</f>
        <v/>
      </c>
      <c r="I6" s="7" t="n"/>
      <c r="J6" s="7" t="n"/>
      <c r="K6" s="7" t="n"/>
      <c r="L6" s="7" t="n"/>
    </row>
    <row r="8">
      <c r="A8" s="11" t="inlineStr">
        <is>
          <t>Zdroje:</t>
        </is>
      </c>
      <c r="B8" t="inlineStr">
        <is>
          <t>Faktura HSH (P/I SJK130-703LOT1, 4.8.2026) – hodnota TOTAL a množství; Packing list HSH (PI SJK130-703, 21.9.2026) – NW/GW; B/L DK Sailing – celkem 400 ctns / 2 541,60 kg / 27,642 CBM.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14" customWidth="1" min="4" max="4"/>
    <col width="12" customWidth="1" min="5" max="5"/>
    <col width="9" customWidth="1" min="6" max="6"/>
    <col width="12" customWidth="1" min="7" max="7"/>
    <col width="12" customWidth="1" min="8" max="8"/>
    <col width="8" customWidth="1" min="9" max="9"/>
    <col width="11" customWidth="1" min="10" max="10"/>
    <col width="13" customWidth="1" min="11" max="11"/>
  </cols>
  <sheetData>
    <row r="1">
      <c r="A1" s="2" t="inlineStr">
        <is>
          <t>Odesílatel</t>
        </is>
      </c>
      <c r="B1" s="2" t="inlineStr">
        <is>
          <t>HS kód (faktura)</t>
        </is>
      </c>
      <c r="C1" s="2" t="inlineStr">
        <is>
          <t>Popis (faktura, EN)</t>
        </is>
      </c>
      <c r="D1" s="2" t="inlineStr">
        <is>
          <t>Množství (ks) – faktura</t>
        </is>
      </c>
      <c r="E1" s="2" t="inlineStr">
        <is>
          <t>Množství (ks) – PL</t>
        </is>
      </c>
      <c r="F1" s="2" t="inlineStr">
        <is>
          <t>Kartony</t>
        </is>
      </c>
      <c r="G1" s="2" t="inlineStr">
        <is>
          <t>Čistá hmotnost (kg)</t>
        </is>
      </c>
      <c r="H1" s="2" t="inlineStr">
        <is>
          <t>Hrubá hmotnost (kg)</t>
        </is>
      </c>
      <c r="I1" s="2" t="inlineStr">
        <is>
          <t>CBM</t>
        </is>
      </c>
      <c r="J1" s="2" t="inlineStr">
        <is>
          <t>Jedn. cena USD</t>
        </is>
      </c>
      <c r="K1" s="2" t="inlineStr">
        <is>
          <t>Částka USD</t>
        </is>
      </c>
    </row>
    <row r="2">
      <c r="A2" s="12" t="inlineStr">
        <is>
          <t>HIGH SPEED HOBBY CO.,LTD (Hong Kong)</t>
        </is>
      </c>
      <c r="B2" s="12" t="inlineStr">
        <is>
          <t>950300</t>
        </is>
      </c>
      <c r="C2" s="12" t="inlineStr">
        <is>
          <t>Model cars</t>
        </is>
      </c>
      <c r="D2" s="12" t="n">
        <v>673</v>
      </c>
      <c r="E2" s="13" t="n">
        <v>593</v>
      </c>
      <c r="F2" s="12" t="n">
        <v>385</v>
      </c>
      <c r="G2" s="14" t="n">
        <v>2021.8</v>
      </c>
      <c r="H2" s="14" t="n">
        <v>2355.3</v>
      </c>
      <c r="I2" s="15" t="n">
        <v>25.126</v>
      </c>
      <c r="J2" s="12" t="n">
        <v>134.35</v>
      </c>
      <c r="K2" s="14" t="n">
        <v>90418.44</v>
      </c>
    </row>
    <row r="3">
      <c r="A3" s="12" t="inlineStr">
        <is>
          <t>HIGH SPEED HOBBY CO.,LTD (Hong Kong)</t>
        </is>
      </c>
      <c r="B3" s="12" t="inlineStr">
        <is>
          <t>950300</t>
        </is>
      </c>
      <c r="C3" s="12" t="inlineStr">
        <is>
          <t>Spare parts for model car</t>
        </is>
      </c>
      <c r="D3" s="12" t="n">
        <v>430</v>
      </c>
      <c r="E3" s="12" t="inlineStr">
        <is>
          <t>neuvedeno</t>
        </is>
      </c>
      <c r="F3" s="12" t="n">
        <v>15</v>
      </c>
      <c r="G3" s="14" t="n">
        <v>166</v>
      </c>
      <c r="H3" s="14" t="n">
        <v>186.3</v>
      </c>
      <c r="I3" s="15" t="n">
        <v>2.516</v>
      </c>
      <c r="J3" s="12" t="n">
        <v>9.51</v>
      </c>
      <c r="K3" s="14" t="n">
        <v>4091.41</v>
      </c>
    </row>
    <row r="4">
      <c r="A4" s="16" t="inlineStr">
        <is>
          <t>CELKEM</t>
        </is>
      </c>
      <c r="B4" s="16" t="n"/>
      <c r="C4" s="16" t="n"/>
      <c r="D4" s="16">
        <f>SUM(D2:D3)</f>
        <v/>
      </c>
      <c r="E4" s="16" t="n"/>
      <c r="F4" s="16">
        <f>SUM(F2:F3)</f>
        <v/>
      </c>
      <c r="G4" s="17">
        <f>SUM(G2:G3)</f>
        <v/>
      </c>
      <c r="H4" s="17">
        <f>SUM(H2:H3)</f>
        <v/>
      </c>
      <c r="I4" s="18">
        <f>SUM(I2:I3)</f>
        <v/>
      </c>
      <c r="J4" s="16" t="n"/>
      <c r="K4" s="17">
        <f>SUM(K2:K3)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>
        <f>== ZÁSILKA ===</f>
        <v/>
      </c>
    </row>
    <row r="2">
      <c r="A2" t="inlineStr">
        <is>
          <t>Požadavek: vyclení do volného oběhu (Lukas Jirkovsky, e-mail 'OR / KAVAN EUROPE / JBA20260827008 / CZ26013870').</t>
        </is>
      </c>
    </row>
    <row r="3">
      <c r="A3" t="inlineStr">
        <is>
          <t>ETA Bremerhaven: 7.11.2026. JSD přes Uhříněves (Metrans). Dopravu klient pošle s MRN.</t>
        </is>
      </c>
    </row>
    <row r="4">
      <c r="A4" t="inlineStr">
        <is>
          <t>Plavidlo HAMBURG EXPRESS / 638W, Yantian → Bremerhaven, 1x20'GP MRKU7682307, plomba CN0860757, naloženo 1.10.2026.</t>
        </is>
      </c>
    </row>
    <row r="5">
      <c r="A5" t="inlineStr">
        <is>
          <t>B/L DK26090642CNYTNBHNFD (DK Sailing China), FREIGHT COLLECT, počet originálů B/L: ZERO(0).</t>
        </is>
      </c>
    </row>
    <row r="6">
      <c r="A6" t="inlineStr"/>
    </row>
    <row r="7">
      <c r="A7" s="11">
        <f>== INCOTERM ===</f>
        <v/>
      </c>
    </row>
    <row r="8">
      <c r="A8" t="inlineStr">
        <is>
          <t>FOB Yantian (faktura, pole TERMS). Záhlaví jedn. ceny uvádí 'FOB SHENZHEN' – Yantian je přístav Shenzhenu, bez rozporu.</t>
        </is>
      </c>
    </row>
    <row r="9">
      <c r="A9" t="inlineStr">
        <is>
          <t>FOB + FREIGHT COLLECT → do celní hodnoty nutno přičíst náklady na dopravu a pojištění do místa vstupu do EU (Bremerhaven). Vyžádat fakturu za námořní dopravu.</t>
        </is>
      </c>
    </row>
    <row r="10">
      <c r="A10" t="inlineStr"/>
    </row>
    <row r="11">
      <c r="A11" s="11">
        <f>== HODNOTA ===</f>
        <v/>
      </c>
    </row>
    <row r="12">
      <c r="A12" t="inlineStr">
        <is>
          <t>TOTAL dle faktury: 94 509,85 USD (90 418,44 + 4 091,41). Bez slevy – proporcionální sleva se neuplatňuje.</t>
        </is>
      </c>
    </row>
    <row r="13">
      <c r="A13" t="inlineStr"/>
    </row>
    <row r="14">
      <c r="A14" s="11">
        <f>== ODESÍLATEL ===</f>
        <v/>
      </c>
    </row>
    <row r="15">
      <c r="A15" t="inlineStr">
        <is>
          <t>Fakturující prodávající: HIGH SPEED HOBBY CO.,LTD, Lippo Centre, Hong Kong.</t>
        </is>
      </c>
    </row>
    <row r="16">
      <c r="A16" t="inlineStr">
        <is>
          <t>Shipper na B/L: DONG GUANG RUI QING HOBBY TECHNOLOGY CO.,LTD, Dongguan, Čína (výrobce/odesílatel). Jedna zásilka, jeden HS kód → jeden řádek.</t>
        </is>
      </c>
    </row>
    <row r="17">
      <c r="A17" t="inlineStr"/>
    </row>
    <row r="18">
      <c r="A18" s="11">
        <f>== ZEMĚ PŮVODU / PREFERENCE ===</f>
        <v/>
      </c>
    </row>
    <row r="19">
      <c r="A19" t="inlineStr">
        <is>
          <t>Origin dle faktury: CHINA.</t>
        </is>
      </c>
    </row>
    <row r="20">
      <c r="A20" t="inlineStr">
        <is>
          <t>Preferenční věta: NENÍ v dokladech (faktura, PL, B/L). EU nemá s Čínou preferenční dohodu → platí smluvní (třetizemské) clo.</t>
        </is>
      </c>
    </row>
    <row r="21">
      <c r="A21" t="inlineStr">
        <is>
          <t>REX číslo: NENÍ na faktuře ani v jiných dokladech.</t>
        </is>
      </c>
    </row>
    <row r="22">
      <c r="A22" t="inlineStr"/>
    </row>
    <row r="23">
      <c r="A23" s="11">
        <f>== CBAM / ANTIDUMPING / MELT AND POUR ===</f>
        <v/>
      </c>
    </row>
    <row r="24">
      <c r="A24" t="inlineStr">
        <is>
          <t>CBAM: HS 9503 nepodléhá CBAM → lookup příjemce není potřeba (Kavan Europe s.r.o. pro informaci NENÍ v CBAM_receivers_CZ.xlsx).</t>
        </is>
      </c>
    </row>
    <row r="25">
      <c r="A25" t="inlineStr">
        <is>
          <t>Antidumping: na 9503 z Číny se neuplatňuje (ověřit v TARIC při podání).</t>
        </is>
      </c>
    </row>
    <row r="26">
      <c r="A26" t="inlineStr">
        <is>
          <t>Melt and pour: nejde o zboží ze železa/oceli → netýká se.</t>
        </is>
      </c>
    </row>
    <row r="27">
      <c r="A27" t="inlineStr"/>
    </row>
    <row r="28">
      <c r="A28" s="11">
        <f>== ROZPORY K OVĚŘENÍ ===</f>
        <v/>
      </c>
    </row>
    <row r="29">
      <c r="A29" t="inlineStr">
        <is>
          <t>1) Množství modelů: faktura 673 ks × PL 593 ks (rozdíl 80 ks). Hmotnosti a počet kartonů (400) PL a B/L se shodují.</t>
        </is>
      </c>
    </row>
    <row r="30">
      <c r="A30" t="inlineStr">
        <is>
          <t>2) Náhradní díly: faktura 430 ks, PL množství v ks neuvádí (jen 15 ctns).</t>
        </is>
      </c>
    </row>
    <row r="31">
      <c r="A31" t="inlineStr">
        <is>
          <t>3) Místo dodání na B/L: MELNIK, CZ × e-mail: JSD přes Uhříněves (Metrans).</t>
        </is>
      </c>
    </row>
    <row r="32">
      <c r="A32" t="inlineStr">
        <is>
          <t>4) Číslo P/I: faktura SJK130-703LOT1 × PL SJK130-703.</t>
        </is>
      </c>
    </row>
    <row r="33">
      <c r="A33" t="inlineStr">
        <is>
          <t>5) Klientův popis zní 'Stavebnice modelů aut…' – TARIC 9503 00 75 (hračky a modely s motorem, z plastů) odpovídá hotovým RC modelům s motorem; HS kód převzat od klienta.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2026-10-23T08:28:40Z</dcterms:created>
  <dcterms:modified xmlns:dcterms="http://purl.org/dc/terms/" xmlns:xsi="http://www.w3.org/2001/XMLSchema-instance" xsi:type="dcterms:W3CDTF">2026-10-23T08:28:40Z</dcterms:modified>
</cp:coreProperties>
</file>