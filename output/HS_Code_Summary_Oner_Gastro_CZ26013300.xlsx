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42" customWidth="1" min="3" max="3"/>
    <col width="16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1" customWidth="1" min="10" max="10"/>
    <col width="14" customWidth="1" min="11" max="11"/>
    <col width="70" customWidth="1" min="12" max="12"/>
  </cols>
  <sheetData>
    <row r="1">
      <c r="A1" s="1" t="inlineStr">
        <is>
          <t>HS Code Summary – Öner gastro s.r.o. – zásilka CZ26013300 (klient ref. KLI20260825006)</t>
        </is>
      </c>
    </row>
    <row r="2">
      <c r="A2" s="2" t="inlineStr">
        <is>
          <t>Incoterm: FOB Shanghai (faktura: „FOB price“, port of shipment Shanghai; B/L: freight collect)</t>
        </is>
      </c>
    </row>
    <row r="3">
      <c r="A3" t="inlineStr">
        <is>
          <t>Faktura SL26107 z 17.9.2026, měna USD | B/L DK26090363CNSHACZMNKFD (MBL 802572517) | AL DAHNA EXPRESS/637W | MRSU9368073 40HQ | ETA Bremerhaven 2.11.2026 → JSD (tranzit) přes Maersk Mělník → VO</t>
        </is>
      </c>
    </row>
    <row r="5">
      <c r="A5" s="3" t="inlineStr">
        <is>
          <t>Odesílatel</t>
        </is>
      </c>
      <c r="B5" s="3" t="inlineStr">
        <is>
          <t>HS kód</t>
        </is>
      </c>
      <c r="C5" s="3" t="inlineStr">
        <is>
          <t>Popis zboží</t>
        </is>
      </c>
      <c r="D5" s="3" t="inlineStr">
        <is>
          <t>Země původu (COO)</t>
        </is>
      </c>
      <c r="E5" s="3" t="inlineStr">
        <is>
          <t>Množství (CTN)</t>
        </is>
      </c>
      <c r="F5" s="3" t="inlineStr">
        <is>
          <t>Množství (ks)</t>
        </is>
      </c>
      <c r="G5" s="3" t="inlineStr">
        <is>
          <t>Čistá hmotnost (kg)</t>
        </is>
      </c>
      <c r="H5" s="3" t="inlineStr">
        <is>
          <t>Hrubá hmotnost (kg)</t>
        </is>
      </c>
      <c r="I5" s="3" t="inlineStr">
        <is>
          <t>Hodnota USD – Total (faktura)</t>
        </is>
      </c>
      <c r="J5" s="3" t="inlineStr">
        <is>
          <t>Clo (3. země)</t>
        </is>
      </c>
      <c r="K5" s="3" t="inlineStr">
        <is>
          <t>Příznak</t>
        </is>
      </c>
      <c r="L5" s="3" t="inlineStr">
        <is>
          <t>TARIC / poznámka / CBAM / Antidumping</t>
        </is>
      </c>
    </row>
    <row r="6">
      <c r="A6" s="4" t="inlineStr">
        <is>
          <t>Warmpack Packing Technology (Suzhou) Co., Ltd (CN)</t>
        </is>
      </c>
      <c r="B6" s="4" t="inlineStr">
        <is>
          <t>4823699000</t>
        </is>
      </c>
      <c r="C6" s="4" t="inlineStr">
        <is>
          <t>PAPER CONTAINER – 1300ml Salad bowl, kraft (YPK-183-1300SLW)</t>
        </is>
      </c>
      <c r="D6" s="4" t="inlineStr">
        <is>
          <t>CN (nepotvrzeno)</t>
        </is>
      </c>
      <c r="E6" s="5" t="n">
        <v>470</v>
      </c>
      <c r="F6" s="5" t="n">
        <v>141000</v>
      </c>
      <c r="G6" s="6" t="n">
        <v>2989.2</v>
      </c>
      <c r="H6" s="6" t="n">
        <v>3459.2</v>
      </c>
      <c r="I6" s="7" t="n">
        <v>6020.7</v>
      </c>
      <c r="J6" s="4" t="inlineStr">
        <is>
          <t>0 %</t>
        </is>
      </c>
      <c r="K6" s="4" t="inlineStr"/>
      <c r="L6" s="4" t="inlineStr">
        <is>
          <t>HS kód dodán klientem (e-mail) – platný. Bez antidumpingu, bez CBAM. Popis pouze v AJ (z faktury) – klient nedodal český popis.</t>
        </is>
      </c>
    </row>
    <row r="7">
      <c r="A7" s="4" t="inlineStr">
        <is>
          <t>Warmpack Packing Technology (Suzhou) Co., Ltd (CN)</t>
        </is>
      </c>
      <c r="B7" s="4" t="inlineStr">
        <is>
          <t>3923509000</t>
        </is>
      </c>
      <c r="C7" s="4" t="inlineStr">
        <is>
          <t>DISPOSABLE LID – PET lid for 1300ml bowl (YPK-183-G3)</t>
        </is>
      </c>
      <c r="D7" s="4" t="inlineStr">
        <is>
          <t>CN (nepotvrzeno)</t>
        </is>
      </c>
      <c r="E7" s="5" t="n">
        <v>470</v>
      </c>
      <c r="F7" s="5" t="n">
        <v>141000</v>
      </c>
      <c r="G7" s="6" t="n">
        <v>2115</v>
      </c>
      <c r="H7" s="6" t="n">
        <v>2585</v>
      </c>
      <c r="I7" s="7" t="n">
        <v>4201.8</v>
      </c>
      <c r="J7" s="4" t="inlineStr">
        <is>
          <t>6,5 %</t>
        </is>
      </c>
      <c r="K7" s="8" t="inlineStr">
        <is>
          <t>KÓD OPRAVEN</t>
        </is>
      </c>
      <c r="L7" s="4" t="inlineStr">
        <is>
          <t>⚠️ Klient uvedl 3923500000 – to NENÍ platný 10místný kód TARIC (3923 50 se dělí na 10 = uzávěry a kapsle na lahve / 90 = ostatní). Doplněno dle CCT/VPV KN tariff rule → 3923 50 90 00 (PET víčko na misku, ne na lahev). Bez antidumpingu, bez CBAM. Popis pouze v AJ (z faktury).</t>
        </is>
      </c>
    </row>
    <row r="8">
      <c r="A8" s="9" t="inlineStr">
        <is>
          <t>CELKEM</t>
        </is>
      </c>
      <c r="B8" s="9" t="n"/>
      <c r="C8" s="9" t="n"/>
      <c r="D8" s="9" t="n"/>
      <c r="E8" s="10">
        <f>SUM(E6:E7)</f>
        <v/>
      </c>
      <c r="F8" s="10">
        <f>SUM(F6:F7)</f>
        <v/>
      </c>
      <c r="G8" s="11">
        <f>SUM(G6:G7)</f>
        <v/>
      </c>
      <c r="H8" s="11">
        <f>SUM(H6:H7)</f>
        <v/>
      </c>
      <c r="I8" s="12">
        <f>SUM(I6:I7)</f>
        <v/>
      </c>
      <c r="J8" s="9" t="n"/>
      <c r="K8" s="9" t="n"/>
      <c r="L8" s="9" t="n"/>
    </row>
    <row r="10">
      <c r="A10" s="2" t="inlineStr">
        <is>
          <t>Kontrola</t>
        </is>
      </c>
      <c r="B10" t="inlineStr">
        <is>
          <t>Součty sedí na fakturu (TOTAL 10 222,50 USD, 940 CTN), PL (NW 5 104,2 kg / GW 6 044,2 kg) i B/L (940 CTNS, 6 044,2 kg, 67,05 CBM).</t>
        </is>
      </c>
    </row>
    <row r="11">
      <c r="A11" s="2" t="inlineStr">
        <is>
          <t>Hodnota</t>
        </is>
      </c>
      <c r="B11" t="inlineStr">
        <is>
          <t>Použita částka „TOTAL“ z faktury (10 222,50 USD). Řádky „Received deposit“ 3 066,75 a „Balance“ 7 155,75 ignorovány. Sleva na faktuře není.</t>
        </is>
      </c>
    </row>
    <row r="12">
      <c r="A12" s="2" t="inlineStr">
        <is>
          <t>Celní hodnota</t>
        </is>
      </c>
      <c r="B12" t="inlineStr">
        <is>
          <t>FOB Shanghai → k celní hodnotě nutno připočíst dopravu (+ pojištění) do místa vstupu do EU (Bremerhaven). Chybí faktura za dopravu.</t>
        </is>
      </c>
    </row>
    <row r="13">
      <c r="A13" s="2" t="inlineStr">
        <is>
          <t>Obaly</t>
        </is>
      </c>
      <c r="B13" t="inlineStr">
        <is>
          <t>Dle e-mailu: carton, PE bag.</t>
        </is>
      </c>
    </row>
    <row r="14">
      <c r="A14" s="2" t="inlineStr">
        <is>
          <t>🔴 ČERVENÁ</t>
        </is>
      </c>
      <c r="B14" t="inlineStr">
        <is>
          <t>Kód upraven oproti podkladu klienta – potvrdit.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2">
        <f>== ZÁSILKA ===</f>
        <v/>
      </c>
    </row>
    <row r="2">
      <c r="A2" t="inlineStr">
        <is>
          <t>Klient / příjemce: Öner gastro s.r.o. (B/L: ONER GASTRO SRO, Hodkovská 496, Praha 9, 190 16). Notify: same as consignee.</t>
        </is>
      </c>
    </row>
    <row r="3">
      <c r="A3" t="inlineStr">
        <is>
          <t>Odesílatel: Warmpack Packing Technology (Suzhou) Co., Ltd, B2105, Building 10, Oriental New World, Yangshe, Zhangjiagang, China.</t>
        </is>
      </c>
    </row>
    <row r="4">
      <c r="A4" t="inlineStr">
        <is>
          <t>Požadavek (P. Mertlíková, e-mail): vyclení do VO; ETA Bremerhaven 2.11.; JSD přes Maersk Mělník; doplnit Y kódy.</t>
        </is>
      </c>
    </row>
    <row r="5">
      <c r="A5" t="inlineStr">
        <is>
          <t>B/L: DK26090363CNSHACZMNKFD, shipped on board 23.9.2026, Shanghai → Bremerhaven → Mělník, 1×40HQ MRSU9368073, plomba CN8159579, 940 CTNS, 6 044,2 kg, 67,05 CBM, freight collect.</t>
        </is>
      </c>
    </row>
    <row r="6">
      <c r="A6" t="inlineStr"/>
    </row>
    <row r="7">
      <c r="A7" s="2">
        <f>== ⚠️ NESROVNALOSTI VE FAKTUŘE ===</f>
        <v/>
      </c>
    </row>
    <row r="8">
      <c r="A8" t="inlineStr">
        <is>
          <t>1) Faktura je jako BUYER vystavena na HONGKONG YOPACK ENVIRONMENTAL TECHNOLOGY CO., LIMITED – ne na Öner gastro. Stejná firma je i příjemcem platby (beneficiary). B/L má jako příjemce Öner gastro.</t>
        </is>
      </c>
    </row>
    <row r="9">
      <c r="A9" t="inlineStr">
        <is>
          <t xml:space="preserve">   → Vyžádat fakturu vystavenou na Öner gastro (cena, kterou skutečně platí CZ dovozce) – nutné pro správnou celní hodnotu.</t>
        </is>
      </c>
    </row>
    <row r="10">
      <c r="A10" t="inlineStr">
        <is>
          <t>2) Soubor se jmenuje SL26106_CIPL, ale faktura i PL uvádějí Invoice No. SL26107 → ověřit správné číslo faktury.</t>
        </is>
      </c>
    </row>
    <row r="11">
      <c r="A11" t="inlineStr">
        <is>
          <t>3) Země původu není na faktuře výslovně uvedena (předpoklad CN dle odesílatele a přístavu nakládky) → potvrdit.</t>
        </is>
      </c>
    </row>
    <row r="12">
      <c r="A12" t="inlineStr"/>
    </row>
    <row r="13">
      <c r="A13" s="2">
        <f>== PREFERENČNÍ PŮVOD / REX ===</f>
        <v/>
      </c>
    </row>
    <row r="14">
      <c r="A14" t="inlineStr">
        <is>
          <t>Preferenční věta: NENÍ ve fakturách ani v B/L.</t>
        </is>
      </c>
    </row>
    <row r="15">
      <c r="A15" t="inlineStr">
        <is>
          <t>REX číslo: NENÍ uvedeno na faktuře.</t>
        </is>
      </c>
    </row>
    <row r="16">
      <c r="A16" t="inlineStr">
        <is>
          <t>(Čína nemá s EU preferenční dohodu – uplatní se clo třetích zemí: 4823699000 = 0 %, 3923509000 = 6,5 %.)</t>
        </is>
      </c>
    </row>
    <row r="17">
      <c r="A17" t="inlineStr"/>
    </row>
    <row r="18">
      <c r="A18" s="2">
        <f>== Y KÓDY (TARIC, ref. datum 2.11.2026, původ CN) ===</f>
        <v/>
      </c>
    </row>
    <row r="19">
      <c r="A19" t="inlineStr">
        <is>
          <t>CBAM: ani 4823 ani 3923 nejsou CBAM zboží → CBAM Y kód (Y128/Y238/Y137/Y237) se NEUVÁDÍ.</t>
        </is>
      </c>
    </row>
    <row r="20">
      <c r="A20" t="inlineStr">
        <is>
          <t xml:space="preserve">   Öner gastro s.r.o. NENÍ v registru reference/CBAM_receivers_CZ.xlsx (pro tuto zásilku nevadí).</t>
        </is>
      </c>
    </row>
    <row r="21">
      <c r="A21" t="inlineStr">
        <is>
          <t>Nová opatření od 1.11.2026 (zásilka spadá – ETA 2.11.) u obou kódů:</t>
        </is>
      </c>
    </row>
    <row r="22">
      <c r="A22" t="inlineStr">
        <is>
          <t xml:space="preserve">   • Union handling fee 2 EUR/položku (R2108/26) – podmínka B1: Y126 „Goods sold in distance sales“ → poplatek; B9 → opatření se neuplatní.</t>
        </is>
      </c>
    </row>
    <row r="23">
      <c r="A23" t="inlineStr">
        <is>
          <t xml:space="preserve">     Tato zásilka je B2B (plný kontejner), NE prodej na dálku → Y126 NEUVÁDĚT, poplatek se neuplatní.</t>
        </is>
      </c>
    </row>
    <row r="24">
      <c r="A24" t="inlineStr">
        <is>
          <t xml:space="preserve">   • Low-value consignment customs duty 3 EUR/položku (R0382/26) – jen pro zásilky do 150 EUR (osvobozené od DPH dle čl. 143(1)(ca) nebo poštovní).</t>
        </is>
      </c>
    </row>
    <row r="25">
      <c r="A25" t="inlineStr">
        <is>
          <t xml:space="preserve">     Podmínky: C127 / C128 / C129 / Y081 (identifikátory produktu). Hodnota zásilky 10 222,50 USD → NEDOTČENO, kódy se neuvádějí.</t>
        </is>
      </c>
    </row>
    <row r="26">
      <c r="A26" t="inlineStr">
        <is>
          <t xml:space="preserve">   • 3923509000 – suspenze pro lodě/plošiny (C990) a airworthiness (C119) – netýká se, neuvádět.</t>
        </is>
      </c>
    </row>
    <row r="27">
      <c r="A27" t="inlineStr">
        <is>
          <t>Antidumping: žádné antidumpingové clo pro CN u 4823699000 ani 3923509000 (TARIC 2.11.2026).</t>
        </is>
      </c>
    </row>
    <row r="28">
      <c r="A28" t="inlineStr"/>
    </row>
    <row r="29">
      <c r="A29" s="2">
        <f>== MELT AND POUR ===</f>
        <v/>
      </c>
    </row>
    <row r="30">
      <c r="A30" t="inlineStr">
        <is>
          <t>Netýká se – v zásilce není ocel ani železo.</t>
        </is>
      </c>
    </row>
    <row r="31">
      <c r="A31" t="inlineStr"/>
    </row>
    <row r="32">
      <c r="A32" s="2">
        <f>== ZAŘAZENÍ – CCT/VPV KN tariff rule (3923509000) ===</f>
        <v/>
      </c>
    </row>
    <row r="33">
      <c r="A33" t="inlineStr">
        <is>
          <t>CO TO JE? Jednorázové víčko k misce na salát 1300 ml.  Z ČEHO? PET (plast).  K ČEMU SLOUŽÍ? Uzavření misky na potraviny (obal).</t>
        </is>
      </c>
    </row>
    <row r="34">
      <c r="A34" t="inlineStr">
        <is>
          <t>Třída VII, kapitola 39 → čísl. 3923 (výrobky pro dopravu nebo balení zboží; zátky, víčka, uzávěry z plastů) → HS 3923 50 → KN 3923 50 90 (jiné než uzávěry a kapsle na lahve) → TARIC 3923509000. VPV 1 a 6.</t>
        </is>
      </c>
    </row>
    <row r="35">
      <c r="A35" t="inlineStr">
        <is>
          <t>Klientův kód 3923500000 není koncový kód TARIC (3923501000 / 3923509000).</t>
        </is>
      </c>
    </row>
    <row r="36">
      <c r="A36" t="inlineStr">
        <is>
          <t>4823699000 (klient): třída X, kap. 48, čísl. 4823 – tácy, misky, talíře, šálky apod. z papíru (ne z bambusu) → 4823 69 90 (ne lisované/tvarované z buničiny). Pokud by byla miska lisovaná z papírové buničiny → 4823 69 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2026-10-23T12:48:49Z</dcterms:created>
  <dcterms:modified xmlns:dcterms="http://purl.org/dc/terms/" xmlns:xsi="http://www.w3.org/2001/XMLSchema-instance" xsi:type="dcterms:W3CDTF">2026-10-23T12:48:49Z</dcterms:modified>
</cp:coreProperties>
</file>