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6" customWidth="1" min="8" max="8"/>
    <col width="55" customWidth="1" min="9" max="9"/>
  </cols>
  <sheetData>
    <row r="1">
      <c r="A1" s="1" t="inlineStr">
        <is>
          <t>HS kód</t>
        </is>
      </c>
      <c r="B1" s="1" t="inlineStr">
        <is>
          <t>Popis zboží (CZ)</t>
        </is>
      </c>
      <c r="C1" s="1" t="inlineStr">
        <is>
          <t>Země původu (COO)</t>
        </is>
      </c>
      <c r="D1" s="1" t="inlineStr">
        <is>
          <t>Celkové množství (ks)</t>
        </is>
      </c>
      <c r="E1" s="1" t="inlineStr">
        <is>
          <t>Čistá hmotnost (kg)</t>
        </is>
      </c>
      <c r="F1" s="1" t="inlineStr">
        <is>
          <t>Hrubá hmotnost (kg)</t>
        </is>
      </c>
      <c r="G1" s="1" t="inlineStr">
        <is>
          <t>Hodnota EUR (celní hodnota)</t>
        </is>
      </c>
      <c r="H1" s="1" t="inlineStr">
        <is>
          <t>Příznak</t>
        </is>
      </c>
      <c r="I1" s="1" t="inlineStr">
        <is>
          <t>TARIC / poznámka / CBAM / Antidumping</t>
        </is>
      </c>
    </row>
    <row r="2">
      <c r="A2" s="2" t="inlineStr">
        <is>
          <t>8531900000</t>
        </is>
      </c>
      <c r="B2" s="2" t="inlineStr">
        <is>
          <t>EAS bezpečnostní prvky s magnetickým zámkem – samoobslužné schránky (Alarm Box Wrap), štítky na lahve (Bottle Cap) a tvrdé etikety RF/AM (HD tagy, stop lock, clamp tag) – ochrana zboží proti krádeži v obchodech</t>
        </is>
      </c>
      <c r="C2" s="2" t="inlineStr">
        <is>
          <t>CN</t>
        </is>
      </c>
      <c r="D2" s="2" t="n">
        <v>88000</v>
      </c>
      <c r="E2" s="2" t="n">
        <v>1613.55</v>
      </c>
      <c r="F2" s="2" t="n">
        <v>1778.64</v>
      </c>
      <c r="G2" s="2" t="n">
        <v>13278.1</v>
      </c>
      <c r="H2" s="2" t="n"/>
      <c r="I2" s="2" t="inlineStr">
        <is>
          <t>Položky AS1103E, BT3042, HD2036, HD2071, HD2150, HD2045 (6 řádků faktury sloučeno)</t>
        </is>
      </c>
    </row>
    <row r="3">
      <c r="A3" s="2" t="inlineStr">
        <is>
          <t>8534001900</t>
        </is>
      </c>
      <c r="B3" s="2" t="inlineStr">
        <is>
          <t>Měkké RF etikety s tištěným obvodem (roll labels 8.2 MHz, deaktivovatelné) – bílé, s čárovým kódem, transparentní</t>
        </is>
      </c>
      <c r="C3" s="2" t="inlineStr">
        <is>
          <t>CN</t>
        </is>
      </c>
      <c r="D3" s="2" t="n">
        <v>1500000</v>
      </c>
      <c r="E3" s="2" t="n">
        <v>588.25</v>
      </c>
      <c r="F3" s="2" t="n">
        <v>653.97</v>
      </c>
      <c r="G3" s="2" t="n">
        <v>8060</v>
      </c>
      <c r="H3" s="2" t="n"/>
      <c r="I3" s="2" t="inlineStr">
        <is>
          <t>Položky RL4601, RL4609, RL4719 (3 řádky faktury sloučeny)</t>
        </is>
      </c>
    </row>
    <row r="4">
      <c r="A4" s="3" t="inlineStr">
        <is>
          <t>7312900000</t>
        </is>
      </c>
      <c r="B4" s="3" t="inlineStr">
        <is>
          <t>Ocelová/poplastovaná lanka (lanyard, délka 175 mm) k připojení etikety ke zboží</t>
        </is>
      </c>
      <c r="C4" s="3" t="inlineStr">
        <is>
          <t>CN</t>
        </is>
      </c>
      <c r="D4" s="3" t="n">
        <v>200000</v>
      </c>
      <c r="E4" s="3" t="n">
        <v>350</v>
      </c>
      <c r="F4" s="3" t="n">
        <v>386.02</v>
      </c>
      <c r="G4" s="3" t="n">
        <v>3640</v>
      </c>
      <c r="H4" s="3" t="inlineStr">
        <is>
          <t>OCEL – sankce RU</t>
        </is>
      </c>
      <c r="I4" s="3" t="inlineStr">
        <is>
          <t>Kap. 73 – doloženo prohlášení dodavatele o neruském původu oceli (Statement 17.6.2026). AD clo na ocelová lana z CN (ex 7312 10) se na kód 7312 90 00 nevztahuje – ověřit při podání JSD.</t>
        </is>
      </c>
    </row>
    <row r="5">
      <c r="A5" s="2" t="inlineStr">
        <is>
          <t>8505111000</t>
        </is>
      </c>
      <c r="B5" s="2" t="inlineStr">
        <is>
          <t>Magnetický oddělovač (uvolňovač) pevných štítků – Dome Detacher DT054</t>
        </is>
      </c>
      <c r="C5" s="2" t="inlineStr">
        <is>
          <t>CN</t>
        </is>
      </c>
      <c r="D5" s="2" t="n">
        <v>50</v>
      </c>
      <c r="E5" s="2" t="n">
        <v>20.25</v>
      </c>
      <c r="F5" s="2" t="n">
        <v>21.46</v>
      </c>
      <c r="G5" s="2" t="n">
        <v>720</v>
      </c>
      <c r="H5" s="2" t="n"/>
      <c r="I5" s="2" t="inlineStr">
        <is>
          <t>Dle interní tabulky HS kódů 8505 11 10 – ověřit plný 10místný TARIC při podání</t>
        </is>
      </c>
    </row>
    <row r="6">
      <c r="A6" s="3" t="inlineStr">
        <is>
          <t>7319400000</t>
        </is>
      </c>
      <c r="B6" s="3" t="inlineStr">
        <is>
          <t>Bezpečnostní špendlíky pro tvrdé štítky – Dome Plastic Pin, plastová hlava, 16 mm</t>
        </is>
      </c>
      <c r="C6" s="3" t="inlineStr">
        <is>
          <t>CN</t>
        </is>
      </c>
      <c r="D6" s="3" t="n">
        <v>50000</v>
      </c>
      <c r="E6" s="3" t="n">
        <v>45.75</v>
      </c>
      <c r="F6" s="3" t="n">
        <v>50.31</v>
      </c>
      <c r="G6" s="3" t="n">
        <v>230</v>
      </c>
      <c r="H6" s="3" t="inlineStr">
        <is>
          <t>OCEL – sankce RU</t>
        </is>
      </c>
      <c r="I6" s="3" t="inlineStr">
        <is>
          <t>Kap. 73 – doloženo prohlášení dodavatele o neruském původu oceli (Statement 17.6.2026)</t>
        </is>
      </c>
    </row>
    <row r="7">
      <c r="A7" s="4" t="inlineStr">
        <is>
          <t>CELKEM</t>
        </is>
      </c>
      <c r="B7" s="4" t="n"/>
      <c r="C7" s="4" t="n"/>
      <c r="D7" s="4" t="n">
        <v>1838050</v>
      </c>
      <c r="E7" s="4" t="n">
        <v>2617.8</v>
      </c>
      <c r="F7" s="4" t="n">
        <v>2890.4</v>
      </c>
      <c r="G7" s="4" t="n">
        <v>25928.1</v>
      </c>
      <c r="H7" s="4" t="n"/>
      <c r="I7" s="4" t="n"/>
    </row>
    <row r="9">
      <c r="A9" s="5" t="inlineStr">
        <is>
          <t>‼ PREFERENČNÍ VĚTA:</t>
        </is>
      </c>
      <c r="B9" s="6" t="inlineStr">
        <is>
          <t>V dokladech NENÍ žádná preferenční věta (prohlášení o preferenčním původu). Zboží je MADE IN CHINA – preferenční zacházení nepřipadá v úvahu, platí standardní všeobecná (erga omnes) sazba cla třetích zemí.</t>
        </is>
      </c>
    </row>
    <row r="10">
      <c r="A10" s="7" t="inlineStr">
        <is>
          <t>Prohlášení k sankcím (Rusko):</t>
        </is>
      </c>
      <c r="B10" s="8" t="inlineStr">
        <is>
          <t>Statement dodavatele z 17.6.2026 potvrzuje, že zboží kap. 72/73 (lanka 7312, špendlíky 7319) nepochází z Ruska ani nebylo vyrobeno z ruské oceli (čl. 3g nař. 833/2014). Přiložit k JSD.</t>
        </is>
      </c>
    </row>
    <row r="11">
      <c r="A11" s="7" t="inlineStr">
        <is>
          <t>CBAM:</t>
        </is>
      </c>
      <c r="B11" s="8" t="inlineStr">
        <is>
          <t>Žádná položka nespadá pod CBAM – kódy 7312 90 a 7319 40 nejsou v příloze I nařízení CBAM (železo/ocel tam zahrnuje 7301–7311, 7318, 7326); kap. 85 se CBAM netýká.</t>
        </is>
      </c>
    </row>
    <row r="12">
      <c r="A12" s="7" t="inlineStr">
        <is>
          <t>Antidumping:</t>
        </is>
      </c>
      <c r="B12" s="8" t="inlineStr">
        <is>
          <t>Prověřeno – AD clo na ocelová lana a kabely z ČLR se vztahuje jen na ex 7312 10; kód 7312 90 00 00 mimo rozsah. U ostatních kódů AD opatření nezjištěno. Ověřit aktuální TARIC při podání JSD.</t>
        </is>
      </c>
    </row>
    <row r="13">
      <c r="A13" s="7" t="inlineStr">
        <is>
          <t>Modrá výplň:</t>
        </is>
      </c>
      <c r="B13" s="8" t="inlineStr">
        <is>
          <t>Zboží kap. 73 – nutno doložit prohlášení o neruském původu oceli (doloženo).</t>
        </is>
      </c>
    </row>
    <row r="14">
      <c r="A14" s="7" t="inlineStr">
        <is>
          <t>Hrubá hmotnost:</t>
        </is>
      </c>
      <c r="B14" s="8" t="inlineStr">
        <is>
          <t>Kartonová GW 2815,40 kg + palety 75,00 kg rozpočítány proporcionálně (faktor 1,026638) → celkem 2890,40 kg dle B/L.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9" t="inlineStr">
        <is>
          <t>ZÁSILKA: V-TOP EUROPE s.r.o. – waybill WPXA26B0613CZ456, faktura PI24200070026032B</t>
        </is>
      </c>
    </row>
    <row r="2">
      <c r="A2" s="8" t="inlineStr"/>
    </row>
    <row r="3">
      <c r="A3" s="9">
        <f>== DOKUMENTY (přijaté 7.7.2026) ===</f>
        <v/>
      </c>
    </row>
    <row r="4">
      <c r="A4" s="8" t="inlineStr">
        <is>
          <t>✓ Obchodní faktura PI24200070026032B z 3.6.2026 – HANGZHOU ONTIME I.T. CO., LTD. → V-TOP EUROPE s.r.o., 13 položek, celkem 1 838 050 ks, 25 928,10 EUR, podmínky CFR PRAGUE, MADE IN CHINA</t>
        </is>
      </c>
    </row>
    <row r="5">
      <c r="A5" s="8" t="inlineStr">
        <is>
          <t>✓ Packing list PI24200070026032B z 3.6.2026 – 304 kartonů na 5 paletách, NW 2 617,80 kg, GW 2 890,40 kg (vč. palet 75 kg), 9,42 CBM</t>
        </is>
      </c>
    </row>
    <row r="6">
      <c r="A6" s="8" t="inlineStr">
        <is>
          <t>✓ B/L (waybill) WPXA26B0613CZ456 z 13.6.2026 – vlak Xi'an → Brno/Praha přes Alashankou, kontejner STHU5003051, plomba 297770 (40HC), CFS-CFS, freight prepaid; příjemce V-TOP EUROPE s.r.o., notify Maurice Ward &amp; Co. s.r.o.</t>
        </is>
      </c>
    </row>
    <row r="7">
      <c r="A7" s="8" t="inlineStr">
        <is>
          <t>✓ Statement dodavatele z 17.6.2026 – prohlášení o neruském původu zboží kap. 72/73 (sankce EU, nař. 833/2014 čl. 3g) – přiložit k celnímu řízení</t>
        </is>
      </c>
    </row>
    <row r="8">
      <c r="A8" s="8" t="inlineStr">
        <is>
          <t>✓ Interní tabulka HS kódů (HS_kody_3.7.32026.xlsx) – použita pro zatřídění dle prefixů AS/BT/DT/HD/LD/PN/RL</t>
        </is>
      </c>
    </row>
    <row r="9">
      <c r="A9" s="8" t="inlineStr"/>
    </row>
    <row r="10">
      <c r="A10" s="9">
        <f>== ‼ PREFERENČNÍ VĚTA / COO ===</f>
        <v/>
      </c>
    </row>
    <row r="11">
      <c r="A11" s="8" t="inlineStr">
        <is>
          <t>V žádném dokladu NENÍ preferenční věta. Původ: Čína (MADE IN CHINA na faktuře).</t>
        </is>
      </c>
    </row>
    <row r="12">
      <c r="A12" s="8" t="inlineStr">
        <is>
          <t>Mezi EU a Čínou neexistuje preferenční dohoda → platí standardní všeobecné clo třetích zemí (erga omnes).</t>
        </is>
      </c>
    </row>
    <row r="13">
      <c r="A13" s="8" t="inlineStr">
        <is>
          <t>Nejde o opomenutí dodavatele – u čínského zboží preferenční věta nepřipadá v úvahu.</t>
        </is>
      </c>
    </row>
    <row r="14">
      <c r="A14" s="8" t="inlineStr"/>
    </row>
    <row r="15">
      <c r="A15" s="9">
        <f>== SANKCE RUSKO (ocel, kap. 72/73) ===</f>
        <v/>
      </c>
    </row>
    <row r="16">
      <c r="A16" s="8" t="inlineStr">
        <is>
          <t>Kódy 7312 90 00 00 (lanka) a 7319 40 00 00 (špendlíky) spadají do kapitoly 73.</t>
        </is>
      </c>
    </row>
    <row r="17">
      <c r="A17" s="8" t="inlineStr">
        <is>
          <t>Statement dodavatele potvrzuje: (i) zboží nepochází z Ruska, (ii) nebylo z Ruska vyvezeno,</t>
        </is>
      </c>
    </row>
    <row r="18">
      <c r="A18" s="8" t="inlineStr">
        <is>
          <t>(iii) nebylo zpracováno z ruské oceli (HS 7206–7229, kap. 73). → Doložit při podání JSD.</t>
        </is>
      </c>
    </row>
    <row r="19">
      <c r="A19" s="8" t="inlineStr"/>
    </row>
    <row r="20">
      <c r="A20" s="9">
        <f>== CBAM ===</f>
        <v/>
      </c>
    </row>
    <row r="21">
      <c r="A21" s="8" t="inlineStr">
        <is>
          <t>Žádná položka zásilky nepodléhá CBAM. 7312 90 a 7319 40 NEJSOU v příloze I nařízení (EU) 2023/956</t>
        </is>
      </c>
    </row>
    <row r="22">
      <c r="A22" s="8" t="inlineStr">
        <is>
          <t>(u železa/oceli příloha zahrnuje kap. 72, 7301–7311, 7318 a 7326). Kódy kap. 85 se CBAM netýkají.</t>
        </is>
      </c>
    </row>
    <row r="23">
      <c r="A23" s="8" t="inlineStr"/>
    </row>
    <row r="24">
      <c r="A24" s="9">
        <f>== ANTIDUMPING ===</f>
        <v/>
      </c>
    </row>
    <row r="25">
      <c r="A25" s="8" t="inlineStr">
        <is>
          <t>AD clo na ocelová lana a kabely z ČLR (nař. R680 a násl.) pokrývá pouze ex 7312 10 (průřez &gt; 3 mm).</t>
        </is>
      </c>
    </row>
    <row r="26">
      <c r="A26" s="8" t="inlineStr">
        <is>
          <t>Lanyardy jsou zatříděny 7312 90 00 00 → mimo rozsah opatření. U kódů 8531 90, 8534 00 19, 8505 11 10</t>
        </is>
      </c>
    </row>
    <row r="27">
      <c r="A27" s="8" t="inlineStr">
        <is>
          <t>a 7319 40 nebylo AD opatření pro CN zjištěno. Doporučuji ověřit aktuální stav v TARIC při podání JSD.</t>
        </is>
      </c>
    </row>
    <row r="28">
      <c r="A28" s="8" t="inlineStr"/>
    </row>
    <row r="29">
      <c r="A29" s="9">
        <f>== POZNÁMKY K ZATŘÍDĚNÍ ===</f>
        <v/>
      </c>
    </row>
    <row r="30">
      <c r="A30" s="8" t="inlineStr">
        <is>
          <t>DT4013 (Dome Detacher): dle interní tabulky 8505 11 10 (magnetický oddělovač, kromě DT4002/DT4052).</t>
        </is>
      </c>
    </row>
    <row r="31">
      <c r="A31" s="8" t="inlineStr">
        <is>
          <t>→ Ověřit plný 10místný TARIC kód (v tabulce uveden jen 8místný).</t>
        </is>
      </c>
    </row>
    <row r="32">
      <c r="A32" s="8" t="inlineStr">
        <is>
          <t>LD3603 se na faktuře vyskytuje 2× (grooved pin / smooth pin) – sloučeno do jednoho HS kódu 7312 90 00 00.</t>
        </is>
      </c>
    </row>
    <row r="33">
      <c r="A33" s="8" t="inlineStr"/>
    </row>
    <row r="34">
      <c r="A34" s="9">
        <f>== HMOTNOSTI (kontrola) ===</f>
        <v/>
      </c>
    </row>
    <row r="35">
      <c r="A35" s="8" t="inlineStr">
        <is>
          <t>Součet NW položek = 2 617,80 kg ✓ (souhlasí s packing listem)</t>
        </is>
      </c>
    </row>
    <row r="36">
      <c r="A36" s="8" t="inlineStr">
        <is>
          <t>Součet GW kartonů = 2 815,40 kg + palety 75,00 kg = 2 890,40 kg ✓ (souhlasí s PL i B/L)</t>
        </is>
      </c>
    </row>
    <row r="37">
      <c r="A37" s="8" t="inlineStr">
        <is>
          <t>GW na úrovni HS kódu: proporcionální rozpočet palet, faktor 1,026638.</t>
        </is>
      </c>
    </row>
    <row r="38">
      <c r="A38" s="8" t="inlineStr">
        <is>
          <t>Sleva: na faktuře ŽÁDNÁ obchodní sleva → celní hodnota = fakturovaná hodnota, celkem 25 928,10 EUR.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2026-07-07T13:16:01Z</dcterms:created>
  <dcterms:modified xsi:type="dcterms:W3CDTF">2026-07-07T13:16:01Z</dcterms:modified>
</cp:coreProperties>
</file>