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-HS" sheetId="1" state="visible" r:id="rId1"/>
    <sheet xmlns:r="http://schemas.openxmlformats.org/officeDocument/2006/relationships" name="Polozky-faktury" sheetId="2" state="visible" r:id="rId2"/>
    <sheet xmlns:r="http://schemas.openxmlformats.org/officeDocument/2006/relationships" name="Polozky-balici-list" sheetId="3" state="visible" r:id="rId3"/>
    <sheet xmlns:r="http://schemas.openxmlformats.org/officeDocument/2006/relationships" name="Rozpad-dle-produktu" sheetId="4" state="visible" r:id="rId4"/>
    <sheet xmlns:r="http://schemas.openxmlformats.org/officeDocument/2006/relationships" name="Poznamk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color rgb="000000FF"/>
      <sz val="10"/>
    </font>
    <font>
      <name val="Arial"/>
      <sz val="10"/>
    </font>
    <font>
      <name val="Arial"/>
      <b val="1"/>
      <color rgb="001F3864"/>
      <sz val="15"/>
    </font>
    <font>
      <name val="Arial"/>
      <b val="1"/>
      <color rgb="001F3864"/>
      <sz val="11"/>
    </font>
    <font>
      <name val="Arial"/>
      <b val="1"/>
      <color rgb="001F3864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4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4" fontId="6" fillId="3" borderId="1" applyAlignment="1" pivotButton="0" quotePrefix="0" xfId="0">
      <alignment vertical="top" wrapText="1"/>
    </xf>
    <xf numFmtId="3" fontId="6" fillId="3" borderId="1" applyAlignment="1" pivotButton="0" quotePrefix="0" xfId="0">
      <alignment vertical="top" wrapText="1"/>
    </xf>
    <xf numFmtId="0" fontId="2" fillId="4" borderId="1" pivotButton="0" quotePrefix="0" xfId="0"/>
    <xf numFmtId="4" fontId="2" fillId="4" borderId="1" pivotButton="0" quotePrefix="0" xfId="0"/>
    <xf numFmtId="3" fontId="2" fillId="4" borderId="1" pivotButton="0" quotePrefix="0" xfId="0"/>
    <xf numFmtId="0" fontId="8" fillId="0" borderId="0" pivotButton="0" quotePrefix="0" xfId="0"/>
    <xf numFmtId="0" fontId="6" fillId="0" borderId="0" pivotButton="0" quotePrefix="0" xfId="0"/>
    <xf numFmtId="4" fontId="0" fillId="0" borderId="1" pivotButton="0" quotePrefix="0" xfId="0"/>
    <xf numFmtId="4" fontId="5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4" fontId="6" fillId="0" borderId="1" pivotButton="0" quotePrefix="0" xfId="0"/>
    <xf numFmtId="0" fontId="6" fillId="3" borderId="1" pivotButton="0" quotePrefix="0" xfId="0"/>
    <xf numFmtId="3" fontId="6" fillId="3" borderId="1" pivotButton="0" quotePrefix="0" xfId="0"/>
    <xf numFmtId="4" fontId="6" fillId="3" borderId="1" pivotButton="0" quotePrefix="0" xfId="0"/>
    <xf numFmtId="0" fontId="9" fillId="0" borderId="0" pivotButton="0" quotePrefix="0" xfId="0"/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0" fontId="6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4" customWidth="1" min="3" max="3"/>
    <col width="46" customWidth="1" min="4" max="4"/>
    <col width="15" customWidth="1" min="5" max="5"/>
    <col width="16" customWidth="1" min="6" max="6"/>
    <col width="12" customWidth="1" min="7" max="7"/>
    <col width="14" customWidth="1" min="8" max="8"/>
    <col width="20" customWidth="1" min="9" max="9"/>
    <col width="10" customWidth="1" min="10" max="10"/>
    <col width="30" customWidth="1" min="11" max="11"/>
  </cols>
  <sheetData>
    <row r="1">
      <c r="A1" s="1" t="inlineStr">
        <is>
          <t>SOUHRN HS KÓDŮ / HS CODE SUMMARY</t>
        </is>
      </c>
    </row>
    <row r="3">
      <c r="A3" s="2" t="inlineStr">
        <is>
          <t>Klient / Client</t>
        </is>
      </c>
      <c r="B3" s="3" t="inlineStr">
        <is>
          <t>MOREK CZ s.r.o., Kubelíkova 1224/42, 130 00 Praha, CZ (VAT CZ03088316)</t>
        </is>
      </c>
    </row>
    <row r="4">
      <c r="A4" s="2" t="inlineStr">
        <is>
          <t>Odesílatel / Sender</t>
        </is>
      </c>
      <c r="B4" s="3" t="inlineStr">
        <is>
          <t>Guangdong Grandview Technology Co., Ltd, Dongguan, Guangdong, China</t>
        </is>
      </c>
    </row>
    <row r="5">
      <c r="A5" s="2" t="inlineStr">
        <is>
          <t>Zásilka / Shipment (B/L)</t>
        </is>
      </c>
      <c r="B5" s="3" t="inlineStr">
        <is>
          <t>F202615259 — HMM DUBLIN 019W, Yantian → Hamburg → CZ</t>
        </is>
      </c>
    </row>
    <row r="6">
      <c r="A6" s="2" t="inlineStr">
        <is>
          <t>Faktury / Invoices</t>
        </is>
      </c>
      <c r="B6" s="3" t="inlineStr">
        <is>
          <t>CI-26051504 a CI-26051902, obě ze dne 02.06.2026</t>
        </is>
      </c>
    </row>
    <row r="7">
      <c r="A7" s="2" t="inlineStr">
        <is>
          <t>Kontejnery / Containers</t>
        </is>
      </c>
      <c r="B7" s="3" t="inlineStr">
        <is>
          <t>2 × 40'HQ: TGBU9796804 (23 plt / 415 ktn), TLLU5520254 (19 plt / 314 ktn)</t>
        </is>
      </c>
    </row>
    <row r="8">
      <c r="A8" s="2" t="inlineStr">
        <is>
          <t>Země původu / Country of origin</t>
        </is>
      </c>
      <c r="B8" s="3" t="inlineStr">
        <is>
          <t>Čína / China (CN)</t>
        </is>
      </c>
    </row>
    <row r="9">
      <c r="A9" s="2" t="inlineStr">
        <is>
          <t>Incoterm</t>
        </is>
      </c>
      <c r="B9" s="4" t="inlineStr">
        <is>
          <t>EXW — named place NEUVEDENO na fakturách (viz Poznámky, bod 2)</t>
        </is>
      </c>
    </row>
    <row r="10">
      <c r="A10" s="2" t="inlineStr">
        <is>
          <t>Měna / Currency</t>
        </is>
      </c>
      <c r="B10" s="3" t="inlineStr">
        <is>
          <t>USD</t>
        </is>
      </c>
    </row>
    <row r="11">
      <c r="A11" s="2" t="inlineStr">
        <is>
          <t>Sleva / Discount</t>
        </is>
      </c>
      <c r="B11" s="3" t="inlineStr">
        <is>
          <t>Žádná — fakturovaná částka = součet položek (no discount to apportion)</t>
        </is>
      </c>
    </row>
    <row r="12">
      <c r="A12" s="2" t="inlineStr">
        <is>
          <t>Datum zpracování</t>
        </is>
      </c>
      <c r="B12" s="3" t="inlineStr">
        <is>
          <t>4. 8. 2026</t>
        </is>
      </c>
    </row>
    <row r="14" ht="34" customHeight="1">
      <c r="A14" s="5" t="inlineStr">
        <is>
          <t>Odesílatel / Sender</t>
        </is>
      </c>
      <c r="B14" s="5" t="inlineStr">
        <is>
          <t>HS kód (CN)</t>
        </is>
      </c>
      <c r="C14" s="5" t="inlineStr">
        <is>
          <t>Popis zboží (CZ)</t>
        </is>
      </c>
      <c r="D14" s="5" t="inlineStr">
        <is>
          <t>Description (EN)</t>
        </is>
      </c>
      <c r="E14" s="5" t="inlineStr">
        <is>
          <t>Čistá hm. / Net (kg)</t>
        </is>
      </c>
      <c r="F14" s="5" t="inlineStr">
        <is>
          <t>Hrubá hm. / Gross (kg)</t>
        </is>
      </c>
      <c r="G14" s="5" t="inlineStr">
        <is>
          <t>Množství / Qty</t>
        </is>
      </c>
      <c r="H14" s="5" t="inlineStr">
        <is>
          <t>MJ / Unit</t>
        </is>
      </c>
      <c r="I14" s="5" t="inlineStr">
        <is>
          <t>Celní hodnota / Customs value (USD)</t>
        </is>
      </c>
      <c r="J14" s="5" t="inlineStr">
        <is>
          <t>CBAM</t>
        </is>
      </c>
      <c r="K14" s="5" t="inlineStr">
        <is>
          <t>Antidumping</t>
        </is>
      </c>
    </row>
    <row r="15" ht="58" customHeight="1">
      <c r="A15" s="6" t="inlineStr">
        <is>
          <t>Guangdong Grandview Technology Co., Ltd, Dongguan, Guangdong, China</t>
        </is>
      </c>
      <c r="B15" s="6" t="inlineStr">
        <is>
          <t>8547 20 00</t>
        </is>
      </c>
      <c r="C15" s="6" t="inlineStr">
        <is>
          <t>Smršťovací izolační trubice a bužírky z plastů a sady z nich (tenkostěnné, středněstěnné a silnostěnné, s lepidlem i bez, a sady MSTS pro kabelové spojky/koncovky)</t>
        </is>
      </c>
      <c r="D15" s="6" t="inlineStr">
        <is>
          <t>Heat-shrinkable plastic insulating tubing/sleeving and kits thereof (thinwall, mediumwall, heavywall, with and without adhesive liner, and MSTS cable jointing/termination kits)</t>
        </is>
      </c>
      <c r="E15" s="7">
        <f>SUMIFS('Rozpad-dle-produktu'!$I$10:$I$18,'Rozpad-dle-produktu'!$C$10:$C$18,"TW")+SUMIFS('Rozpad-dle-produktu'!$I$10:$I$18,'Rozpad-dle-produktu'!$C$10:$C$18,"MW-A")+SUMIFS('Rozpad-dle-produktu'!$I$10:$I$18,'Rozpad-dle-produktu'!$C$10:$C$18,"MW-U")+SUMIFS('Rozpad-dle-produktu'!$I$10:$I$18,'Rozpad-dle-produktu'!$C$10:$C$18,"HW")+SUMIFS('Rozpad-dle-produktu'!$I$10:$I$18,'Rozpad-dle-produktu'!$C$10:$C$18,"KIT")</f>
        <v>9643.0</v>
      </c>
      <c r="F15" s="7">
        <f>SUMIFS('Rozpad-dle-produktu'!$J$10:$J$18,'Rozpad-dle-produktu'!$C$10:$C$18,"TW")+SUMIFS('Rozpad-dle-produktu'!$J$10:$J$18,'Rozpad-dle-produktu'!$C$10:$C$18,"MW-A")+SUMIFS('Rozpad-dle-produktu'!$J$10:$J$18,'Rozpad-dle-produktu'!$C$10:$C$18,"MW-U")+SUMIFS('Rozpad-dle-produktu'!$J$10:$J$18,'Rozpad-dle-produktu'!$C$10:$C$18,"HW")+SUMIFS('Rozpad-dle-produktu'!$J$10:$J$18,'Rozpad-dle-produktu'!$C$10:$C$18,"KIT")</f>
        <v>11430.0</v>
      </c>
      <c r="G15" s="8">
        <f>SUMIFS('Rozpad-dle-produktu'!$G$10:$G$18,'Rozpad-dle-produktu'!$C$10:$C$18,"TW")+SUMIFS('Rozpad-dle-produktu'!$G$10:$G$18,'Rozpad-dle-produktu'!$C$10:$C$18,"MW-A")+SUMIFS('Rozpad-dle-produktu'!$G$10:$G$18,'Rozpad-dle-produktu'!$C$10:$C$18,"MW-U")+SUMIFS('Rozpad-dle-produktu'!$G$10:$G$18,'Rozpad-dle-produktu'!$C$10:$C$18,"HW")+SUMIFS('Rozpad-dle-produktu'!$G$10:$G$18,'Rozpad-dle-produktu'!$C$10:$C$18,"KIT")</f>
        <v>135205.0</v>
      </c>
      <c r="H15" s="6" t="inlineStr">
        <is>
          <t>ks / m / sada</t>
        </is>
      </c>
      <c r="I15" s="7">
        <f>SUMIFS('Rozpad-dle-produktu'!$K$10:$K$18,'Rozpad-dle-produktu'!$C$10:$C$18,"TW")+SUMIFS('Rozpad-dle-produktu'!$K$10:$K$18,'Rozpad-dle-produktu'!$C$10:$C$18,"MW-A")+SUMIFS('Rozpad-dle-produktu'!$K$10:$K$18,'Rozpad-dle-produktu'!$C$10:$C$18,"MW-U")+SUMIFS('Rozpad-dle-produktu'!$K$10:$K$18,'Rozpad-dle-produktu'!$C$10:$C$18,"HW")+SUMIFS('Rozpad-dle-produktu'!$K$10:$K$18,'Rozpad-dle-produktu'!$C$10:$C$18,"KIT")</f>
        <v>66943.32</v>
      </c>
      <c r="J15" s="6" t="inlineStr">
        <is>
          <t>Ne / No</t>
        </is>
      </c>
      <c r="K15" s="6" t="inlineStr">
        <is>
          <t>Ne / No — žádné opatření nezjištěno</t>
        </is>
      </c>
    </row>
    <row r="16" ht="58" customHeight="1">
      <c r="A16" s="9" t="inlineStr">
        <is>
          <t>Guangdong Grandview Technology Co., Ltd, Dongguan, Guangdong, China</t>
        </is>
      </c>
      <c r="B16" s="9" t="inlineStr">
        <is>
          <t>k určení / TBC</t>
        </is>
      </c>
      <c r="C16" s="9" t="inlineStr">
        <is>
          <t>Tiskové (značkovací) kolečko — zboží nespecifikováno, nutno doplnit</t>
        </is>
      </c>
      <c r="D16" s="9" t="inlineStr">
        <is>
          <t>Type wheel (printing/marking wheel) — not specified, needs identification</t>
        </is>
      </c>
      <c r="E16" s="10">
        <f>SUMIFS('Rozpad-dle-produktu'!$I$10:$I$18,'Rozpad-dle-produktu'!$C$10:$C$18,"OTH")</f>
        <v>0.0</v>
      </c>
      <c r="F16" s="10">
        <f>SUMIFS('Rozpad-dle-produktu'!$J$10:$J$18,'Rozpad-dle-produktu'!$C$10:$C$18,"OTH")</f>
        <v>0.0</v>
      </c>
      <c r="G16" s="11">
        <f>SUMIFS('Rozpad-dle-produktu'!$G$10:$G$18,'Rozpad-dle-produktu'!$C$10:$C$18,"OTH")</f>
        <v>3.0</v>
      </c>
      <c r="H16" s="9" t="inlineStr">
        <is>
          <t>ks / pcs</t>
        </is>
      </c>
      <c r="I16" s="10">
        <f>SUMIFS('Rozpad-dle-produktu'!$K$10:$K$18,'Rozpad-dle-produktu'!$C$10:$C$18,"OTH")</f>
        <v>120.0</v>
      </c>
      <c r="J16" s="9" t="inlineStr">
        <is>
          <t>Ne / No</t>
        </is>
      </c>
      <c r="K16" s="9" t="inlineStr">
        <is>
          <t>Ne / No</t>
        </is>
      </c>
    </row>
    <row r="17">
      <c r="A17" s="12" t="n"/>
      <c r="B17" s="12" t="n"/>
      <c r="C17" s="12" t="n"/>
      <c r="D17" s="12" t="inlineStr">
        <is>
          <t>CELKEM / TOTAL</t>
        </is>
      </c>
      <c r="E17" s="13">
        <f>SUM(E15:E16)</f>
        <v>9643.0</v>
      </c>
      <c r="F17" s="13">
        <f>SUM(F15:F16)</f>
        <v>11430.0</v>
      </c>
      <c r="G17" s="14">
        <f>SUM(G15:G16)</f>
        <v>135208.0</v>
      </c>
      <c r="H17" s="12" t="n"/>
      <c r="I17" s="13">
        <f>SUM(I15:I16)</f>
        <v>67063.32</v>
      </c>
      <c r="J17" s="12" t="n"/>
      <c r="K17" s="12" t="n"/>
    </row>
    <row r="19">
      <c r="A19" s="15" t="inlineStr">
        <is>
          <t>Kontrola / Reconciliation</t>
        </is>
      </c>
    </row>
    <row r="20">
      <c r="A20" s="16" t="inlineStr">
        <is>
          <t>Hrubá hmotnost vs B/L F202615259</t>
        </is>
      </c>
      <c r="E20" s="17">
        <f>F17</f>
        <v>11430.0</v>
      </c>
      <c r="F20" s="18" t="n">
        <v>11430</v>
      </c>
      <c r="G20" s="19" t="str">
        <f>IF(ROUND(E20-F20,2)=0,"OK","ROZDÍL / DIFF")</f>
        <v>OK</v>
      </c>
    </row>
    <row r="21">
      <c r="A21" s="16" t="inlineStr">
        <is>
          <t>Čistá hmotnost vs balicí listy PL-504 + PL-902</t>
        </is>
      </c>
      <c r="E21" s="17">
        <f>E17</f>
        <v>9643.0</v>
      </c>
      <c r="F21" s="18" t="n">
        <v>9643</v>
      </c>
      <c r="G21" s="19" t="str">
        <f>IF(ROUND(E21-F21,2)=0,"OK","ROZDÍL / DIFF")</f>
        <v>OK</v>
      </c>
    </row>
    <row r="22">
      <c r="A22" s="16" t="inlineStr">
        <is>
          <t>Celní hodnota vs faktury CI-26051504 + CI-26051902</t>
        </is>
      </c>
      <c r="E22" s="17">
        <f>I17</f>
        <v>67063.32</v>
      </c>
      <c r="F22" s="18" t="n">
        <v>67063.32000000001</v>
      </c>
      <c r="G22" s="19" t="str">
        <f>IF(ROUND(E22-F22,2)=0,"OK","ROZDÍL / DIFF")</f>
        <v>OK</v>
      </c>
    </row>
    <row r="23">
      <c r="A23" s="20" t="inlineStr">
        <is>
          <t>Modrá = hodnota převzatá z dokladu; černá = vypočteno vzorcem.</t>
        </is>
      </c>
    </row>
  </sheetData>
  <mergeCells count="13">
    <mergeCell ref="B8:K8"/>
    <mergeCell ref="B4:K4"/>
    <mergeCell ref="A22:D22"/>
    <mergeCell ref="B9:K9"/>
    <mergeCell ref="A20:D20"/>
    <mergeCell ref="A21:D21"/>
    <mergeCell ref="B12:K12"/>
    <mergeCell ref="B7:K7"/>
    <mergeCell ref="B6:K6"/>
    <mergeCell ref="B10:K10"/>
    <mergeCell ref="B11:K11"/>
    <mergeCell ref="B3:K3"/>
    <mergeCell ref="B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6" customWidth="1" min="3" max="3"/>
    <col width="9" customWidth="1" min="4" max="4"/>
    <col width="46" customWidth="1" min="5" max="5"/>
    <col width="26" customWidth="1" min="6" max="6"/>
    <col width="12" customWidth="1" min="7" max="7"/>
    <col width="9" customWidth="1" min="8" max="8"/>
    <col width="15" customWidth="1" min="9" max="9"/>
    <col width="16" customWidth="1" min="10" max="10"/>
  </cols>
  <sheetData>
    <row r="1" ht="30" customHeight="1">
      <c r="A1" s="5" t="inlineStr">
        <is>
          <t>Konsignace / Consignment</t>
        </is>
      </c>
      <c r="B1" s="5" t="inlineStr">
        <is>
          <t>Řádek / Line</t>
        </is>
      </c>
      <c r="C1" s="5" t="inlineStr">
        <is>
          <t>Customer PN</t>
        </is>
      </c>
      <c r="D1" s="5" t="inlineStr">
        <is>
          <t>Skupina / Group</t>
        </is>
      </c>
      <c r="E1" s="5" t="inlineStr">
        <is>
          <t>Popis / Description</t>
        </is>
      </c>
      <c r="F1" s="5" t="inlineStr">
        <is>
          <t>Rozměr / Spec</t>
        </is>
      </c>
      <c r="G1" s="5" t="inlineStr">
        <is>
          <t>Množství / Qty</t>
        </is>
      </c>
      <c r="H1" s="5" t="inlineStr">
        <is>
          <t>MJ / Unit</t>
        </is>
      </c>
      <c r="I1" s="5" t="inlineStr">
        <is>
          <t>Jedn. cena / Unit price (USD)</t>
        </is>
      </c>
      <c r="J1" s="5" t="inlineStr">
        <is>
          <t>Hodnota / Value (USD)</t>
        </is>
      </c>
    </row>
    <row r="2">
      <c r="A2" t="inlineStr">
        <is>
          <t>CI-26051504</t>
        </is>
      </c>
      <c r="B2" t="n">
        <v>1</v>
      </c>
      <c r="C2" t="inlineStr">
        <is>
          <t>MSTS2403A037</t>
        </is>
      </c>
      <c r="D2" t="inlineStr">
        <is>
          <t>KIT</t>
        </is>
      </c>
      <c r="E2" t="inlineStr">
        <is>
          <t>MSTS cable jointing/termination kits (sets of heat-shrink tubes)</t>
        </is>
      </c>
      <c r="F2" t="inlineStr">
        <is>
          <t>PO: 3x MW45/12- 250mm+1xHW115/34- 900 mm PO:</t>
        </is>
      </c>
      <c r="G2" s="21" t="n">
        <v>630</v>
      </c>
      <c r="H2" t="inlineStr">
        <is>
          <t>kit</t>
        </is>
      </c>
      <c r="I2" s="22" t="n">
        <v>5.22</v>
      </c>
      <c r="J2" s="23" t="n">
        <v>3288.6</v>
      </c>
    </row>
    <row r="3">
      <c r="A3" t="inlineStr">
        <is>
          <t>CI-26051504</t>
        </is>
      </c>
      <c r="B3" t="n">
        <v>2</v>
      </c>
      <c r="C3" t="inlineStr">
        <is>
          <t>MHWT00903A10</t>
        </is>
      </c>
      <c r="D3" t="inlineStr">
        <is>
          <t>HW</t>
        </is>
      </c>
      <c r="E3" t="inlineStr">
        <is>
          <t>Heavywall heat-shrink tubing with adhesive (GHWT)</t>
        </is>
      </c>
      <c r="F3" t="inlineStr">
        <is>
          <t>HW 9/3- 1000mm</t>
        </is>
      </c>
      <c r="G3" s="21" t="n">
        <v>440</v>
      </c>
      <c r="H3" t="inlineStr">
        <is>
          <t>pcs</t>
        </is>
      </c>
      <c r="I3" s="22" t="n">
        <v>0.447</v>
      </c>
      <c r="J3" s="23" t="n">
        <v>196.68</v>
      </c>
    </row>
    <row r="4">
      <c r="A4" t="inlineStr">
        <is>
          <t>CI-26051504</t>
        </is>
      </c>
      <c r="B4" t="n">
        <v>3</v>
      </c>
      <c r="C4" t="inlineStr">
        <is>
          <t>MHWT01605A10</t>
        </is>
      </c>
      <c r="D4" t="inlineStr">
        <is>
          <t>HW</t>
        </is>
      </c>
      <c r="E4" t="inlineStr">
        <is>
          <t>Heavywall heat-shrink tubing with adhesive (GHWT)</t>
        </is>
      </c>
      <c r="F4" t="inlineStr">
        <is>
          <t>HW16/5- 1000mm</t>
        </is>
      </c>
      <c r="G4" s="21" t="n">
        <v>100</v>
      </c>
      <c r="H4" t="inlineStr">
        <is>
          <t>pcs</t>
        </is>
      </c>
      <c r="I4" s="22" t="n">
        <v>0.589</v>
      </c>
      <c r="J4" s="23" t="n">
        <v>58.9</v>
      </c>
    </row>
    <row r="5">
      <c r="A5" t="inlineStr">
        <is>
          <t>CI-26051504</t>
        </is>
      </c>
      <c r="B5" t="n">
        <v>4</v>
      </c>
      <c r="C5" t="inlineStr">
        <is>
          <t>MHWT01905A10</t>
        </is>
      </c>
      <c r="D5" t="inlineStr">
        <is>
          <t>HW</t>
        </is>
      </c>
      <c r="E5" t="inlineStr">
        <is>
          <t>Heavywall heat-shrink tubing with adhesive (GHWT)</t>
        </is>
      </c>
      <c r="F5" t="inlineStr">
        <is>
          <t>HW19/5- 1000mm</t>
        </is>
      </c>
      <c r="G5" s="21" t="n">
        <v>50</v>
      </c>
      <c r="H5" t="inlineStr">
        <is>
          <t>pcs</t>
        </is>
      </c>
      <c r="I5" s="22" t="n">
        <v>0.656</v>
      </c>
      <c r="J5" s="23" t="n">
        <v>32.8</v>
      </c>
    </row>
    <row r="6">
      <c r="A6" t="inlineStr">
        <is>
          <t>CI-26051504</t>
        </is>
      </c>
      <c r="B6" t="n">
        <v>5</v>
      </c>
      <c r="C6" t="inlineStr">
        <is>
          <t>MHWT03308A10</t>
        </is>
      </c>
      <c r="D6" t="inlineStr">
        <is>
          <t>HW</t>
        </is>
      </c>
      <c r="E6" t="inlineStr">
        <is>
          <t>Heavywall heat-shrink tubing with adhesive (GHWT)</t>
        </is>
      </c>
      <c r="F6" t="inlineStr">
        <is>
          <t>HW 33/8- 1000mm</t>
        </is>
      </c>
      <c r="G6" s="21" t="n">
        <v>2000</v>
      </c>
      <c r="H6" t="inlineStr">
        <is>
          <t>pcs</t>
        </is>
      </c>
      <c r="I6" s="22" t="n">
        <v>0.922</v>
      </c>
      <c r="J6" s="23" t="n">
        <v>1844</v>
      </c>
    </row>
    <row r="7">
      <c r="A7" t="inlineStr">
        <is>
          <t>CI-26051504</t>
        </is>
      </c>
      <c r="B7" t="n">
        <v>6</v>
      </c>
      <c r="C7" t="inlineStr">
        <is>
          <t>MHWT05516A10</t>
        </is>
      </c>
      <c r="D7" t="inlineStr">
        <is>
          <t>HW</t>
        </is>
      </c>
      <c r="E7" t="inlineStr">
        <is>
          <t>Heavywall heat-shrink tubing with adhesive (GHWT)</t>
        </is>
      </c>
      <c r="F7" t="inlineStr">
        <is>
          <t>HW 55/16- 1000mm</t>
        </is>
      </c>
      <c r="G7" s="21" t="n">
        <v>50</v>
      </c>
      <c r="H7" t="inlineStr">
        <is>
          <t>pcs</t>
        </is>
      </c>
      <c r="I7" s="22" t="n">
        <v>1.615</v>
      </c>
      <c r="J7" s="23" t="n">
        <v>80.75</v>
      </c>
    </row>
    <row r="8">
      <c r="A8" t="inlineStr">
        <is>
          <t>CI-26051504</t>
        </is>
      </c>
      <c r="B8" t="n">
        <v>7</v>
      </c>
      <c r="C8" t="inlineStr">
        <is>
          <t>MHWT07522A10</t>
        </is>
      </c>
      <c r="D8" t="inlineStr">
        <is>
          <t>HW</t>
        </is>
      </c>
      <c r="E8" t="inlineStr">
        <is>
          <t>Heavywall heat-shrink tubing with adhesive (GHWT)</t>
        </is>
      </c>
      <c r="F8" t="inlineStr">
        <is>
          <t>HW 75/22- 1000mm</t>
        </is>
      </c>
      <c r="G8" s="21" t="n">
        <v>50</v>
      </c>
      <c r="H8" t="inlineStr">
        <is>
          <t>pcs</t>
        </is>
      </c>
      <c r="I8" s="22" t="n">
        <v>2.233</v>
      </c>
      <c r="J8" s="23" t="n">
        <v>111.65</v>
      </c>
    </row>
    <row r="9">
      <c r="A9" t="inlineStr">
        <is>
          <t>CI-26051504</t>
        </is>
      </c>
      <c r="B9" t="n">
        <v>8</v>
      </c>
      <c r="C9" t="inlineStr">
        <is>
          <t>MMWT01905A10</t>
        </is>
      </c>
      <c r="D9" t="inlineStr">
        <is>
          <t>MW-A</t>
        </is>
      </c>
      <c r="E9" t="inlineStr">
        <is>
          <t>Mediumwall heat-shrink tubing with adhesive (GMWT)</t>
        </is>
      </c>
      <c r="F9" t="inlineStr">
        <is>
          <t>MW 19/5- 1000mm</t>
        </is>
      </c>
      <c r="G9" s="21" t="n">
        <v>1000</v>
      </c>
      <c r="H9" t="inlineStr">
        <is>
          <t>pcs</t>
        </is>
      </c>
      <c r="I9" s="22" t="n">
        <v>0.608</v>
      </c>
      <c r="J9" s="23" t="n">
        <v>608</v>
      </c>
    </row>
    <row r="10">
      <c r="A10" t="inlineStr">
        <is>
          <t>CI-26051504</t>
        </is>
      </c>
      <c r="B10" t="n">
        <v>9</v>
      </c>
      <c r="C10" t="inlineStr">
        <is>
          <t>MMWT09525A10</t>
        </is>
      </c>
      <c r="D10" t="inlineStr">
        <is>
          <t>MW-A</t>
        </is>
      </c>
      <c r="E10" t="inlineStr">
        <is>
          <t>Mediumwall heat-shrink tubing with adhesive (GMWT)</t>
        </is>
      </c>
      <c r="F10" t="inlineStr">
        <is>
          <t>MW 95/25- 1000mm</t>
        </is>
      </c>
      <c r="G10" s="21" t="n">
        <v>150</v>
      </c>
      <c r="H10" t="inlineStr">
        <is>
          <t>pcs</t>
        </is>
      </c>
      <c r="I10" s="22" t="n">
        <v>2.394</v>
      </c>
      <c r="J10" s="23" t="n">
        <v>359.1</v>
      </c>
    </row>
    <row r="11">
      <c r="A11" t="inlineStr">
        <is>
          <t>CI-26051504</t>
        </is>
      </c>
      <c r="B11" t="n">
        <v>10</v>
      </c>
      <c r="C11" t="inlineStr">
        <is>
          <t>MMWT00802A10</t>
        </is>
      </c>
      <c r="D11" t="inlineStr">
        <is>
          <t>MW-A</t>
        </is>
      </c>
      <c r="E11" t="inlineStr">
        <is>
          <t>Mediumwall heat-shrink tubing with adhesive (GMWT)</t>
        </is>
      </c>
      <c r="F11" t="inlineStr">
        <is>
          <t>MW 8/2- 1000mm</t>
        </is>
      </c>
      <c r="G11" s="21" t="n">
        <v>200</v>
      </c>
      <c r="H11" t="inlineStr">
        <is>
          <t>pcs</t>
        </is>
      </c>
      <c r="I11" s="22" t="n">
        <v>0.295</v>
      </c>
      <c r="J11" s="23" t="n">
        <v>59</v>
      </c>
    </row>
    <row r="12">
      <c r="A12" t="inlineStr">
        <is>
          <t>CI-26051504</t>
        </is>
      </c>
      <c r="B12" t="n">
        <v>11</v>
      </c>
      <c r="C12" t="inlineStr">
        <is>
          <t>MMWT07522A10</t>
        </is>
      </c>
      <c r="D12" t="inlineStr">
        <is>
          <t>MW-A</t>
        </is>
      </c>
      <c r="E12" t="inlineStr">
        <is>
          <t>Mediumwall heat-shrink tubing with adhesive (GMWT)</t>
        </is>
      </c>
      <c r="F12" t="inlineStr">
        <is>
          <t>MW 75/22- 1000mm</t>
        </is>
      </c>
      <c r="G12" s="21" t="n">
        <v>215</v>
      </c>
      <c r="H12" t="inlineStr">
        <is>
          <t>pcs</t>
        </is>
      </c>
      <c r="I12" s="22" t="n">
        <v>1.976</v>
      </c>
      <c r="J12" s="23" t="n">
        <v>424.84</v>
      </c>
    </row>
    <row r="13">
      <c r="A13" t="inlineStr">
        <is>
          <t>CI-26051504</t>
        </is>
      </c>
      <c r="B13" t="n">
        <v>12</v>
      </c>
      <c r="C13" t="inlineStr">
        <is>
          <t>MSTS0162A037</t>
        </is>
      </c>
      <c r="D13" t="inlineStr">
        <is>
          <t>KIT</t>
        </is>
      </c>
      <c r="E13" t="inlineStr">
        <is>
          <t>MSTS cable jointing/termination kits (sets of heat-shrink tubes)</t>
        </is>
      </c>
      <c r="F13" t="inlineStr">
        <is>
          <t>4xMW12/3-80mm+1xHW33/8- 330mm 4xMW 45/12-250mm+1HW</t>
        </is>
      </c>
      <c r="G13" s="21" t="n">
        <v>1050</v>
      </c>
      <c r="H13" t="inlineStr">
        <is>
          <t>kit</t>
        </is>
      </c>
      <c r="I13" s="22" t="n">
        <v>0.6879999999999999</v>
      </c>
      <c r="J13" s="23" t="n">
        <v>722.4</v>
      </c>
    </row>
    <row r="14">
      <c r="A14" t="inlineStr">
        <is>
          <t>CI-26051504</t>
        </is>
      </c>
      <c r="B14" t="n">
        <v>13</v>
      </c>
      <c r="C14" t="inlineStr">
        <is>
          <t>MSTS2404A037</t>
        </is>
      </c>
      <c r="D14" t="inlineStr">
        <is>
          <t>KIT</t>
        </is>
      </c>
      <c r="E14" t="inlineStr">
        <is>
          <t>MSTS cable jointing/termination kits (sets of heat-shrink tubes)</t>
        </is>
      </c>
      <c r="F14" t="inlineStr">
        <is>
          <t>330mm 4xMW 45/12-250mm+1HW 130/36-900mm PO:</t>
        </is>
      </c>
      <c r="G14" s="21" t="n">
        <v>360</v>
      </c>
      <c r="H14" t="inlineStr">
        <is>
          <t>kit</t>
        </is>
      </c>
      <c r="I14" s="22" t="n">
        <v>5.917</v>
      </c>
      <c r="J14" s="23" t="n">
        <v>2130.12</v>
      </c>
    </row>
    <row r="15">
      <c r="A15" t="inlineStr">
        <is>
          <t>CI-26051504</t>
        </is>
      </c>
      <c r="B15" t="n">
        <v>14</v>
      </c>
      <c r="C15" t="inlineStr">
        <is>
          <t>MHWT03308A10</t>
        </is>
      </c>
      <c r="D15" t="inlineStr">
        <is>
          <t>HW</t>
        </is>
      </c>
      <c r="E15" t="inlineStr">
        <is>
          <t>Heavywall heat-shrink tubing with adhesive (GHWT)</t>
        </is>
      </c>
      <c r="F15" t="inlineStr">
        <is>
          <t>HW 33/8- 1000mm</t>
        </is>
      </c>
      <c r="G15" s="21" t="n">
        <v>2400</v>
      </c>
      <c r="H15" t="inlineStr">
        <is>
          <t>pcs</t>
        </is>
      </c>
      <c r="I15" s="22" t="n">
        <v>0.922</v>
      </c>
      <c r="J15" s="23" t="n">
        <v>2212.8</v>
      </c>
    </row>
    <row r="16">
      <c r="A16" t="inlineStr">
        <is>
          <t>CI-26051504</t>
        </is>
      </c>
      <c r="B16" t="n">
        <v>15</v>
      </c>
      <c r="C16" t="inlineStr">
        <is>
          <t>MHWT10529A10</t>
        </is>
      </c>
      <c r="D16" t="inlineStr">
        <is>
          <t>HW</t>
        </is>
      </c>
      <c r="E16" t="inlineStr">
        <is>
          <t>Heavywall heat-shrink tubing with adhesive (GHWT)</t>
        </is>
      </c>
      <c r="F16" t="inlineStr">
        <is>
          <t>HW105/29- 1000mm</t>
        </is>
      </c>
      <c r="G16" s="21" t="n">
        <v>30</v>
      </c>
      <c r="H16" t="inlineStr">
        <is>
          <t>pcs</t>
        </is>
      </c>
      <c r="I16" s="22" t="n">
        <v>3.116</v>
      </c>
      <c r="J16" s="23" t="n">
        <v>93.48</v>
      </c>
    </row>
    <row r="17">
      <c r="A17" t="inlineStr">
        <is>
          <t>CI-26051504</t>
        </is>
      </c>
      <c r="B17" t="n">
        <v>16</v>
      </c>
      <c r="C17" t="inlineStr">
        <is>
          <t>MHWT11534A10</t>
        </is>
      </c>
      <c r="D17" t="inlineStr">
        <is>
          <t>HW</t>
        </is>
      </c>
      <c r="E17" t="inlineStr">
        <is>
          <t>Heavywall heat-shrink tubing with adhesive (GHWT)</t>
        </is>
      </c>
      <c r="F17" t="inlineStr">
        <is>
          <t>HW 115/34- 1000mm</t>
        </is>
      </c>
      <c r="G17" s="21" t="n">
        <v>10</v>
      </c>
      <c r="H17" t="inlineStr">
        <is>
          <t>pcs</t>
        </is>
      </c>
      <c r="I17" s="22" t="n">
        <v>4.209</v>
      </c>
      <c r="J17" s="23" t="n">
        <v>42.09</v>
      </c>
    </row>
    <row r="18">
      <c r="A18" t="inlineStr">
        <is>
          <t>CI-26051504</t>
        </is>
      </c>
      <c r="B18" t="n">
        <v>17</v>
      </c>
      <c r="C18" t="inlineStr">
        <is>
          <t>MHWT14042A10</t>
        </is>
      </c>
      <c r="D18" t="inlineStr">
        <is>
          <t>HW</t>
        </is>
      </c>
      <c r="E18" t="inlineStr">
        <is>
          <t>Heavywall heat-shrink tubing with adhesive (GHWT)</t>
        </is>
      </c>
      <c r="F18" t="inlineStr">
        <is>
          <t>HW 140/42- 1000mm</t>
        </is>
      </c>
      <c r="G18" s="21" t="n">
        <v>10</v>
      </c>
      <c r="H18" t="inlineStr">
        <is>
          <t>pcs</t>
        </is>
      </c>
      <c r="I18" s="22" t="n">
        <v>5.586</v>
      </c>
      <c r="J18" s="23" t="n">
        <v>55.86</v>
      </c>
    </row>
    <row r="19">
      <c r="A19" t="inlineStr">
        <is>
          <t>CI-26051504</t>
        </is>
      </c>
      <c r="B19" t="n">
        <v>18</v>
      </c>
      <c r="C19" t="inlineStr">
        <is>
          <t>MHWT18058A10</t>
        </is>
      </c>
      <c r="D19" t="inlineStr">
        <is>
          <t>HW</t>
        </is>
      </c>
      <c r="E19" t="inlineStr">
        <is>
          <t>Heavywall heat-shrink tubing with adhesive (GHWT)</t>
        </is>
      </c>
      <c r="F19" t="inlineStr">
        <is>
          <t>HW 180/58- 1000mm</t>
        </is>
      </c>
      <c r="G19" s="21" t="n">
        <v>10</v>
      </c>
      <c r="H19" t="inlineStr">
        <is>
          <t>pcs</t>
        </is>
      </c>
      <c r="I19" s="22" t="n">
        <v>8.237</v>
      </c>
      <c r="J19" s="23" t="n">
        <v>82.37</v>
      </c>
    </row>
    <row r="20">
      <c r="A20" t="inlineStr">
        <is>
          <t>CI-26051504</t>
        </is>
      </c>
      <c r="B20" t="n">
        <v>19</v>
      </c>
      <c r="C20" t="inlineStr">
        <is>
          <t>MMWT00802A10</t>
        </is>
      </c>
      <c r="D20" t="inlineStr">
        <is>
          <t>MW-A</t>
        </is>
      </c>
      <c r="E20" t="inlineStr">
        <is>
          <t>Mediumwall heat-shrink tubing with adhesive (GMWT)</t>
        </is>
      </c>
      <c r="F20" t="inlineStr">
        <is>
          <t>MW 8/2- 1000mm</t>
        </is>
      </c>
      <c r="G20" s="21" t="n">
        <v>1000</v>
      </c>
      <c r="H20" t="inlineStr">
        <is>
          <t>pcs</t>
        </is>
      </c>
      <c r="I20" s="22" t="n">
        <v>0.295</v>
      </c>
      <c r="J20" s="23" t="n">
        <v>295</v>
      </c>
    </row>
    <row r="21">
      <c r="A21" t="inlineStr">
        <is>
          <t>CI-26051504</t>
        </is>
      </c>
      <c r="B21" t="n">
        <v>20</v>
      </c>
      <c r="C21" t="inlineStr">
        <is>
          <t>MMWT01203A10</t>
        </is>
      </c>
      <c r="D21" t="inlineStr">
        <is>
          <t>MW-A</t>
        </is>
      </c>
      <c r="E21" t="inlineStr">
        <is>
          <t>Mediumwall heat-shrink tubing with adhesive (GMWT)</t>
        </is>
      </c>
      <c r="F21" t="inlineStr">
        <is>
          <t>MW 12/3- 1000mm</t>
        </is>
      </c>
      <c r="G21" s="21" t="n">
        <v>6400</v>
      </c>
      <c r="H21" t="inlineStr">
        <is>
          <t>pcs</t>
        </is>
      </c>
      <c r="I21" s="22" t="n">
        <v>0.447</v>
      </c>
      <c r="J21" s="23" t="n">
        <v>2860.8</v>
      </c>
    </row>
    <row r="22">
      <c r="A22" t="inlineStr">
        <is>
          <t>CI-26051504</t>
        </is>
      </c>
      <c r="B22" t="n">
        <v>21</v>
      </c>
      <c r="C22" t="inlineStr">
        <is>
          <t>MMWT01905A10</t>
        </is>
      </c>
      <c r="D22" t="inlineStr">
        <is>
          <t>MW-A</t>
        </is>
      </c>
      <c r="E22" t="inlineStr">
        <is>
          <t>Mediumwall heat-shrink tubing with adhesive (GMWT)</t>
        </is>
      </c>
      <c r="F22" t="inlineStr">
        <is>
          <t>MW 19/5- 1000mm</t>
        </is>
      </c>
      <c r="G22" s="21" t="n">
        <v>8500</v>
      </c>
      <c r="H22" t="inlineStr">
        <is>
          <t>pcs</t>
        </is>
      </c>
      <c r="I22" s="22" t="n">
        <v>0.608</v>
      </c>
      <c r="J22" s="23" t="n">
        <v>5168</v>
      </c>
    </row>
    <row r="23">
      <c r="A23" t="inlineStr">
        <is>
          <t>CI-26051504</t>
        </is>
      </c>
      <c r="B23" t="n">
        <v>22</v>
      </c>
      <c r="C23" t="inlineStr">
        <is>
          <t>MMWT02206A10</t>
        </is>
      </c>
      <c r="D23" t="inlineStr">
        <is>
          <t>MW-A</t>
        </is>
      </c>
      <c r="E23" t="inlineStr">
        <is>
          <t>Mediumwall heat-shrink tubing with adhesive (GMWT)</t>
        </is>
      </c>
      <c r="F23" t="inlineStr">
        <is>
          <t>MW 22/6- 1000mm</t>
        </is>
      </c>
      <c r="G23" s="21" t="n">
        <v>100</v>
      </c>
      <c r="H23" t="inlineStr">
        <is>
          <t>pcs</t>
        </is>
      </c>
      <c r="I23" s="22" t="n">
        <v>0.665</v>
      </c>
      <c r="J23" s="23" t="n">
        <v>66.5</v>
      </c>
    </row>
    <row r="24">
      <c r="A24" t="inlineStr">
        <is>
          <t>CI-26051504</t>
        </is>
      </c>
      <c r="B24" t="n">
        <v>23</v>
      </c>
      <c r="C24" t="inlineStr">
        <is>
          <t>MMWT02206U10</t>
        </is>
      </c>
      <c r="D24" t="inlineStr">
        <is>
          <t>MW-U</t>
        </is>
      </c>
      <c r="E24" t="inlineStr">
        <is>
          <t>Mediumwall heat-shrink tubing without adhesive (GMWT/U)</t>
        </is>
      </c>
      <c r="F24" t="inlineStr">
        <is>
          <t>MW 22/6- 1000mm</t>
        </is>
      </c>
      <c r="G24" s="21" t="n">
        <v>480</v>
      </c>
      <c r="H24" t="inlineStr">
        <is>
          <t>pcs</t>
        </is>
      </c>
      <c r="I24" s="22" t="n">
        <v>0.608</v>
      </c>
      <c r="J24" s="23" t="n">
        <v>291.84</v>
      </c>
    </row>
    <row r="25">
      <c r="A25" t="inlineStr">
        <is>
          <t>CI-26051504</t>
        </is>
      </c>
      <c r="B25" t="n">
        <v>24</v>
      </c>
      <c r="C25" t="inlineStr">
        <is>
          <t>MMWT02806A15</t>
        </is>
      </c>
      <c r="D25" t="inlineStr">
        <is>
          <t>MW-A</t>
        </is>
      </c>
      <c r="E25" t="inlineStr">
        <is>
          <t>Mediumwall heat-shrink tubing with adhesive (GMWT)</t>
        </is>
      </c>
      <c r="F25" t="inlineStr">
        <is>
          <t>MW 28/6- 1500mm</t>
        </is>
      </c>
      <c r="G25" s="21" t="n">
        <v>15</v>
      </c>
      <c r="H25" t="inlineStr">
        <is>
          <t>pcs</t>
        </is>
      </c>
      <c r="I25" s="22" t="n">
        <v>1.026</v>
      </c>
      <c r="J25" s="23" t="n">
        <v>15.39</v>
      </c>
    </row>
    <row r="26">
      <c r="A26" t="inlineStr">
        <is>
          <t>CI-26051504</t>
        </is>
      </c>
      <c r="B26" t="n">
        <v>25</v>
      </c>
      <c r="C26" t="inlineStr">
        <is>
          <t>MMWT03308A10</t>
        </is>
      </c>
      <c r="D26" t="inlineStr">
        <is>
          <t>MW-A</t>
        </is>
      </c>
      <c r="E26" t="inlineStr">
        <is>
          <t>Mediumwall heat-shrink tubing with adhesive (GMWT)</t>
        </is>
      </c>
      <c r="F26" t="inlineStr">
        <is>
          <t>MW 33/8- 1000mm</t>
        </is>
      </c>
      <c r="G26" s="21" t="n">
        <v>2260</v>
      </c>
      <c r="H26" t="inlineStr">
        <is>
          <t>pcs</t>
        </is>
      </c>
      <c r="I26" s="22" t="n">
        <v>0.779</v>
      </c>
      <c r="J26" s="23" t="n">
        <v>1760.54</v>
      </c>
    </row>
    <row r="27">
      <c r="A27" t="inlineStr">
        <is>
          <t>CI-26051504</t>
        </is>
      </c>
      <c r="B27" t="n">
        <v>26</v>
      </c>
      <c r="C27" t="inlineStr">
        <is>
          <t>MMWT04012A10</t>
        </is>
      </c>
      <c r="D27" t="inlineStr">
        <is>
          <t>MW-A</t>
        </is>
      </c>
      <c r="E27" t="inlineStr">
        <is>
          <t>Mediumwall heat-shrink tubing with adhesive (GMWT)</t>
        </is>
      </c>
      <c r="F27" t="inlineStr">
        <is>
          <t>MW40/12- 1000mm</t>
        </is>
      </c>
      <c r="G27" s="21" t="n">
        <v>500</v>
      </c>
      <c r="H27" t="inlineStr">
        <is>
          <t>pcs</t>
        </is>
      </c>
      <c r="I27" s="22" t="n">
        <v>0.931</v>
      </c>
      <c r="J27" s="23" t="n">
        <v>465.5</v>
      </c>
    </row>
    <row r="28">
      <c r="A28" t="inlineStr">
        <is>
          <t>CI-26051504</t>
        </is>
      </c>
      <c r="B28" t="n">
        <v>27</v>
      </c>
      <c r="C28" t="inlineStr">
        <is>
          <t>MMWT04012A15</t>
        </is>
      </c>
      <c r="D28" t="inlineStr">
        <is>
          <t>MW-A</t>
        </is>
      </c>
      <c r="E28" t="inlineStr">
        <is>
          <t>Mediumwall heat-shrink tubing with adhesive (GMWT)</t>
        </is>
      </c>
      <c r="F28" t="inlineStr">
        <is>
          <t>MW40/12- 1500mm</t>
        </is>
      </c>
      <c r="G28" s="21" t="n">
        <v>1380</v>
      </c>
      <c r="H28" t="inlineStr">
        <is>
          <t>pcs</t>
        </is>
      </c>
      <c r="I28" s="22" t="n">
        <v>1.397</v>
      </c>
      <c r="J28" s="23" t="n">
        <v>1927.86</v>
      </c>
    </row>
    <row r="29">
      <c r="A29" t="inlineStr">
        <is>
          <t>CI-26051504</t>
        </is>
      </c>
      <c r="B29" t="n">
        <v>28</v>
      </c>
      <c r="C29" t="inlineStr">
        <is>
          <t>MMWT05516A10</t>
        </is>
      </c>
      <c r="D29" t="inlineStr">
        <is>
          <t>MW-A</t>
        </is>
      </c>
      <c r="E29" t="inlineStr">
        <is>
          <t>Mediumwall heat-shrink tubing with adhesive (GMWT)</t>
        </is>
      </c>
      <c r="F29" t="inlineStr">
        <is>
          <t>MW 55/16- 1000mm</t>
        </is>
      </c>
      <c r="G29" s="21" t="n">
        <v>570</v>
      </c>
      <c r="H29" t="inlineStr">
        <is>
          <t>pcs</t>
        </is>
      </c>
      <c r="I29" s="22" t="n">
        <v>1.197</v>
      </c>
      <c r="J29" s="23" t="n">
        <v>682.29</v>
      </c>
    </row>
    <row r="30">
      <c r="A30" t="inlineStr">
        <is>
          <t>CI-26051504</t>
        </is>
      </c>
      <c r="B30" t="n">
        <v>29</v>
      </c>
      <c r="C30" t="inlineStr">
        <is>
          <t>MMWT07522A10</t>
        </is>
      </c>
      <c r="D30" t="inlineStr">
        <is>
          <t>MW-A</t>
        </is>
      </c>
      <c r="E30" t="inlineStr">
        <is>
          <t>Mediumwall heat-shrink tubing with adhesive (GMWT)</t>
        </is>
      </c>
      <c r="F30" t="inlineStr">
        <is>
          <t>MW 75/22- 1000mm</t>
        </is>
      </c>
      <c r="G30" s="21" t="n">
        <v>120</v>
      </c>
      <c r="H30" t="inlineStr">
        <is>
          <t>pcs</t>
        </is>
      </c>
      <c r="I30" s="22" t="n">
        <v>1.976</v>
      </c>
      <c r="J30" s="23" t="n">
        <v>237.12</v>
      </c>
    </row>
    <row r="31">
      <c r="A31" t="inlineStr">
        <is>
          <t>CI-26051504</t>
        </is>
      </c>
      <c r="B31" t="n">
        <v>30</v>
      </c>
      <c r="C31" t="inlineStr">
        <is>
          <t>MMWT09525A10</t>
        </is>
      </c>
      <c r="D31" t="inlineStr">
        <is>
          <t>MW-A</t>
        </is>
      </c>
      <c r="E31" t="inlineStr">
        <is>
          <t>Mediumwall heat-shrink tubing with adhesive (GMWT)</t>
        </is>
      </c>
      <c r="F31" t="inlineStr">
        <is>
          <t>MW 95/25- 1000mm</t>
        </is>
      </c>
      <c r="G31" s="21" t="n">
        <v>660</v>
      </c>
      <c r="H31" t="inlineStr">
        <is>
          <t>pcs</t>
        </is>
      </c>
      <c r="I31" s="22" t="n">
        <v>2.394</v>
      </c>
      <c r="J31" s="23" t="n">
        <v>1580.04</v>
      </c>
    </row>
    <row r="32">
      <c r="A32" t="inlineStr">
        <is>
          <t>CI-26051504</t>
        </is>
      </c>
      <c r="B32" t="n">
        <v>31</v>
      </c>
      <c r="C32" t="inlineStr">
        <is>
          <t>MMWT11534A10</t>
        </is>
      </c>
      <c r="D32" t="inlineStr">
        <is>
          <t>MW-A</t>
        </is>
      </c>
      <c r="E32" t="inlineStr">
        <is>
          <t>Mediumwall heat-shrink tubing with adhesive (GMWT)</t>
        </is>
      </c>
      <c r="F32" t="inlineStr">
        <is>
          <t>MW 115/34-1000mm</t>
        </is>
      </c>
      <c r="G32" s="21" t="n">
        <v>55</v>
      </c>
      <c r="H32" t="inlineStr">
        <is>
          <t>pcs</t>
        </is>
      </c>
      <c r="I32" s="22" t="n">
        <v>3.506</v>
      </c>
      <c r="J32" s="23" t="n">
        <v>192.83</v>
      </c>
    </row>
    <row r="33">
      <c r="A33" t="inlineStr">
        <is>
          <t>CI-26051504</t>
        </is>
      </c>
      <c r="B33" t="n">
        <v>32</v>
      </c>
      <c r="C33" t="inlineStr">
        <is>
          <t>MMWT14042A10</t>
        </is>
      </c>
      <c r="D33" t="inlineStr">
        <is>
          <t>MW-A</t>
        </is>
      </c>
      <c r="E33" t="inlineStr">
        <is>
          <t>Mediumwall heat-shrink tubing with adhesive (GMWT)</t>
        </is>
      </c>
      <c r="F33" t="inlineStr">
        <is>
          <t>MW140/42- 1000mm</t>
        </is>
      </c>
      <c r="G33" s="21" t="n">
        <v>70</v>
      </c>
      <c r="H33" t="inlineStr">
        <is>
          <t>pcs</t>
        </is>
      </c>
      <c r="I33" s="22" t="n">
        <v>4.209</v>
      </c>
      <c r="J33" s="23" t="n">
        <v>294.63</v>
      </c>
    </row>
    <row r="34">
      <c r="A34" t="inlineStr">
        <is>
          <t>CI-26051504</t>
        </is>
      </c>
      <c r="B34" t="n">
        <v>33</v>
      </c>
      <c r="C34" t="inlineStr">
        <is>
          <t>MTWA12764G10</t>
        </is>
      </c>
      <c r="D34" t="inlineStr">
        <is>
          <t>TW</t>
        </is>
      </c>
      <c r="E34" t="inlineStr">
        <is>
          <t>Thinwall heat-shrink tubing 2:1, no adhesive (GTW / GTF)</t>
        </is>
      </c>
      <c r="F34" t="inlineStr">
        <is>
          <t>1000mm</t>
        </is>
      </c>
      <c r="G34" s="21" t="n">
        <v>700</v>
      </c>
      <c r="H34" t="inlineStr">
        <is>
          <t>m</t>
        </is>
      </c>
      <c r="I34" s="22" t="n">
        <v>0.168</v>
      </c>
      <c r="J34" s="23" t="n">
        <v>117.6</v>
      </c>
    </row>
    <row r="35">
      <c r="A35" t="inlineStr">
        <is>
          <t>CI-26051504</t>
        </is>
      </c>
      <c r="B35" t="n">
        <v>34</v>
      </c>
      <c r="C35" t="inlineStr">
        <is>
          <t>MTWA12764R10</t>
        </is>
      </c>
      <c r="D35" t="inlineStr">
        <is>
          <t>TW</t>
        </is>
      </c>
      <c r="E35" t="inlineStr">
        <is>
          <t>Thinwall heat-shrink tubing 2:1, no adhesive (GTW / GTF)</t>
        </is>
      </c>
      <c r="F35" t="inlineStr"/>
      <c r="G35" s="21" t="n">
        <v>700</v>
      </c>
      <c r="H35" t="inlineStr">
        <is>
          <t>m</t>
        </is>
      </c>
      <c r="I35" s="22" t="n">
        <v>0.168</v>
      </c>
      <c r="J35" s="23" t="n">
        <v>117.6</v>
      </c>
    </row>
    <row r="36">
      <c r="A36" t="inlineStr">
        <is>
          <t>CI-26051504</t>
        </is>
      </c>
      <c r="B36" t="n">
        <v>35</v>
      </c>
      <c r="C36" t="inlineStr">
        <is>
          <t>MTWA19095G10</t>
        </is>
      </c>
      <c r="D36" t="inlineStr">
        <is>
          <t>TW</t>
        </is>
      </c>
      <c r="E36" t="inlineStr">
        <is>
          <t>Thinwall heat-shrink tubing 2:1, no adhesive (GTW / GTF)</t>
        </is>
      </c>
      <c r="F36" t="inlineStr"/>
      <c r="G36" s="21" t="n">
        <v>700</v>
      </c>
      <c r="H36" t="inlineStr">
        <is>
          <t>m</t>
        </is>
      </c>
      <c r="I36" s="22" t="n">
        <v>0.359</v>
      </c>
      <c r="J36" s="23" t="n">
        <v>251.3</v>
      </c>
    </row>
    <row r="37">
      <c r="A37" t="inlineStr">
        <is>
          <t>CI-26051504</t>
        </is>
      </c>
      <c r="B37" t="n">
        <v>36</v>
      </c>
      <c r="C37" t="inlineStr">
        <is>
          <t>MTWA19095N10</t>
        </is>
      </c>
      <c r="D37" t="inlineStr">
        <is>
          <t>TW</t>
        </is>
      </c>
      <c r="E37" t="inlineStr">
        <is>
          <t>Thinwall heat-shrink tubing 2:1, no adhesive (GTW / GTF)</t>
        </is>
      </c>
      <c r="F37" t="inlineStr"/>
      <c r="G37" s="21" t="n">
        <v>200</v>
      </c>
      <c r="H37" t="inlineStr">
        <is>
          <t>m</t>
        </is>
      </c>
      <c r="I37" s="22" t="n">
        <v>0.359</v>
      </c>
      <c r="J37" s="23" t="n">
        <v>71.8</v>
      </c>
    </row>
    <row r="38">
      <c r="A38" t="inlineStr">
        <is>
          <t>CI-26051504</t>
        </is>
      </c>
      <c r="B38" t="n">
        <v>37</v>
      </c>
      <c r="C38" t="inlineStr">
        <is>
          <t>MTWA19095R10</t>
        </is>
      </c>
      <c r="D38" t="inlineStr">
        <is>
          <t>TW</t>
        </is>
      </c>
      <c r="E38" t="inlineStr">
        <is>
          <t>Thinwall heat-shrink tubing 2:1, no adhesive (GTW / GTF)</t>
        </is>
      </c>
      <c r="F38" t="inlineStr"/>
      <c r="G38" s="21" t="n">
        <v>700</v>
      </c>
      <c r="H38" t="inlineStr">
        <is>
          <t>m</t>
        </is>
      </c>
      <c r="I38" s="22" t="n">
        <v>0.359</v>
      </c>
      <c r="J38" s="23" t="n">
        <v>251.3</v>
      </c>
    </row>
    <row r="39">
      <c r="A39" t="inlineStr">
        <is>
          <t>CI-26051504</t>
        </is>
      </c>
      <c r="B39" t="n">
        <v>38</v>
      </c>
      <c r="C39" t="inlineStr">
        <is>
          <t>MTWA19095X10</t>
        </is>
      </c>
      <c r="D39" t="inlineStr">
        <is>
          <t>TW</t>
        </is>
      </c>
      <c r="E39" t="inlineStr">
        <is>
          <t>Thinwall heat-shrink tubing 2:1, no adhesive (GTW / GTF)</t>
        </is>
      </c>
      <c r="F39" t="inlineStr"/>
      <c r="G39" s="21" t="n">
        <v>300</v>
      </c>
      <c r="H39" t="inlineStr">
        <is>
          <t>m</t>
        </is>
      </c>
      <c r="I39" s="22" t="n">
        <v>0.302</v>
      </c>
      <c r="J39" s="23" t="n">
        <v>90.59999999999999</v>
      </c>
    </row>
    <row r="40">
      <c r="A40" t="inlineStr">
        <is>
          <t>CI-26051504</t>
        </is>
      </c>
      <c r="B40" t="n">
        <v>39</v>
      </c>
      <c r="C40" t="inlineStr">
        <is>
          <t>MTWA38119G10</t>
        </is>
      </c>
      <c r="D40" t="inlineStr">
        <is>
          <t>TW</t>
        </is>
      </c>
      <c r="E40" t="inlineStr">
        <is>
          <t>Thinwall heat-shrink tubing 2:1, no adhesive (GTW / GTF)</t>
        </is>
      </c>
      <c r="F40" t="inlineStr"/>
      <c r="G40" s="21" t="n">
        <v>350</v>
      </c>
      <c r="H40" t="inlineStr">
        <is>
          <t>m</t>
        </is>
      </c>
      <c r="I40" s="22" t="n">
        <v>0.654</v>
      </c>
      <c r="J40" s="23" t="n">
        <v>228.9</v>
      </c>
    </row>
    <row r="41">
      <c r="A41" t="inlineStr">
        <is>
          <t>CI-26051504</t>
        </is>
      </c>
      <c r="B41" t="n">
        <v>40</v>
      </c>
      <c r="C41" t="inlineStr">
        <is>
          <t>MTWA38119R10</t>
        </is>
      </c>
      <c r="D41" t="inlineStr">
        <is>
          <t>TW</t>
        </is>
      </c>
      <c r="E41" t="inlineStr">
        <is>
          <t>Thinwall heat-shrink tubing 2:1, no adhesive (GTW / GTF)</t>
        </is>
      </c>
      <c r="F41" t="inlineStr"/>
      <c r="G41" s="21" t="n">
        <v>350</v>
      </c>
      <c r="H41" t="inlineStr">
        <is>
          <t>m</t>
        </is>
      </c>
      <c r="I41" s="22" t="n">
        <v>0.654</v>
      </c>
      <c r="J41" s="23" t="n">
        <v>228.9</v>
      </c>
    </row>
    <row r="42">
      <c r="A42" t="inlineStr">
        <is>
          <t>CI-26051504</t>
        </is>
      </c>
      <c r="B42" t="n">
        <v>41</v>
      </c>
      <c r="C42" t="inlineStr">
        <is>
          <t>MTWA38119X10</t>
        </is>
      </c>
      <c r="D42" t="inlineStr">
        <is>
          <t>TW</t>
        </is>
      </c>
      <c r="E42" t="inlineStr">
        <is>
          <t>Thinwall heat-shrink tubing 2:1, no adhesive (GTW / GTF)</t>
        </is>
      </c>
      <c r="F42" t="inlineStr"/>
      <c r="G42" s="21" t="n">
        <v>250</v>
      </c>
      <c r="H42" t="inlineStr">
        <is>
          <t>m</t>
        </is>
      </c>
      <c r="I42" s="22" t="n">
        <v>0.956</v>
      </c>
      <c r="J42" s="23" t="n">
        <v>239</v>
      </c>
    </row>
    <row r="43">
      <c r="A43" t="inlineStr">
        <is>
          <t>CI-26051504</t>
        </is>
      </c>
      <c r="B43" t="n">
        <v>42</v>
      </c>
      <c r="C43" t="inlineStr">
        <is>
          <t>MTWA01608B11</t>
        </is>
      </c>
      <c r="D43" t="inlineStr">
        <is>
          <t>TW</t>
        </is>
      </c>
      <c r="E43" t="inlineStr">
        <is>
          <t>Thinwall heat-shrink tubing 2:1, no adhesive (GTW / GTF)</t>
        </is>
      </c>
      <c r="F43" t="inlineStr"/>
      <c r="G43" s="21" t="n">
        <v>5000</v>
      </c>
      <c r="H43" t="inlineStr">
        <is>
          <t>pcs</t>
        </is>
      </c>
      <c r="I43" s="22" t="n">
        <v>0.032</v>
      </c>
      <c r="J43" s="23" t="n">
        <v>160</v>
      </c>
    </row>
    <row r="44">
      <c r="A44" t="inlineStr">
        <is>
          <t>CI-26051504</t>
        </is>
      </c>
      <c r="B44" t="n">
        <v>43</v>
      </c>
      <c r="C44" t="inlineStr">
        <is>
          <t>MTWA01608N11</t>
        </is>
      </c>
      <c r="D44" t="inlineStr">
        <is>
          <t>TW</t>
        </is>
      </c>
      <c r="E44" t="inlineStr">
        <is>
          <t>Thinwall heat-shrink tubing 2:1, no adhesive (GTW / GTF)</t>
        </is>
      </c>
      <c r="F44" t="inlineStr">
        <is>
          <t>MTWA12764B11</t>
        </is>
      </c>
      <c r="G44" s="21" t="n">
        <v>400</v>
      </c>
      <c r="H44" t="inlineStr">
        <is>
          <t>pcs</t>
        </is>
      </c>
      <c r="I44" s="22" t="n">
        <v>0.032</v>
      </c>
      <c r="J44" s="23" t="n">
        <v>12.8</v>
      </c>
    </row>
    <row r="45">
      <c r="A45" t="inlineStr">
        <is>
          <t>CI-26051504</t>
        </is>
      </c>
      <c r="B45" t="n">
        <v>44</v>
      </c>
      <c r="C45" t="inlineStr">
        <is>
          <t>MTWA12764B11</t>
        </is>
      </c>
      <c r="D45" t="inlineStr">
        <is>
          <t>TW</t>
        </is>
      </c>
      <c r="E45" t="inlineStr">
        <is>
          <t>Thinwall heat-shrink tubing 2:1, no adhesive (GTW / GTF)</t>
        </is>
      </c>
      <c r="F45" t="inlineStr">
        <is>
          <t>12.7/6.4</t>
        </is>
      </c>
      <c r="G45" s="21" t="n">
        <v>5000</v>
      </c>
      <c r="H45" t="inlineStr">
        <is>
          <t>pcs</t>
        </is>
      </c>
      <c r="I45" s="22" t="n">
        <v>0.158</v>
      </c>
      <c r="J45" s="23" t="n">
        <v>790</v>
      </c>
    </row>
    <row r="46">
      <c r="A46" t="inlineStr">
        <is>
          <t>CI-26051504</t>
        </is>
      </c>
      <c r="B46" t="n">
        <v>45</v>
      </c>
      <c r="C46" t="inlineStr">
        <is>
          <t>MTWA12764X11</t>
        </is>
      </c>
      <c r="D46" t="inlineStr">
        <is>
          <t>TW</t>
        </is>
      </c>
      <c r="E46" t="inlineStr">
        <is>
          <t>Thinwall heat-shrink tubing 2:1, no adhesive (GTW / GTF)</t>
        </is>
      </c>
      <c r="F46" t="inlineStr">
        <is>
          <t>12.7/6.4</t>
        </is>
      </c>
      <c r="G46" s="21" t="n">
        <v>2600</v>
      </c>
      <c r="H46" t="inlineStr">
        <is>
          <t>pcs</t>
        </is>
      </c>
      <c r="I46" s="22" t="n">
        <v>0.179</v>
      </c>
      <c r="J46" s="23" t="n">
        <v>465.4</v>
      </c>
    </row>
    <row r="47">
      <c r="A47" t="inlineStr">
        <is>
          <t>CI-26051504</t>
        </is>
      </c>
      <c r="B47" t="n">
        <v>46</v>
      </c>
      <c r="C47" t="inlineStr">
        <is>
          <t>MTWA16080B11</t>
        </is>
      </c>
      <c r="D47" t="inlineStr">
        <is>
          <t>TW</t>
        </is>
      </c>
      <c r="E47" t="inlineStr">
        <is>
          <t>Thinwall heat-shrink tubing 2:1, no adhesive (GTW / GTF)</t>
        </is>
      </c>
      <c r="F47" t="inlineStr">
        <is>
          <t>16.0/8.0</t>
        </is>
      </c>
      <c r="G47" s="21" t="n">
        <v>1300</v>
      </c>
      <c r="H47" t="inlineStr">
        <is>
          <t>pcs</t>
        </is>
      </c>
      <c r="I47" s="22" t="n">
        <v>0.21</v>
      </c>
      <c r="J47" s="23" t="n">
        <v>273</v>
      </c>
    </row>
    <row r="48">
      <c r="A48" t="inlineStr">
        <is>
          <t>CI-26051504</t>
        </is>
      </c>
      <c r="B48" t="n">
        <v>47</v>
      </c>
      <c r="C48" t="inlineStr">
        <is>
          <t>MTWA16080N11</t>
        </is>
      </c>
      <c r="D48" t="inlineStr">
        <is>
          <t>TW</t>
        </is>
      </c>
      <c r="E48" t="inlineStr">
        <is>
          <t>Thinwall heat-shrink tubing 2:1, no adhesive (GTW / GTF)</t>
        </is>
      </c>
      <c r="F48" t="inlineStr">
        <is>
          <t>16.0/8.0</t>
        </is>
      </c>
      <c r="G48" s="21" t="n">
        <v>280</v>
      </c>
      <c r="H48" t="inlineStr">
        <is>
          <t>pcs</t>
        </is>
      </c>
      <c r="I48" s="22" t="n">
        <v>0.231</v>
      </c>
      <c r="J48" s="23" t="n">
        <v>64.68000000000001</v>
      </c>
    </row>
    <row r="49">
      <c r="A49" t="inlineStr">
        <is>
          <t>CI-26051504</t>
        </is>
      </c>
      <c r="B49" t="n">
        <v>48</v>
      </c>
      <c r="C49" t="inlineStr">
        <is>
          <t>MTWA19095N11</t>
        </is>
      </c>
      <c r="D49" t="inlineStr">
        <is>
          <t>TW</t>
        </is>
      </c>
      <c r="E49" t="inlineStr">
        <is>
          <t>Thinwall heat-shrink tubing 2:1, no adhesive (GTW / GTF)</t>
        </is>
      </c>
      <c r="F49" t="inlineStr">
        <is>
          <t>19.0/9.5</t>
        </is>
      </c>
      <c r="G49" s="21" t="n">
        <v>2600</v>
      </c>
      <c r="H49" t="inlineStr">
        <is>
          <t>pcs</t>
        </is>
      </c>
      <c r="I49" s="22" t="n">
        <v>0.378</v>
      </c>
      <c r="J49" s="23" t="n">
        <v>982.8</v>
      </c>
    </row>
    <row r="50">
      <c r="A50" t="inlineStr">
        <is>
          <t>CI-26051504</t>
        </is>
      </c>
      <c r="B50" t="n">
        <v>49</v>
      </c>
      <c r="C50" t="inlineStr">
        <is>
          <t>MTWA19095X11</t>
        </is>
      </c>
      <c r="D50" t="inlineStr">
        <is>
          <t>TW</t>
        </is>
      </c>
      <c r="E50" t="inlineStr">
        <is>
          <t>Thinwall heat-shrink tubing 2:1, no adhesive (GTW / GTF)</t>
        </is>
      </c>
      <c r="F50" t="inlineStr">
        <is>
          <t>19.0/9.5</t>
        </is>
      </c>
      <c r="G50" s="21" t="n">
        <v>1800</v>
      </c>
      <c r="H50" t="inlineStr">
        <is>
          <t>pcs</t>
        </is>
      </c>
      <c r="I50" s="22" t="n">
        <v>0.315</v>
      </c>
      <c r="J50" s="23" t="n">
        <v>567</v>
      </c>
    </row>
    <row r="51">
      <c r="A51" t="inlineStr">
        <is>
          <t>CI-26051504</t>
        </is>
      </c>
      <c r="B51" t="n">
        <v>50</v>
      </c>
      <c r="C51" t="inlineStr">
        <is>
          <t>MTWA02412B11</t>
        </is>
      </c>
      <c r="D51" t="inlineStr">
        <is>
          <t>TW</t>
        </is>
      </c>
      <c r="E51" t="inlineStr">
        <is>
          <t>Thinwall heat-shrink tubing 2:1, no adhesive (GTW / GTF)</t>
        </is>
      </c>
      <c r="F51" t="inlineStr">
        <is>
          <t>19.0/9.5</t>
        </is>
      </c>
      <c r="G51" s="21" t="n">
        <v>3800</v>
      </c>
      <c r="H51" t="inlineStr">
        <is>
          <t>pcs</t>
        </is>
      </c>
      <c r="I51" s="22" t="n">
        <v>0.04</v>
      </c>
      <c r="J51" s="23" t="n">
        <v>152</v>
      </c>
    </row>
    <row r="52">
      <c r="A52" t="inlineStr">
        <is>
          <t>CI-26051504</t>
        </is>
      </c>
      <c r="B52" t="n">
        <v>51</v>
      </c>
      <c r="C52" t="inlineStr">
        <is>
          <t>MTWA02412N11</t>
        </is>
      </c>
      <c r="D52" t="inlineStr">
        <is>
          <t>TW</t>
        </is>
      </c>
      <c r="E52" t="inlineStr">
        <is>
          <t>Thinwall heat-shrink tubing 2:1, no adhesive (GTW / GTF)</t>
        </is>
      </c>
      <c r="F52" t="inlineStr"/>
      <c r="G52" s="21" t="n">
        <v>500</v>
      </c>
      <c r="H52" t="inlineStr">
        <is>
          <t>pcs</t>
        </is>
      </c>
      <c r="I52" s="22" t="n">
        <v>0.042</v>
      </c>
      <c r="J52" s="23" t="n">
        <v>21</v>
      </c>
    </row>
    <row r="53">
      <c r="A53" t="inlineStr">
        <is>
          <t>CI-26051504</t>
        </is>
      </c>
      <c r="B53" t="n">
        <v>52</v>
      </c>
      <c r="C53" t="inlineStr">
        <is>
          <t>MTWA02412R11</t>
        </is>
      </c>
      <c r="D53" t="inlineStr">
        <is>
          <t>TW</t>
        </is>
      </c>
      <c r="E53" t="inlineStr">
        <is>
          <t>Thinwall heat-shrink tubing 2:1, no adhesive (GTW / GTF)</t>
        </is>
      </c>
      <c r="F53" t="inlineStr"/>
      <c r="G53" s="21" t="n">
        <v>300</v>
      </c>
      <c r="H53" t="inlineStr">
        <is>
          <t>pcs</t>
        </is>
      </c>
      <c r="I53" s="22" t="n">
        <v>0.042</v>
      </c>
      <c r="J53" s="23" t="n">
        <v>12.6</v>
      </c>
    </row>
    <row r="54">
      <c r="A54" t="inlineStr">
        <is>
          <t>CI-26051504</t>
        </is>
      </c>
      <c r="B54" t="n">
        <v>53</v>
      </c>
      <c r="C54" t="inlineStr">
        <is>
          <t>MTWA02412X11</t>
        </is>
      </c>
      <c r="D54" t="inlineStr">
        <is>
          <t>TW</t>
        </is>
      </c>
      <c r="E54" t="inlineStr">
        <is>
          <t>Thinwall heat-shrink tubing 2:1, no adhesive (GTW / GTF)</t>
        </is>
      </c>
      <c r="F54" t="inlineStr">
        <is>
          <t>MTWA25412B11</t>
        </is>
      </c>
      <c r="G54" s="21" t="n">
        <v>300</v>
      </c>
      <c r="H54" t="inlineStr">
        <is>
          <t>pcs</t>
        </is>
      </c>
      <c r="I54" s="22" t="n">
        <v>0.095</v>
      </c>
      <c r="J54" s="23" t="n">
        <v>28.5</v>
      </c>
    </row>
    <row r="55">
      <c r="A55" t="inlineStr">
        <is>
          <t>CI-26051504</t>
        </is>
      </c>
      <c r="B55" t="n">
        <v>54</v>
      </c>
      <c r="C55" t="inlineStr">
        <is>
          <t>MTWA25412B11</t>
        </is>
      </c>
      <c r="D55" t="inlineStr">
        <is>
          <t>TW</t>
        </is>
      </c>
      <c r="E55" t="inlineStr">
        <is>
          <t>Thinwall heat-shrink tubing 2:1, no adhesive (GTW / GTF)</t>
        </is>
      </c>
      <c r="F55" t="inlineStr">
        <is>
          <t>25.4/12.7</t>
        </is>
      </c>
      <c r="G55" s="21" t="n">
        <v>2500</v>
      </c>
      <c r="H55" t="inlineStr">
        <is>
          <t>pcs</t>
        </is>
      </c>
      <c r="I55" s="22" t="n">
        <v>0.452</v>
      </c>
      <c r="J55" s="23" t="n">
        <v>1130</v>
      </c>
    </row>
    <row r="56">
      <c r="A56" t="inlineStr">
        <is>
          <t>CI-26051504</t>
        </is>
      </c>
      <c r="B56" t="n">
        <v>55</v>
      </c>
      <c r="C56" t="inlineStr">
        <is>
          <t>MTWA25412N11</t>
        </is>
      </c>
      <c r="D56" t="inlineStr">
        <is>
          <t>TW</t>
        </is>
      </c>
      <c r="E56" t="inlineStr">
        <is>
          <t>Thinwall heat-shrink tubing 2:1, no adhesive (GTW / GTF)</t>
        </is>
      </c>
      <c r="F56" t="inlineStr">
        <is>
          <t>25.4/12.7</t>
        </is>
      </c>
      <c r="G56" s="21" t="n">
        <v>2000</v>
      </c>
      <c r="H56" t="inlineStr">
        <is>
          <t>pcs</t>
        </is>
      </c>
      <c r="I56" s="22" t="n">
        <v>0.494</v>
      </c>
      <c r="J56" s="23" t="n">
        <v>988</v>
      </c>
    </row>
    <row r="57">
      <c r="A57" t="inlineStr">
        <is>
          <t>CI-26051504</t>
        </is>
      </c>
      <c r="B57" t="n">
        <v>56</v>
      </c>
      <c r="C57" t="inlineStr">
        <is>
          <t>MTWA03216B11</t>
        </is>
      </c>
      <c r="D57" t="inlineStr">
        <is>
          <t>TW</t>
        </is>
      </c>
      <c r="E57" t="inlineStr">
        <is>
          <t>Thinwall heat-shrink tubing 2:1, no adhesive (GTW / GTF)</t>
        </is>
      </c>
      <c r="F57" t="inlineStr">
        <is>
          <t>25.4/12.7</t>
        </is>
      </c>
      <c r="G57" s="21" t="n">
        <v>7500</v>
      </c>
      <c r="H57" t="inlineStr">
        <is>
          <t>pcs</t>
        </is>
      </c>
      <c r="I57" s="22" t="n">
        <v>0.042</v>
      </c>
      <c r="J57" s="23" t="n">
        <v>315</v>
      </c>
    </row>
    <row r="58">
      <c r="A58" t="inlineStr">
        <is>
          <t>CI-26051504</t>
        </is>
      </c>
      <c r="B58" t="n">
        <v>57</v>
      </c>
      <c r="C58" t="inlineStr">
        <is>
          <t>MTWA03216N11</t>
        </is>
      </c>
      <c r="D58" t="inlineStr">
        <is>
          <t>TW</t>
        </is>
      </c>
      <c r="E58" t="inlineStr">
        <is>
          <t>Thinwall heat-shrink tubing 2:1, no adhesive (GTW / GTF)</t>
        </is>
      </c>
      <c r="F58" t="inlineStr">
        <is>
          <t>MTWA31815B11</t>
        </is>
      </c>
      <c r="G58" s="21" t="n">
        <v>3000</v>
      </c>
      <c r="H58" t="inlineStr">
        <is>
          <t>pcs</t>
        </is>
      </c>
      <c r="I58" s="22" t="n">
        <v>0.053</v>
      </c>
      <c r="J58" s="23" t="n">
        <v>159</v>
      </c>
    </row>
    <row r="59">
      <c r="A59" t="inlineStr">
        <is>
          <t>CI-26051504</t>
        </is>
      </c>
      <c r="B59" t="n">
        <v>58</v>
      </c>
      <c r="C59" t="inlineStr">
        <is>
          <t>MTWA31815B11</t>
        </is>
      </c>
      <c r="D59" t="inlineStr">
        <is>
          <t>TW</t>
        </is>
      </c>
      <c r="E59" t="inlineStr">
        <is>
          <t>Thinwall heat-shrink tubing 2:1, no adhesive (GTW / GTF)</t>
        </is>
      </c>
      <c r="F59" t="inlineStr">
        <is>
          <t>31.8/15.9</t>
        </is>
      </c>
      <c r="G59" s="21" t="n">
        <v>1500</v>
      </c>
      <c r="H59" t="inlineStr">
        <is>
          <t>pcs</t>
        </is>
      </c>
      <c r="I59" s="22" t="n">
        <v>0.546</v>
      </c>
      <c r="J59" s="23" t="n">
        <v>819</v>
      </c>
    </row>
    <row r="60">
      <c r="A60" t="inlineStr">
        <is>
          <t>CI-26051504</t>
        </is>
      </c>
      <c r="B60" t="n">
        <v>59</v>
      </c>
      <c r="C60" t="inlineStr">
        <is>
          <t>MTWA31815N11</t>
        </is>
      </c>
      <c r="D60" t="inlineStr">
        <is>
          <t>TW</t>
        </is>
      </c>
      <c r="E60" t="inlineStr">
        <is>
          <t>Thinwall heat-shrink tubing 2:1, no adhesive (GTW / GTF)</t>
        </is>
      </c>
      <c r="F60" t="inlineStr">
        <is>
          <t>31.8/15.9</t>
        </is>
      </c>
      <c r="G60" s="21" t="n">
        <v>400</v>
      </c>
      <c r="H60" t="inlineStr">
        <is>
          <t>pcs</t>
        </is>
      </c>
      <c r="I60" s="22" t="n">
        <v>0.599</v>
      </c>
      <c r="J60" s="23" t="n">
        <v>239.6</v>
      </c>
    </row>
    <row r="61">
      <c r="A61" t="inlineStr">
        <is>
          <t>CI-26051504</t>
        </is>
      </c>
      <c r="B61" t="n">
        <v>60</v>
      </c>
      <c r="C61" t="inlineStr">
        <is>
          <t>MTWA38119B11</t>
        </is>
      </c>
      <c r="D61" t="inlineStr">
        <is>
          <t>TW</t>
        </is>
      </c>
      <c r="E61" t="inlineStr">
        <is>
          <t>Thinwall heat-shrink tubing 2:1, no adhesive (GTW / GTF)</t>
        </is>
      </c>
      <c r="F61" t="inlineStr">
        <is>
          <t>38.1/19.1</t>
        </is>
      </c>
      <c r="G61" s="21" t="n">
        <v>2000</v>
      </c>
      <c r="H61" t="inlineStr">
        <is>
          <t>pcs</t>
        </is>
      </c>
      <c r="I61" s="22" t="n">
        <v>0.63</v>
      </c>
      <c r="J61" s="23" t="n">
        <v>1260</v>
      </c>
    </row>
    <row r="62">
      <c r="A62" t="inlineStr">
        <is>
          <t>CI-26051504</t>
        </is>
      </c>
      <c r="B62" t="n">
        <v>61</v>
      </c>
      <c r="C62" t="inlineStr">
        <is>
          <t>MTWA38119X11</t>
        </is>
      </c>
      <c r="D62" t="inlineStr">
        <is>
          <t>TW</t>
        </is>
      </c>
      <c r="E62" t="inlineStr">
        <is>
          <t>Thinwall heat-shrink tubing 2:1, no adhesive (GTW / GTF)</t>
        </is>
      </c>
      <c r="F62" t="inlineStr">
        <is>
          <t>38.1/19.1</t>
        </is>
      </c>
      <c r="G62" s="21" t="n">
        <v>1000</v>
      </c>
      <c r="H62" t="inlineStr">
        <is>
          <t>pcs</t>
        </is>
      </c>
      <c r="I62" s="22" t="n">
        <v>1.008</v>
      </c>
      <c r="J62" s="23" t="n">
        <v>1008</v>
      </c>
    </row>
    <row r="63">
      <c r="A63" t="inlineStr">
        <is>
          <t>CI-26051504</t>
        </is>
      </c>
      <c r="B63" t="n">
        <v>62</v>
      </c>
      <c r="C63" t="inlineStr">
        <is>
          <t>MTWA04824B11</t>
        </is>
      </c>
      <c r="D63" t="inlineStr">
        <is>
          <t>TW</t>
        </is>
      </c>
      <c r="E63" t="inlineStr">
        <is>
          <t>Thinwall heat-shrink tubing 2:1, no adhesive (GTW / GTF)</t>
        </is>
      </c>
      <c r="F63" t="inlineStr">
        <is>
          <t>38.1/19.1</t>
        </is>
      </c>
      <c r="G63" s="21" t="n">
        <v>8000</v>
      </c>
      <c r="H63" t="inlineStr">
        <is>
          <t>pcs</t>
        </is>
      </c>
      <c r="I63" s="22" t="n">
        <v>0.063</v>
      </c>
      <c r="J63" s="23" t="n">
        <v>504</v>
      </c>
    </row>
    <row r="64">
      <c r="A64" t="inlineStr">
        <is>
          <t>CI-26051504</t>
        </is>
      </c>
      <c r="B64" t="n">
        <v>63</v>
      </c>
      <c r="C64" t="inlineStr">
        <is>
          <t>MTWA04824N11</t>
        </is>
      </c>
      <c r="D64" t="inlineStr">
        <is>
          <t>TW</t>
        </is>
      </c>
      <c r="E64" t="inlineStr">
        <is>
          <t>Thinwall heat-shrink tubing 2:1, no adhesive (GTW / GTF)</t>
        </is>
      </c>
      <c r="F64" t="inlineStr"/>
      <c r="G64" s="21" t="n">
        <v>1500</v>
      </c>
      <c r="H64" t="inlineStr">
        <is>
          <t>pcs</t>
        </is>
      </c>
      <c r="I64" s="22" t="n">
        <v>0.074</v>
      </c>
      <c r="J64" s="23" t="n">
        <v>111</v>
      </c>
    </row>
    <row r="65">
      <c r="A65" t="inlineStr">
        <is>
          <t>CI-26051504</t>
        </is>
      </c>
      <c r="B65" t="n">
        <v>64</v>
      </c>
      <c r="C65" t="inlineStr">
        <is>
          <t>MTWA04824X11</t>
        </is>
      </c>
      <c r="D65" t="inlineStr">
        <is>
          <t>TW</t>
        </is>
      </c>
      <c r="E65" t="inlineStr">
        <is>
          <t>Thinwall heat-shrink tubing 2:1, no adhesive (GTW / GTF)</t>
        </is>
      </c>
      <c r="F65" t="inlineStr">
        <is>
          <t>MTWA50825B11</t>
        </is>
      </c>
      <c r="G65" s="21" t="n">
        <v>1600</v>
      </c>
      <c r="H65" t="inlineStr">
        <is>
          <t>pcs</t>
        </is>
      </c>
      <c r="I65" s="22" t="n">
        <v>0.074</v>
      </c>
      <c r="J65" s="23" t="n">
        <v>118.4</v>
      </c>
    </row>
    <row r="66">
      <c r="A66" t="inlineStr">
        <is>
          <t>CI-26051504</t>
        </is>
      </c>
      <c r="B66" t="n">
        <v>65</v>
      </c>
      <c r="C66" t="inlineStr">
        <is>
          <t>MTWA50825B11</t>
        </is>
      </c>
      <c r="D66" t="inlineStr">
        <is>
          <t>TW</t>
        </is>
      </c>
      <c r="E66" t="inlineStr">
        <is>
          <t>Thinwall heat-shrink tubing 2:1, no adhesive (GTW / GTF)</t>
        </is>
      </c>
      <c r="F66" t="inlineStr">
        <is>
          <t>50.8/25.4</t>
        </is>
      </c>
      <c r="G66" s="21" t="n">
        <v>250</v>
      </c>
      <c r="H66" t="inlineStr">
        <is>
          <t>pcs</t>
        </is>
      </c>
      <c r="I66" s="22" t="n">
        <v>0.762</v>
      </c>
      <c r="J66" s="23" t="n">
        <v>190.5</v>
      </c>
    </row>
    <row r="67">
      <c r="A67" t="inlineStr">
        <is>
          <t>CI-26051504</t>
        </is>
      </c>
      <c r="B67" t="n">
        <v>66</v>
      </c>
      <c r="C67" t="inlineStr">
        <is>
          <t>MTWA50825N11</t>
        </is>
      </c>
      <c r="D67" t="inlineStr">
        <is>
          <t>TW</t>
        </is>
      </c>
      <c r="E67" t="inlineStr">
        <is>
          <t>Thinwall heat-shrink tubing 2:1, no adhesive (GTW / GTF)</t>
        </is>
      </c>
      <c r="F67" t="inlineStr">
        <is>
          <t>50.8/25.4</t>
        </is>
      </c>
      <c r="G67" s="21" t="n">
        <v>450</v>
      </c>
      <c r="H67" t="inlineStr">
        <is>
          <t>pcs</t>
        </is>
      </c>
      <c r="I67" s="22" t="n">
        <v>0.84</v>
      </c>
      <c r="J67" s="23" t="n">
        <v>378</v>
      </c>
    </row>
    <row r="68">
      <c r="A68" t="inlineStr">
        <is>
          <t>CI-26051504</t>
        </is>
      </c>
      <c r="B68" t="n">
        <v>67</v>
      </c>
      <c r="C68" t="inlineStr">
        <is>
          <t>MTWA06432B11</t>
        </is>
      </c>
      <c r="D68" t="inlineStr">
        <is>
          <t>TW</t>
        </is>
      </c>
      <c r="E68" t="inlineStr">
        <is>
          <t>Thinwall heat-shrink tubing 2:1, no adhesive (GTW / GTF)</t>
        </is>
      </c>
      <c r="F68" t="inlineStr">
        <is>
          <t>50.8/25.4</t>
        </is>
      </c>
      <c r="G68" s="21" t="n">
        <v>10000</v>
      </c>
      <c r="H68" t="inlineStr">
        <is>
          <t>pcs</t>
        </is>
      </c>
      <c r="I68" s="22" t="n">
        <v>0.074</v>
      </c>
      <c r="J68" s="23" t="n">
        <v>740</v>
      </c>
    </row>
    <row r="69">
      <c r="A69" t="inlineStr">
        <is>
          <t>CI-26051504</t>
        </is>
      </c>
      <c r="B69" t="n">
        <v>68</v>
      </c>
      <c r="C69" t="inlineStr">
        <is>
          <t>MTWA06432N11</t>
        </is>
      </c>
      <c r="D69" t="inlineStr">
        <is>
          <t>TW</t>
        </is>
      </c>
      <c r="E69" t="inlineStr">
        <is>
          <t>Thinwall heat-shrink tubing 2:1, no adhesive (GTW / GTF)</t>
        </is>
      </c>
      <c r="F69" t="inlineStr"/>
      <c r="G69" s="21" t="n">
        <v>2500</v>
      </c>
      <c r="H69" t="inlineStr">
        <is>
          <t>pcs</t>
        </is>
      </c>
      <c r="I69" s="22" t="n">
        <v>0.08400000000000001</v>
      </c>
      <c r="J69" s="23" t="n">
        <v>210</v>
      </c>
    </row>
    <row r="70">
      <c r="A70" t="inlineStr">
        <is>
          <t>CI-26051504</t>
        </is>
      </c>
      <c r="B70" t="n">
        <v>69</v>
      </c>
      <c r="C70" t="inlineStr">
        <is>
          <t>MTWA06432X11</t>
        </is>
      </c>
      <c r="D70" t="inlineStr">
        <is>
          <t>TW</t>
        </is>
      </c>
      <c r="E70" t="inlineStr">
        <is>
          <t>Thinwall heat-shrink tubing 2:1, no adhesive (GTW / GTF)</t>
        </is>
      </c>
      <c r="F70" t="inlineStr">
        <is>
          <t>MTWA08040B11</t>
        </is>
      </c>
      <c r="G70" s="21" t="n">
        <v>250</v>
      </c>
      <c r="H70" t="inlineStr">
        <is>
          <t>pcs</t>
        </is>
      </c>
      <c r="I70" s="22" t="n">
        <v>0.095</v>
      </c>
      <c r="J70" s="23" t="n">
        <v>23.75</v>
      </c>
    </row>
    <row r="71">
      <c r="A71" t="inlineStr">
        <is>
          <t>CI-26051504</t>
        </is>
      </c>
      <c r="B71" t="n">
        <v>70</v>
      </c>
      <c r="C71" t="inlineStr">
        <is>
          <t>MTWA08040B11</t>
        </is>
      </c>
      <c r="D71" t="inlineStr">
        <is>
          <t>TW</t>
        </is>
      </c>
      <c r="E71" t="inlineStr">
        <is>
          <t>Thinwall heat-shrink tubing 2:1, no adhesive (GTW / GTF)</t>
        </is>
      </c>
      <c r="F71" t="inlineStr">
        <is>
          <t>8.0/4.0</t>
        </is>
      </c>
      <c r="G71" s="21" t="n">
        <v>100</v>
      </c>
      <c r="H71" t="inlineStr">
        <is>
          <t>pcs</t>
        </is>
      </c>
      <c r="I71" s="22" t="n">
        <v>0.105</v>
      </c>
      <c r="J71" s="23" t="n">
        <v>10.5</v>
      </c>
    </row>
    <row r="72">
      <c r="A72" t="inlineStr">
        <is>
          <t>CI-26051504</t>
        </is>
      </c>
      <c r="B72" t="n">
        <v>71</v>
      </c>
      <c r="C72" t="inlineStr">
        <is>
          <t>MTWA08040C11</t>
        </is>
      </c>
      <c r="D72" t="inlineStr">
        <is>
          <t>TW</t>
        </is>
      </c>
      <c r="E72" t="inlineStr">
        <is>
          <t>Thinwall heat-shrink tubing 2:1, no adhesive (GTW / GTF)</t>
        </is>
      </c>
      <c r="F72" t="inlineStr">
        <is>
          <t>8.0/4.0</t>
        </is>
      </c>
      <c r="G72" s="21" t="n">
        <v>100</v>
      </c>
      <c r="H72" t="inlineStr">
        <is>
          <t>pcs</t>
        </is>
      </c>
      <c r="I72" s="22" t="n">
        <v>0.105</v>
      </c>
      <c r="J72" s="23" t="n">
        <v>10.5</v>
      </c>
    </row>
    <row r="73">
      <c r="A73" t="inlineStr">
        <is>
          <t>CI-26051504</t>
        </is>
      </c>
      <c r="B73" t="n">
        <v>72</v>
      </c>
      <c r="C73" t="inlineStr">
        <is>
          <t>MTWA08040G11</t>
        </is>
      </c>
      <c r="D73" t="inlineStr">
        <is>
          <t>TW</t>
        </is>
      </c>
      <c r="E73" t="inlineStr">
        <is>
          <t>Thinwall heat-shrink tubing 2:1, no adhesive (GTW / GTF)</t>
        </is>
      </c>
      <c r="F73" t="inlineStr">
        <is>
          <t>8.0/4.0</t>
        </is>
      </c>
      <c r="G73" s="21" t="n">
        <v>100</v>
      </c>
      <c r="H73" t="inlineStr">
        <is>
          <t>pcs</t>
        </is>
      </c>
      <c r="I73" s="22" t="n">
        <v>0.105</v>
      </c>
      <c r="J73" s="23" t="n">
        <v>10.5</v>
      </c>
    </row>
    <row r="74">
      <c r="A74" t="inlineStr">
        <is>
          <t>CI-26051504</t>
        </is>
      </c>
      <c r="B74" t="n">
        <v>73</v>
      </c>
      <c r="C74" t="inlineStr">
        <is>
          <t>MTWA08040R11</t>
        </is>
      </c>
      <c r="D74" t="inlineStr">
        <is>
          <t>TW</t>
        </is>
      </c>
      <c r="E74" t="inlineStr">
        <is>
          <t>Thinwall heat-shrink tubing 2:1, no adhesive (GTW / GTF)</t>
        </is>
      </c>
      <c r="F74" t="inlineStr">
        <is>
          <t>8.0/4.0</t>
        </is>
      </c>
      <c r="G74" s="21" t="n">
        <v>100</v>
      </c>
      <c r="H74" t="inlineStr">
        <is>
          <t>pcs</t>
        </is>
      </c>
      <c r="I74" s="22" t="n">
        <v>0.105</v>
      </c>
      <c r="J74" s="23" t="n">
        <v>10.5</v>
      </c>
    </row>
    <row r="75">
      <c r="A75" t="inlineStr">
        <is>
          <t>CI-26051504</t>
        </is>
      </c>
      <c r="B75" t="n">
        <v>74</v>
      </c>
      <c r="C75" t="inlineStr">
        <is>
          <t>MTWA09548B11</t>
        </is>
      </c>
      <c r="D75" t="inlineStr">
        <is>
          <t>TW</t>
        </is>
      </c>
      <c r="E75" t="inlineStr">
        <is>
          <t>Thinwall heat-shrink tubing 2:1, no adhesive (GTW / GTF)</t>
        </is>
      </c>
      <c r="F75" t="inlineStr">
        <is>
          <t>9.5/4.8</t>
        </is>
      </c>
      <c r="G75" s="21" t="n">
        <v>3600</v>
      </c>
      <c r="H75" t="inlineStr">
        <is>
          <t>pcs</t>
        </is>
      </c>
      <c r="I75" s="22" t="n">
        <v>0.116</v>
      </c>
      <c r="J75" s="23" t="n">
        <v>417.6</v>
      </c>
    </row>
    <row r="76">
      <c r="A76" t="inlineStr">
        <is>
          <t>CI-26051504</t>
        </is>
      </c>
      <c r="B76" t="n">
        <v>75</v>
      </c>
      <c r="C76" t="inlineStr">
        <is>
          <t>MTWA09548N11</t>
        </is>
      </c>
      <c r="D76" t="inlineStr">
        <is>
          <t>TW</t>
        </is>
      </c>
      <c r="E76" t="inlineStr">
        <is>
          <t>Thinwall heat-shrink tubing 2:1, no adhesive (GTW / GTF)</t>
        </is>
      </c>
      <c r="F76" t="inlineStr">
        <is>
          <t>9.5/4.8</t>
        </is>
      </c>
      <c r="G76" s="21" t="n">
        <v>1800</v>
      </c>
      <c r="H76" t="inlineStr">
        <is>
          <t>pcs</t>
        </is>
      </c>
      <c r="I76" s="22" t="n">
        <v>0.126</v>
      </c>
      <c r="J76" s="23" t="n">
        <v>226.8</v>
      </c>
    </row>
    <row r="77">
      <c r="A77" t="inlineStr">
        <is>
          <t>CI-26051504</t>
        </is>
      </c>
      <c r="B77" t="n">
        <v>76</v>
      </c>
      <c r="C77" t="inlineStr">
        <is>
          <t>MTWA09548X11</t>
        </is>
      </c>
      <c r="D77" t="inlineStr">
        <is>
          <t>TW</t>
        </is>
      </c>
      <c r="E77" t="inlineStr">
        <is>
          <t>Thinwall heat-shrink tubing 2:1, no adhesive (GTW / GTF)</t>
        </is>
      </c>
      <c r="F77" t="inlineStr">
        <is>
          <t>9.5/4.8</t>
        </is>
      </c>
      <c r="G77" s="21" t="n">
        <v>3000</v>
      </c>
      <c r="H77" t="inlineStr">
        <is>
          <t>pcs</t>
        </is>
      </c>
      <c r="I77" s="22" t="n">
        <v>0.126</v>
      </c>
      <c r="J77" s="23" t="n">
        <v>378</v>
      </c>
    </row>
    <row r="78">
      <c r="A78" t="inlineStr">
        <is>
          <t>CI-26051504</t>
        </is>
      </c>
      <c r="B78" t="n">
        <v>77</v>
      </c>
      <c r="C78" t="inlineStr">
        <is>
          <t>MSTS0162A037</t>
        </is>
      </c>
      <c r="D78" t="inlineStr">
        <is>
          <t>KIT</t>
        </is>
      </c>
      <c r="E78" t="inlineStr">
        <is>
          <t>MSTS cable jointing/termination kits (sets of heat-shrink tubes)</t>
        </is>
      </c>
      <c r="F78" t="inlineStr">
        <is>
          <t>4xMW12/3- 80mm+1xHW33/8-330mm</t>
        </is>
      </c>
      <c r="G78" s="21" t="n">
        <v>300</v>
      </c>
      <c r="H78" t="inlineStr">
        <is>
          <t>kit</t>
        </is>
      </c>
      <c r="I78" s="22" t="n">
        <v>0.6879999999999999</v>
      </c>
      <c r="J78" s="23" t="n">
        <v>206.4</v>
      </c>
    </row>
    <row r="79">
      <c r="A79" t="inlineStr">
        <is>
          <t>CI-26051504</t>
        </is>
      </c>
      <c r="B79" t="n">
        <v>78</v>
      </c>
      <c r="C79" t="inlineStr">
        <is>
          <t>—</t>
        </is>
      </c>
      <c r="D79" t="inlineStr">
        <is>
          <t>OTH</t>
        </is>
      </c>
      <c r="E79" t="inlineStr">
        <is>
          <t>Type wheel (printing/marking wheel) - not identified</t>
        </is>
      </c>
      <c r="F79" t="inlineStr">
        <is>
          <t>80mm+1xHW33/8-330mm 3 Amount:</t>
        </is>
      </c>
      <c r="G79" s="21" t="n">
        <v>3</v>
      </c>
      <c r="H79" t="inlineStr">
        <is>
          <t>—</t>
        </is>
      </c>
      <c r="I79" s="22" t="n">
        <v>40</v>
      </c>
      <c r="J79" s="23" t="n">
        <v>120</v>
      </c>
    </row>
    <row r="80">
      <c r="A80" t="inlineStr">
        <is>
          <t>CI-26051902</t>
        </is>
      </c>
      <c r="B80" t="n">
        <v>1</v>
      </c>
      <c r="C80" t="inlineStr">
        <is>
          <t>MHWT09525A10</t>
        </is>
      </c>
      <c r="D80" t="inlineStr">
        <is>
          <t>HW</t>
        </is>
      </c>
      <c r="E80" t="inlineStr">
        <is>
          <t>Heavywall heat-shrink tubing with adhesive (GHWT)</t>
        </is>
      </c>
      <c r="F80" t="inlineStr">
        <is>
          <t>HW95/25- 1000mm</t>
        </is>
      </c>
      <c r="G80" s="21" t="n">
        <v>30</v>
      </c>
      <c r="H80" t="inlineStr">
        <is>
          <t>pcs</t>
        </is>
      </c>
      <c r="I80" s="22" t="n">
        <v>2.793</v>
      </c>
      <c r="J80" s="23" t="n">
        <v>83.79000000000001</v>
      </c>
    </row>
    <row r="81">
      <c r="A81" t="inlineStr">
        <is>
          <t>CI-26051902</t>
        </is>
      </c>
      <c r="B81" t="n">
        <v>2</v>
      </c>
      <c r="C81" t="inlineStr">
        <is>
          <t>MHWT10529A10</t>
        </is>
      </c>
      <c r="D81" t="inlineStr">
        <is>
          <t>HW</t>
        </is>
      </c>
      <c r="E81" t="inlineStr">
        <is>
          <t>Heavywall heat-shrink tubing with adhesive (GHWT)</t>
        </is>
      </c>
      <c r="F81" t="inlineStr">
        <is>
          <t>HW105/29- 1000mm</t>
        </is>
      </c>
      <c r="G81" s="21" t="n">
        <v>50</v>
      </c>
      <c r="H81" t="inlineStr">
        <is>
          <t>pcs</t>
        </is>
      </c>
      <c r="I81" s="22" t="n">
        <v>3.116</v>
      </c>
      <c r="J81" s="23" t="n">
        <v>155.8</v>
      </c>
    </row>
    <row r="82">
      <c r="A82" t="inlineStr">
        <is>
          <t>CI-26051902</t>
        </is>
      </c>
      <c r="B82" t="n">
        <v>3</v>
      </c>
      <c r="C82" t="inlineStr">
        <is>
          <t>MHWT13036A10</t>
        </is>
      </c>
      <c r="D82" t="inlineStr">
        <is>
          <t>HW</t>
        </is>
      </c>
      <c r="E82" t="inlineStr">
        <is>
          <t>Heavywall heat-shrink tubing with adhesive (GHWT)</t>
        </is>
      </c>
      <c r="F82" t="inlineStr">
        <is>
          <t>HW 130/36- 1000mm</t>
        </is>
      </c>
      <c r="G82" s="21" t="n">
        <v>30</v>
      </c>
      <c r="H82" t="inlineStr">
        <is>
          <t>pcs</t>
        </is>
      </c>
      <c r="I82" s="22" t="n">
        <v>4.57</v>
      </c>
      <c r="J82" s="23" t="n">
        <v>137.1</v>
      </c>
    </row>
    <row r="83">
      <c r="A83" t="inlineStr">
        <is>
          <t>CI-26051902</t>
        </is>
      </c>
      <c r="B83" t="n">
        <v>4</v>
      </c>
      <c r="C83" t="inlineStr">
        <is>
          <t>MSTS0162A037</t>
        </is>
      </c>
      <c r="D83" t="inlineStr">
        <is>
          <t>KIT</t>
        </is>
      </c>
      <c r="E83" t="inlineStr">
        <is>
          <t>MSTS cable jointing/termination kits (sets of heat-shrink tubes)</t>
        </is>
      </c>
      <c r="F83" t="inlineStr">
        <is>
          <t>4xMW12/3-80mm+1xHW33/8- 330mm 4xMW 22/6-125mm+1xHW</t>
        </is>
      </c>
      <c r="G83" s="21" t="n">
        <v>450</v>
      </c>
      <c r="H83" t="inlineStr">
        <is>
          <t>kit</t>
        </is>
      </c>
      <c r="I83" s="22" t="n">
        <v>0.6879999999999999</v>
      </c>
      <c r="J83" s="23" t="n">
        <v>309.6</v>
      </c>
    </row>
    <row r="84">
      <c r="A84" t="inlineStr">
        <is>
          <t>CI-26051902</t>
        </is>
      </c>
      <c r="B84" t="n">
        <v>5</v>
      </c>
      <c r="C84" t="inlineStr">
        <is>
          <t>MSTS0502A037</t>
        </is>
      </c>
      <c r="D84" t="inlineStr">
        <is>
          <t>KIT</t>
        </is>
      </c>
      <c r="E84" t="inlineStr">
        <is>
          <t>MSTS cable jointing/termination kits (sets of heat-shrink tubes)</t>
        </is>
      </c>
      <c r="F84" t="inlineStr">
        <is>
          <t>330mm 4xMW 22/6-125mm+1xHW 55/16-450mm 4xMW33/8-150mm+1xHW85/25</t>
        </is>
      </c>
      <c r="G84" s="21" t="n">
        <v>4000</v>
      </c>
      <c r="H84" t="inlineStr">
        <is>
          <t>kit</t>
        </is>
      </c>
      <c r="I84" s="22" t="n">
        <v>1.383</v>
      </c>
      <c r="J84" s="23" t="n">
        <v>5532</v>
      </c>
    </row>
    <row r="85">
      <c r="A85" t="inlineStr">
        <is>
          <t>CI-26051902</t>
        </is>
      </c>
      <c r="B85" t="n">
        <v>6</v>
      </c>
      <c r="C85" t="inlineStr">
        <is>
          <t>MSTS0952A037</t>
        </is>
      </c>
      <c r="D85" t="inlineStr">
        <is>
          <t>KIT</t>
        </is>
      </c>
      <c r="E85" t="inlineStr">
        <is>
          <t>MSTS cable jointing/termination kits (sets of heat-shrink tubes)</t>
        </is>
      </c>
      <c r="F85" t="inlineStr">
        <is>
          <t>55/16-450mm 4xMW33/8-150mm+1xHW85/25- 600mm 4xMW 40/12-170mm+1HW</t>
        </is>
      </c>
      <c r="G85" s="21" t="n">
        <v>700</v>
      </c>
      <c r="H85" t="inlineStr">
        <is>
          <t>kit</t>
        </is>
      </c>
      <c r="I85" s="22" t="n">
        <v>2.161</v>
      </c>
      <c r="J85" s="23" t="n">
        <v>1512.7</v>
      </c>
    </row>
    <row r="86">
      <c r="A86" t="inlineStr">
        <is>
          <t>CI-26051902</t>
        </is>
      </c>
      <c r="B86" t="n">
        <v>7</v>
      </c>
      <c r="C86" t="inlineStr">
        <is>
          <t>MSTS1502A037</t>
        </is>
      </c>
      <c r="D86" t="inlineStr">
        <is>
          <t>KIT</t>
        </is>
      </c>
      <c r="E86" t="inlineStr">
        <is>
          <t>MSTS cable jointing/termination kits (sets of heat-shrink tubes)</t>
        </is>
      </c>
      <c r="F86" t="inlineStr">
        <is>
          <t>600mm 4xMW 40/12-170mm+1HW 105/29-700mm 4xMW 45/12-250mm+1HW</t>
        </is>
      </c>
      <c r="G86" s="21" t="n">
        <v>700</v>
      </c>
      <c r="H86" t="inlineStr">
        <is>
          <t>kit</t>
        </is>
      </c>
      <c r="I86" s="22" t="n">
        <v>3.306</v>
      </c>
      <c r="J86" s="23" t="n">
        <v>2314.2</v>
      </c>
    </row>
    <row r="87">
      <c r="A87" t="inlineStr">
        <is>
          <t>CI-26051902</t>
        </is>
      </c>
      <c r="B87" t="n">
        <v>8</v>
      </c>
      <c r="C87" t="inlineStr">
        <is>
          <t>MSTS2404A037</t>
        </is>
      </c>
      <c r="D87" t="inlineStr">
        <is>
          <t>KIT</t>
        </is>
      </c>
      <c r="E87" t="inlineStr">
        <is>
          <t>MSTS cable jointing/termination kits (sets of heat-shrink tubes)</t>
        </is>
      </c>
      <c r="F87" t="inlineStr">
        <is>
          <t>105/29-700mm 4xMW 45/12-250mm+1HW 130/36-900mm 4xMW 50/16-250mm+1HW</t>
        </is>
      </c>
      <c r="G87" s="21" t="n">
        <v>640</v>
      </c>
      <c r="H87" t="inlineStr">
        <is>
          <t>kit</t>
        </is>
      </c>
      <c r="I87" s="22" t="n">
        <v>5.917</v>
      </c>
      <c r="J87" s="23" t="n">
        <v>3786.88</v>
      </c>
    </row>
    <row r="88">
      <c r="A88" t="inlineStr">
        <is>
          <t>CI-26051902</t>
        </is>
      </c>
      <c r="B88" t="n">
        <v>9</v>
      </c>
      <c r="C88" t="inlineStr">
        <is>
          <t>MSTS3004A037</t>
        </is>
      </c>
      <c r="D88" t="inlineStr">
        <is>
          <t>KIT</t>
        </is>
      </c>
      <c r="E88" t="inlineStr">
        <is>
          <t>MSTS cable jointing/termination kits (sets of heat-shrink tubes)</t>
        </is>
      </c>
      <c r="F88" t="inlineStr">
        <is>
          <t>130/36-900mm 4xMW 50/16-250mm+1HW 130/36-900mm PO:</t>
        </is>
      </c>
      <c r="G88" s="21" t="n">
        <v>50</v>
      </c>
      <c r="H88" t="inlineStr">
        <is>
          <t>kit</t>
        </is>
      </c>
      <c r="I88" s="22" t="n">
        <v>6.065</v>
      </c>
      <c r="J88" s="23" t="n">
        <v>303.25</v>
      </c>
    </row>
    <row r="89">
      <c r="A89" t="inlineStr">
        <is>
          <t>CI-26051902</t>
        </is>
      </c>
      <c r="B89" t="n">
        <v>10</v>
      </c>
      <c r="C89" t="inlineStr">
        <is>
          <t>MTWA09548N11</t>
        </is>
      </c>
      <c r="D89" t="inlineStr">
        <is>
          <t>TW</t>
        </is>
      </c>
      <c r="E89" t="inlineStr">
        <is>
          <t>Thinwall heat-shrink tubing 2:1, no adhesive (GTW / GTF)</t>
        </is>
      </c>
      <c r="F89" t="inlineStr">
        <is>
          <t>9.5/4.8</t>
        </is>
      </c>
      <c r="G89" s="21" t="n">
        <v>100</v>
      </c>
      <c r="H89" t="inlineStr">
        <is>
          <t>pcs</t>
        </is>
      </c>
      <c r="I89" s="22" t="n">
        <v>0.126</v>
      </c>
      <c r="J89" s="23" t="n">
        <v>12.6</v>
      </c>
    </row>
    <row r="90">
      <c r="A90" t="inlineStr">
        <is>
          <t>CI-26051902</t>
        </is>
      </c>
      <c r="B90" t="n">
        <v>11</v>
      </c>
      <c r="C90" t="inlineStr">
        <is>
          <t>MTWA12764N11</t>
        </is>
      </c>
      <c r="D90" t="inlineStr">
        <is>
          <t>TW</t>
        </is>
      </c>
      <c r="E90" t="inlineStr">
        <is>
          <t>Thinwall heat-shrink tubing 2:1, no adhesive (GTW / GTF)</t>
        </is>
      </c>
      <c r="F90" t="inlineStr">
        <is>
          <t>12.7/6.4</t>
        </is>
      </c>
      <c r="G90" s="21" t="n">
        <v>2000</v>
      </c>
      <c r="H90" t="inlineStr">
        <is>
          <t>pcs</t>
        </is>
      </c>
      <c r="I90" s="22" t="n">
        <v>0.179</v>
      </c>
      <c r="J90" s="23" t="n">
        <v>358</v>
      </c>
    </row>
    <row r="91">
      <c r="A91" t="inlineStr">
        <is>
          <t>CI-26051902</t>
        </is>
      </c>
      <c r="B91" t="n">
        <v>12</v>
      </c>
      <c r="C91" t="inlineStr">
        <is>
          <t>MTWA25412N11</t>
        </is>
      </c>
      <c r="D91" t="inlineStr">
        <is>
          <t>TW</t>
        </is>
      </c>
      <c r="E91" t="inlineStr">
        <is>
          <t>Thinwall heat-shrink tubing 2:1, no adhesive (GTW / GTF)</t>
        </is>
      </c>
      <c r="F91" t="inlineStr">
        <is>
          <t>25.4/12.7</t>
        </is>
      </c>
      <c r="G91" s="21" t="n">
        <v>200</v>
      </c>
      <c r="H91" t="inlineStr">
        <is>
          <t>pcs</t>
        </is>
      </c>
      <c r="I91" s="22" t="n">
        <v>0.494</v>
      </c>
      <c r="J91" s="23" t="n">
        <v>98.8</v>
      </c>
    </row>
    <row r="92">
      <c r="A92" t="inlineStr">
        <is>
          <t>CI-26051902</t>
        </is>
      </c>
      <c r="B92" t="n">
        <v>13</v>
      </c>
      <c r="C92" t="inlineStr">
        <is>
          <t>MTWA25412B11</t>
        </is>
      </c>
      <c r="D92" t="inlineStr">
        <is>
          <t>TW</t>
        </is>
      </c>
      <c r="E92" t="inlineStr">
        <is>
          <t>Thinwall heat-shrink tubing 2:1, no adhesive (GTW / GTF)</t>
        </is>
      </c>
      <c r="F92" t="inlineStr">
        <is>
          <t>25.4/12.7</t>
        </is>
      </c>
      <c r="G92" s="21" t="n">
        <v>3000</v>
      </c>
      <c r="H92" t="inlineStr">
        <is>
          <t>pcs</t>
        </is>
      </c>
      <c r="I92" s="22" t="n">
        <v>0.452</v>
      </c>
      <c r="J92" s="23" t="n">
        <v>1356</v>
      </c>
    </row>
    <row r="93">
      <c r="A93" t="inlineStr">
        <is>
          <t>CI-26051902</t>
        </is>
      </c>
      <c r="B93" t="n">
        <v>14</v>
      </c>
      <c r="C93" t="inlineStr">
        <is>
          <t>MTWA31815R11</t>
        </is>
      </c>
      <c r="D93" t="inlineStr">
        <is>
          <t>TW</t>
        </is>
      </c>
      <c r="E93" t="inlineStr">
        <is>
          <t>Thinwall heat-shrink tubing 2:1, no adhesive (GTW / GTF)</t>
        </is>
      </c>
      <c r="F93" t="inlineStr">
        <is>
          <t>31.8/15.9</t>
        </is>
      </c>
      <c r="G93" s="21" t="n">
        <v>60</v>
      </c>
      <c r="H93" t="inlineStr">
        <is>
          <t>pcs</t>
        </is>
      </c>
      <c r="I93" s="22" t="n">
        <v>0.599</v>
      </c>
      <c r="J93" s="23" t="n">
        <v>35.94</v>
      </c>
    </row>
    <row r="94">
      <c r="A94" t="inlineStr">
        <is>
          <t>CI-26051902</t>
        </is>
      </c>
      <c r="B94" t="n">
        <v>15</v>
      </c>
      <c r="C94" t="inlineStr">
        <is>
          <t>MTWA38119N11</t>
        </is>
      </c>
      <c r="D94" t="inlineStr">
        <is>
          <t>TW</t>
        </is>
      </c>
      <c r="E94" t="inlineStr">
        <is>
          <t>Thinwall heat-shrink tubing 2:1, no adhesive (GTW / GTF)</t>
        </is>
      </c>
      <c r="F94" t="inlineStr">
        <is>
          <t>38.1/19.1</t>
        </is>
      </c>
      <c r="G94" s="21" t="n">
        <v>1900</v>
      </c>
      <c r="H94" t="inlineStr">
        <is>
          <t>pcs</t>
        </is>
      </c>
      <c r="I94" s="22" t="n">
        <v>0.6830000000000001</v>
      </c>
      <c r="J94" s="23" t="n">
        <v>1297.7</v>
      </c>
    </row>
    <row r="95">
      <c r="A95" t="inlineStr">
        <is>
          <t>CI-26051902</t>
        </is>
      </c>
      <c r="B95" t="n">
        <v>16</v>
      </c>
      <c r="C95" t="inlineStr">
        <is>
          <t>MTWA19095B11</t>
        </is>
      </c>
      <c r="D95" t="inlineStr">
        <is>
          <t>TW</t>
        </is>
      </c>
      <c r="E95" t="inlineStr">
        <is>
          <t>Thinwall heat-shrink tubing 2:1, no adhesive (GTW / GTF)</t>
        </is>
      </c>
      <c r="F95" t="inlineStr">
        <is>
          <t>19.0/9.5</t>
        </is>
      </c>
      <c r="G95" s="21" t="n">
        <v>8000</v>
      </c>
      <c r="H95" t="inlineStr">
        <is>
          <t>pcs</t>
        </is>
      </c>
      <c r="I95" s="22" t="n">
        <v>0.347</v>
      </c>
      <c r="J95" s="23" t="n">
        <v>2776</v>
      </c>
    </row>
    <row r="96">
      <c r="A96" t="inlineStr">
        <is>
          <t>CI-26051902</t>
        </is>
      </c>
      <c r="B96" t="n">
        <v>17</v>
      </c>
      <c r="C96" t="inlineStr">
        <is>
          <t>MTWA60030C11</t>
        </is>
      </c>
      <c r="D96" t="inlineStr">
        <is>
          <t>TW</t>
        </is>
      </c>
      <c r="E96" t="inlineStr">
        <is>
          <t>Thinwall heat-shrink tubing 2:1, no adhesive (GTW / GTF)</t>
        </is>
      </c>
      <c r="F96" t="inlineStr">
        <is>
          <t>60/30</t>
        </is>
      </c>
      <c r="G96" s="21" t="n">
        <v>50</v>
      </c>
      <c r="H96" t="inlineStr">
        <is>
          <t>pcs</t>
        </is>
      </c>
      <c r="I96" s="22" t="n">
        <v>1.103</v>
      </c>
      <c r="J96" s="23" t="n">
        <v>55.15</v>
      </c>
    </row>
    <row r="97">
      <c r="A97" t="inlineStr">
        <is>
          <t>CI-26051902</t>
        </is>
      </c>
      <c r="B97" t="n">
        <v>18</v>
      </c>
      <c r="C97" t="inlineStr">
        <is>
          <t>MTWA12060B11</t>
        </is>
      </c>
      <c r="D97" t="inlineStr">
        <is>
          <t>TW</t>
        </is>
      </c>
      <c r="E97" t="inlineStr">
        <is>
          <t>Thinwall heat-shrink tubing 2:1, no adhesive (GTW / GTF)</t>
        </is>
      </c>
      <c r="F97" t="inlineStr">
        <is>
          <t>120.0/60.0</t>
        </is>
      </c>
      <c r="G97" s="21" t="n">
        <v>50</v>
      </c>
      <c r="H97" t="inlineStr">
        <is>
          <t>pcs</t>
        </is>
      </c>
      <c r="I97" s="22" t="n">
        <v>2.615</v>
      </c>
      <c r="J97" s="23" t="n">
        <v>130.75</v>
      </c>
    </row>
    <row r="98">
      <c r="A98" t="inlineStr">
        <is>
          <t>CI-26051902</t>
        </is>
      </c>
      <c r="B98" t="n">
        <v>19</v>
      </c>
      <c r="C98" t="inlineStr">
        <is>
          <t>MSTS2404A037</t>
        </is>
      </c>
      <c r="D98" t="inlineStr">
        <is>
          <t>KIT</t>
        </is>
      </c>
      <c r="E98" t="inlineStr">
        <is>
          <t>MSTS cable jointing/termination kits (sets of heat-shrink tubes)</t>
        </is>
      </c>
      <c r="F98" t="inlineStr">
        <is>
          <t>4xMW 45/12-250mm+1HW 130/36-900mm 4xMW 50/16-250mm+1HW</t>
        </is>
      </c>
      <c r="G98" s="21" t="n">
        <v>600</v>
      </c>
      <c r="H98" t="inlineStr">
        <is>
          <t>kit</t>
        </is>
      </c>
      <c r="I98" s="22" t="n">
        <v>5.917</v>
      </c>
      <c r="J98" s="23" t="n">
        <v>3550.2</v>
      </c>
    </row>
    <row r="99">
      <c r="A99" t="inlineStr">
        <is>
          <t>CI-26051902</t>
        </is>
      </c>
      <c r="B99" t="n">
        <v>20</v>
      </c>
      <c r="C99" t="inlineStr">
        <is>
          <t>MSTS3004A037</t>
        </is>
      </c>
      <c r="D99" t="inlineStr">
        <is>
          <t>KIT</t>
        </is>
      </c>
      <c r="E99" t="inlineStr">
        <is>
          <t>MSTS cable jointing/termination kits (sets of heat-shrink tubes)</t>
        </is>
      </c>
      <c r="F99" t="inlineStr">
        <is>
          <t>130/36-900mm 4xMW 50/16-250mm+1HW 130/36-900mm</t>
        </is>
      </c>
      <c r="G99" s="21" t="n">
        <v>50</v>
      </c>
      <c r="H99" t="inlineStr">
        <is>
          <t>kit</t>
        </is>
      </c>
      <c r="I99" s="22" t="n">
        <v>6.065</v>
      </c>
      <c r="J99" s="23" t="n">
        <v>303.25</v>
      </c>
    </row>
    <row r="100">
      <c r="E100" s="2" t="inlineStr">
        <is>
          <t>CELKEM / TOTAL</t>
        </is>
      </c>
      <c r="G100" s="24">
        <f>SUM(G2:G99)</f>
        <v>135208.0</v>
      </c>
      <c r="J100" s="25">
        <f>SUM(J2:J99)</f>
        <v>67063.32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6" customWidth="1" min="2" max="2"/>
    <col width="10" customWidth="1" min="3" max="3"/>
    <col width="12" customWidth="1" min="4" max="4"/>
    <col width="20" customWidth="1" min="5" max="5"/>
  </cols>
  <sheetData>
    <row r="1" ht="30" customHeight="1">
      <c r="A1" s="5" t="inlineStr">
        <is>
          <t>Konsignace / Consignment</t>
        </is>
      </c>
      <c r="B1" s="5" t="inlineStr">
        <is>
          <t>Popis z balicího listu / Packing list description</t>
        </is>
      </c>
      <c r="C1" s="5" t="inlineStr">
        <is>
          <t>Skupina / Group</t>
        </is>
      </c>
      <c r="D1" s="5" t="inlineStr">
        <is>
          <t>Množství / Qty</t>
        </is>
      </c>
      <c r="E1" s="5" t="inlineStr">
        <is>
          <t>Čistá hmotnost / Net weight (kg)</t>
        </is>
      </c>
    </row>
    <row r="2">
      <c r="A2" t="inlineStr">
        <is>
          <t>CI-26051504</t>
        </is>
      </c>
      <c r="B2" t="inlineStr">
        <is>
          <t>MSTS 240-3</t>
        </is>
      </c>
      <c r="C2" t="inlineStr">
        <is>
          <t>KIT</t>
        </is>
      </c>
      <c r="D2" s="21" t="n">
        <v>225</v>
      </c>
      <c r="E2" s="23" t="n">
        <v>192</v>
      </c>
    </row>
    <row r="3">
      <c r="A3" t="inlineStr">
        <is>
          <t>CI-26051504</t>
        </is>
      </c>
      <c r="B3" t="inlineStr">
        <is>
          <t>MSTS 240-3</t>
        </is>
      </c>
      <c r="C3" t="inlineStr">
        <is>
          <t>KIT</t>
        </is>
      </c>
      <c r="D3" s="21" t="n">
        <v>225</v>
      </c>
      <c r="E3" s="23" t="n">
        <v>192</v>
      </c>
    </row>
    <row r="4">
      <c r="A4" t="inlineStr">
        <is>
          <t>CI-26051504</t>
        </is>
      </c>
      <c r="B4" t="inlineStr">
        <is>
          <t>MSTS 240-3</t>
        </is>
      </c>
      <c r="C4" t="inlineStr">
        <is>
          <t>KIT</t>
        </is>
      </c>
      <c r="D4" s="21" t="n">
        <v>180</v>
      </c>
      <c r="E4" s="23" t="n">
        <v>153.6</v>
      </c>
    </row>
    <row r="5">
      <c r="A5" t="inlineStr">
        <is>
          <t>CI-26051504</t>
        </is>
      </c>
      <c r="B5" t="inlineStr">
        <is>
          <t>MSTS 16</t>
        </is>
      </c>
      <c r="C5" t="inlineStr">
        <is>
          <t>KIT</t>
        </is>
      </c>
      <c r="D5" s="21" t="n">
        <v>270</v>
      </c>
      <c r="E5" s="23" t="n">
        <v>54.3</v>
      </c>
    </row>
    <row r="6">
      <c r="A6" t="inlineStr">
        <is>
          <t>CI-26051504</t>
        </is>
      </c>
      <c r="B6" t="inlineStr">
        <is>
          <t>MSTS 240</t>
        </is>
      </c>
      <c r="C6" t="inlineStr">
        <is>
          <t>KIT</t>
        </is>
      </c>
      <c r="D6" s="21" t="n">
        <v>180</v>
      </c>
      <c r="E6" s="23" t="n">
        <v>164.1</v>
      </c>
    </row>
    <row r="7">
      <c r="A7" t="inlineStr">
        <is>
          <t>CI-26051504</t>
        </is>
      </c>
      <c r="B7" t="inlineStr">
        <is>
          <t>MSTS 240 GMWT 19/5 Black</t>
        </is>
      </c>
      <c r="C7" t="inlineStr">
        <is>
          <t>KIT</t>
        </is>
      </c>
      <c r="D7" s="21" t="n">
        <v>180</v>
      </c>
      <c r="E7" s="23" t="n">
        <v>164.1</v>
      </c>
    </row>
    <row r="8">
      <c r="A8" t="inlineStr">
        <is>
          <t>CI-26051504</t>
        </is>
      </c>
      <c r="B8" t="inlineStr">
        <is>
          <t>GMWT 19/5 Black Mediumwall tube with</t>
        </is>
      </c>
      <c r="C8" t="inlineStr">
        <is>
          <t>MW-A</t>
        </is>
      </c>
      <c r="D8" s="21" t="n">
        <v>4500</v>
      </c>
      <c r="E8" s="23" t="n">
        <v>281.7</v>
      </c>
    </row>
    <row r="9">
      <c r="A9" t="inlineStr">
        <is>
          <t>CI-26051504</t>
        </is>
      </c>
      <c r="B9" t="inlineStr">
        <is>
          <t>GMWT 19/5 Black Mediumwall tube with</t>
        </is>
      </c>
      <c r="C9" t="inlineStr">
        <is>
          <t>MW-A</t>
        </is>
      </c>
      <c r="D9" s="21" t="n">
        <v>3900</v>
      </c>
      <c r="E9" s="23" t="n">
        <v>244.14</v>
      </c>
    </row>
    <row r="10">
      <c r="A10" t="inlineStr">
        <is>
          <t>CI-26051504</t>
        </is>
      </c>
      <c r="B10" t="inlineStr">
        <is>
          <t>GMWT 19/5 Black Mediumwall tube with</t>
        </is>
      </c>
      <c r="C10" t="inlineStr">
        <is>
          <t>MW-A</t>
        </is>
      </c>
      <c r="D10" s="21" t="n">
        <v>100</v>
      </c>
      <c r="E10" s="23" t="n">
        <v>6</v>
      </c>
    </row>
    <row r="11">
      <c r="A11" t="inlineStr">
        <is>
          <t>CI-26051504</t>
        </is>
      </c>
      <c r="B11" t="inlineStr">
        <is>
          <t>GHWT 75/22 Black Heavywall tube with</t>
        </is>
      </c>
      <c r="C11" t="inlineStr">
        <is>
          <t>HW</t>
        </is>
      </c>
      <c r="D11" s="21" t="n">
        <v>50</v>
      </c>
      <c r="E11" s="23" t="n">
        <v>21.6</v>
      </c>
    </row>
    <row r="12">
      <c r="A12" t="inlineStr">
        <is>
          <t>CI-26051504</t>
        </is>
      </c>
      <c r="B12" t="inlineStr">
        <is>
          <t>GHWT 19/5 Black Heavywall tube with</t>
        </is>
      </c>
      <c r="C12" t="inlineStr">
        <is>
          <t>HW</t>
        </is>
      </c>
      <c r="D12" s="21" t="n">
        <v>50</v>
      </c>
      <c r="E12" s="23" t="n">
        <v>4.07</v>
      </c>
    </row>
    <row r="13">
      <c r="A13" t="inlineStr">
        <is>
          <t>CI-26051504</t>
        </is>
      </c>
      <c r="B13" t="inlineStr">
        <is>
          <t>GHWT 33/8 Black Heavywall tube with</t>
        </is>
      </c>
      <c r="C13" t="inlineStr">
        <is>
          <t>HW</t>
        </is>
      </c>
      <c r="D13" s="21" t="n">
        <v>1500</v>
      </c>
      <c r="E13" s="23" t="n">
        <v>204</v>
      </c>
    </row>
    <row r="14">
      <c r="A14" t="inlineStr">
        <is>
          <t>CI-26051504</t>
        </is>
      </c>
      <c r="B14" t="inlineStr">
        <is>
          <t>GHWT 33/8 Black Heavywall tube with</t>
        </is>
      </c>
      <c r="C14" t="inlineStr">
        <is>
          <t>HW</t>
        </is>
      </c>
      <c r="D14" s="21" t="n">
        <v>900</v>
      </c>
      <c r="E14" s="23" t="n">
        <v>122.4</v>
      </c>
    </row>
    <row r="15">
      <c r="A15" t="inlineStr">
        <is>
          <t>CI-26051504</t>
        </is>
      </c>
      <c r="B15" t="inlineStr">
        <is>
          <t>GMWT 95/25 Black Mediumwall tube with</t>
        </is>
      </c>
      <c r="C15" t="inlineStr">
        <is>
          <t>MW-A</t>
        </is>
      </c>
      <c r="D15" s="21" t="n">
        <v>150</v>
      </c>
      <c r="E15" s="23" t="n">
        <v>55.41</v>
      </c>
    </row>
    <row r="16">
      <c r="A16" t="inlineStr">
        <is>
          <t>CI-26051504</t>
        </is>
      </c>
      <c r="B16" t="inlineStr">
        <is>
          <t>GMWT/U 22/6Black Mediumwall tube without</t>
        </is>
      </c>
      <c r="C16" t="inlineStr">
        <is>
          <t>MW-U</t>
        </is>
      </c>
      <c r="D16" s="21" t="n">
        <v>400</v>
      </c>
      <c r="E16" s="23" t="n">
        <v>28</v>
      </c>
    </row>
    <row r="17">
      <c r="A17" t="inlineStr">
        <is>
          <t>CI-26051504</t>
        </is>
      </c>
      <c r="B17" t="inlineStr">
        <is>
          <t>GMWT/U 22/6Black Mediumwall tube without</t>
        </is>
      </c>
      <c r="C17" t="inlineStr">
        <is>
          <t>MW-U</t>
        </is>
      </c>
      <c r="D17" s="21" t="n">
        <v>80</v>
      </c>
      <c r="E17" s="23" t="n">
        <v>4.72</v>
      </c>
    </row>
    <row r="18">
      <c r="A18" t="inlineStr">
        <is>
          <t>CI-26051504</t>
        </is>
      </c>
      <c r="B18" t="inlineStr">
        <is>
          <t>GHWT 16/5 Black Heavywall tube with</t>
        </is>
      </c>
      <c r="C18" t="inlineStr">
        <is>
          <t>HW</t>
        </is>
      </c>
      <c r="D18" s="21" t="n">
        <v>100</v>
      </c>
      <c r="E18" s="23" t="n">
        <v>8.6</v>
      </c>
    </row>
    <row r="19">
      <c r="A19" t="inlineStr">
        <is>
          <t>CI-26051504</t>
        </is>
      </c>
      <c r="B19" t="inlineStr">
        <is>
          <t>GHWT 33/8 Black Heavywall tube with</t>
        </is>
      </c>
      <c r="C19" t="inlineStr">
        <is>
          <t>HW</t>
        </is>
      </c>
      <c r="D19" s="21" t="n">
        <v>1500</v>
      </c>
      <c r="E19" s="23" t="n">
        <v>203.4</v>
      </c>
    </row>
    <row r="20">
      <c r="A20" t="inlineStr">
        <is>
          <t>CI-26051504</t>
        </is>
      </c>
      <c r="B20" t="inlineStr">
        <is>
          <t>GHWT 33/8 Black Heavywall tube with</t>
        </is>
      </c>
      <c r="C20" t="inlineStr">
        <is>
          <t>HW</t>
        </is>
      </c>
      <c r="D20" s="21" t="n">
        <v>500</v>
      </c>
      <c r="E20" s="23" t="n">
        <v>67.8</v>
      </c>
    </row>
    <row r="21">
      <c r="A21" t="inlineStr">
        <is>
          <t>CI-26051504</t>
        </is>
      </c>
      <c r="B21" t="inlineStr">
        <is>
          <t>GMWT 55/16 Black Mediumwall tube with</t>
        </is>
      </c>
      <c r="C21" t="inlineStr">
        <is>
          <t>MW-A</t>
        </is>
      </c>
      <c r="D21" s="21" t="n">
        <v>560</v>
      </c>
      <c r="E21" s="23" t="n">
        <v>121.31</v>
      </c>
    </row>
    <row r="22">
      <c r="A22" t="inlineStr">
        <is>
          <t>CI-26051504</t>
        </is>
      </c>
      <c r="B22" t="inlineStr">
        <is>
          <t>GMWT 55/16 Black Mediumwall tube with</t>
        </is>
      </c>
      <c r="C22" t="inlineStr">
        <is>
          <t>MW-A</t>
        </is>
      </c>
      <c r="D22" s="21" t="n">
        <v>10</v>
      </c>
      <c r="E22" s="23" t="n">
        <v>1.9</v>
      </c>
    </row>
    <row r="23">
      <c r="A23" t="inlineStr">
        <is>
          <t>CI-26051504</t>
        </is>
      </c>
      <c r="B23" t="inlineStr">
        <is>
          <t>GMWT 75/22 Black Mediumwall tube with</t>
        </is>
      </c>
      <c r="C23" t="inlineStr">
        <is>
          <t>MW-A</t>
        </is>
      </c>
      <c r="D23" s="21" t="n">
        <v>120</v>
      </c>
      <c r="E23" s="23" t="n">
        <v>39</v>
      </c>
    </row>
    <row r="24">
      <c r="A24" t="inlineStr">
        <is>
          <t>CI-26051504</t>
        </is>
      </c>
      <c r="B24" t="inlineStr">
        <is>
          <t>GMWT 8/2 Black Mediumwall tube with</t>
        </is>
      </c>
      <c r="C24" t="inlineStr">
        <is>
          <t>MW-A</t>
        </is>
      </c>
      <c r="D24" s="21" t="n">
        <v>200</v>
      </c>
      <c r="E24" s="23" t="n">
        <v>5.31</v>
      </c>
    </row>
    <row r="25">
      <c r="A25" t="inlineStr">
        <is>
          <t>CI-26051504</t>
        </is>
      </c>
      <c r="B25" t="inlineStr">
        <is>
          <t>GMWT 95/25 Black Mediumwall tube with</t>
        </is>
      </c>
      <c r="C25" t="inlineStr">
        <is>
          <t>MW-A</t>
        </is>
      </c>
      <c r="D25" s="21" t="n">
        <v>650</v>
      </c>
      <c r="E25" s="23" t="n">
        <v>261.82</v>
      </c>
    </row>
    <row r="26">
      <c r="A26" t="inlineStr">
        <is>
          <t>CI-26051504</t>
        </is>
      </c>
      <c r="B26" t="inlineStr">
        <is>
          <t>GMWT 95/25 Black Mediumwall tube with</t>
        </is>
      </c>
      <c r="C26" t="inlineStr">
        <is>
          <t>MW-A</t>
        </is>
      </c>
      <c r="D26" s="21" t="n">
        <v>10</v>
      </c>
      <c r="E26" s="23" t="n">
        <v>3.84</v>
      </c>
    </row>
    <row r="27">
      <c r="A27" t="inlineStr">
        <is>
          <t>CI-26051504</t>
        </is>
      </c>
      <c r="B27" t="inlineStr">
        <is>
          <t>GHWT 115/34 Black Heavywall tube with</t>
        </is>
      </c>
      <c r="C27" t="inlineStr">
        <is>
          <t>HW</t>
        </is>
      </c>
      <c r="D27" s="21" t="n">
        <v>10</v>
      </c>
      <c r="E27" s="23" t="n">
        <v>6.06</v>
      </c>
    </row>
    <row r="28">
      <c r="A28" t="inlineStr">
        <is>
          <t>CI-26051504</t>
        </is>
      </c>
      <c r="B28" t="inlineStr">
        <is>
          <t>GHWT 55/16 Black Heavywall tube with</t>
        </is>
      </c>
      <c r="C28" t="inlineStr">
        <is>
          <t>HW</t>
        </is>
      </c>
      <c r="D28" s="21" t="n">
        <v>50</v>
      </c>
      <c r="E28" s="23" t="n">
        <v>16.28</v>
      </c>
    </row>
    <row r="29">
      <c r="A29" t="inlineStr">
        <is>
          <t>CI-26051504</t>
        </is>
      </c>
      <c r="B29" t="inlineStr">
        <is>
          <t>GMWT 33/8 Black Mediumwall tube with</t>
        </is>
      </c>
      <c r="C29" t="inlineStr">
        <is>
          <t>MW-A</t>
        </is>
      </c>
      <c r="D29" s="21" t="n">
        <v>2100</v>
      </c>
      <c r="E29" s="23" t="n">
        <v>259.5</v>
      </c>
    </row>
    <row r="30">
      <c r="A30" t="inlineStr">
        <is>
          <t>CI-26051504</t>
        </is>
      </c>
      <c r="B30" t="inlineStr">
        <is>
          <t>GMWT 33/8 Black Mediumwall tube with</t>
        </is>
      </c>
      <c r="C30" t="inlineStr">
        <is>
          <t>MW-A</t>
        </is>
      </c>
      <c r="D30" s="21" t="n">
        <v>140</v>
      </c>
      <c r="E30" s="23" t="n">
        <v>17.3</v>
      </c>
    </row>
    <row r="31">
      <c r="A31" t="inlineStr">
        <is>
          <t>CI-26051504</t>
        </is>
      </c>
      <c r="B31" t="inlineStr">
        <is>
          <t>GMWT 33/8 Black Mediumwall tube with</t>
        </is>
      </c>
      <c r="C31" t="inlineStr">
        <is>
          <t>MW-A</t>
        </is>
      </c>
      <c r="D31" s="21" t="n">
        <v>20</v>
      </c>
      <c r="E31" s="23" t="n">
        <v>2.2</v>
      </c>
    </row>
    <row r="32">
      <c r="A32" t="inlineStr">
        <is>
          <t>CI-26051504</t>
        </is>
      </c>
      <c r="B32" t="inlineStr">
        <is>
          <t>GMWT 140/42 Black Mediumwall tube with</t>
        </is>
      </c>
      <c r="C32" t="inlineStr">
        <is>
          <t>MW-A</t>
        </is>
      </c>
      <c r="D32" s="21" t="n">
        <v>40</v>
      </c>
      <c r="E32" s="23" t="n">
        <v>28.36</v>
      </c>
    </row>
    <row r="33">
      <c r="A33" t="inlineStr">
        <is>
          <t>CI-26051504</t>
        </is>
      </c>
      <c r="B33" t="inlineStr">
        <is>
          <t>GMWT 140/42 Black Mediumwall tube with</t>
        </is>
      </c>
      <c r="C33" t="inlineStr">
        <is>
          <t>MW-A</t>
        </is>
      </c>
      <c r="D33" s="21" t="n">
        <v>30</v>
      </c>
      <c r="E33" s="23" t="n">
        <v>21.8</v>
      </c>
    </row>
    <row r="34">
      <c r="A34" t="inlineStr">
        <is>
          <t>CI-26051504</t>
        </is>
      </c>
      <c r="B34" t="inlineStr">
        <is>
          <t>GMWT 75/22 Black Mediumwall tube with</t>
        </is>
      </c>
      <c r="C34" t="inlineStr">
        <is>
          <t>MW-A</t>
        </is>
      </c>
      <c r="D34" s="21" t="n">
        <v>180</v>
      </c>
      <c r="E34" s="23" t="n">
        <v>55.14</v>
      </c>
    </row>
    <row r="35">
      <c r="A35" t="inlineStr">
        <is>
          <t>CI-26051504</t>
        </is>
      </c>
      <c r="B35" t="inlineStr">
        <is>
          <t>GMWT 75/22 Black Mediumwall tube with</t>
        </is>
      </c>
      <c r="C35" t="inlineStr">
        <is>
          <t>MW-A</t>
        </is>
      </c>
      <c r="D35" s="21" t="n">
        <v>35</v>
      </c>
      <c r="E35" s="23" t="n">
        <v>11.12</v>
      </c>
    </row>
    <row r="36">
      <c r="A36" t="inlineStr">
        <is>
          <t>CI-26051504</t>
        </is>
      </c>
      <c r="B36" t="inlineStr">
        <is>
          <t>GMWT 40/12 Black Mediumwall tube with</t>
        </is>
      </c>
      <c r="C36" t="inlineStr">
        <is>
          <t>MW-A</t>
        </is>
      </c>
      <c r="D36" s="21" t="n">
        <v>480</v>
      </c>
      <c r="E36" s="23" t="n">
        <v>71.59999999999999</v>
      </c>
    </row>
    <row r="37">
      <c r="A37" t="inlineStr">
        <is>
          <t>CI-26051504</t>
        </is>
      </c>
      <c r="B37" t="inlineStr">
        <is>
          <t>GMWT 40/12 Black Mediumwall tube with</t>
        </is>
      </c>
      <c r="C37" t="inlineStr">
        <is>
          <t>MW-A</t>
        </is>
      </c>
      <c r="D37" s="21" t="n">
        <v>20</v>
      </c>
      <c r="E37" s="23" t="n">
        <v>2.8</v>
      </c>
    </row>
    <row r="38">
      <c r="A38" t="inlineStr">
        <is>
          <t>CI-26051504</t>
        </is>
      </c>
      <c r="B38" t="inlineStr">
        <is>
          <t>GMWT 19/5 Black Mediumwall tube with</t>
        </is>
      </c>
      <c r="C38" t="inlineStr">
        <is>
          <t>MW-A</t>
        </is>
      </c>
      <c r="D38" s="21" t="n">
        <v>900</v>
      </c>
      <c r="E38" s="23" t="n">
        <v>56.7</v>
      </c>
    </row>
    <row r="39">
      <c r="A39" t="inlineStr">
        <is>
          <t>CI-26051504</t>
        </is>
      </c>
      <c r="B39" t="inlineStr">
        <is>
          <t>GMWT 19/5 Black Mediumwall tube with</t>
        </is>
      </c>
      <c r="C39" t="inlineStr">
        <is>
          <t>MW-A</t>
        </is>
      </c>
      <c r="D39" s="21" t="n">
        <v>100</v>
      </c>
      <c r="E39" s="23" t="n">
        <v>6.13</v>
      </c>
    </row>
    <row r="40">
      <c r="A40" t="inlineStr">
        <is>
          <t>CI-26051504</t>
        </is>
      </c>
      <c r="B40" t="inlineStr">
        <is>
          <t>GTW 8.0/4.0-1000 Black Thinwall tube 2:1 8,0/4,0</t>
        </is>
      </c>
      <c r="C40" t="inlineStr">
        <is>
          <t>TW</t>
        </is>
      </c>
      <c r="D40" s="21" t="n">
        <v>100</v>
      </c>
      <c r="E40" s="23" t="n">
        <v>1</v>
      </c>
    </row>
    <row r="41">
      <c r="A41" t="inlineStr">
        <is>
          <t>CI-26051504</t>
        </is>
      </c>
      <c r="B41" t="inlineStr">
        <is>
          <t>GTF(YG) 9.5/4.8-1000 Thinwall tube 2:1 9,5/4,8</t>
        </is>
      </c>
      <c r="C41" t="inlineStr">
        <is>
          <t>TW</t>
        </is>
      </c>
      <c r="D41" s="21" t="n">
        <v>3000</v>
      </c>
      <c r="E41" s="23" t="n">
        <v>38.95</v>
      </c>
    </row>
    <row r="42">
      <c r="A42" t="inlineStr">
        <is>
          <t>CI-26051504</t>
        </is>
      </c>
      <c r="B42" t="inlineStr">
        <is>
          <t>GTW 50.8/25.4-1000 Blue Thinwall tube 2:1 50,8/25,4</t>
        </is>
      </c>
      <c r="C42" t="inlineStr">
        <is>
          <t>TW</t>
        </is>
      </c>
      <c r="D42" s="21" t="n">
        <v>400</v>
      </c>
      <c r="E42" s="23" t="n">
        <v>42.48</v>
      </c>
    </row>
    <row r="43">
      <c r="A43" t="inlineStr">
        <is>
          <t>CI-26051504</t>
        </is>
      </c>
      <c r="B43" t="inlineStr">
        <is>
          <t>GTW 50.8/25.4-1000 Blue Thinwall tube 2:1 50,8/25,4</t>
        </is>
      </c>
      <c r="C43" t="inlineStr">
        <is>
          <t>TW</t>
        </is>
      </c>
      <c r="D43" s="21" t="n">
        <v>50</v>
      </c>
      <c r="E43" s="23" t="n">
        <v>5.27</v>
      </c>
    </row>
    <row r="44">
      <c r="A44" t="inlineStr">
        <is>
          <t>CI-26051504</t>
        </is>
      </c>
      <c r="B44" t="inlineStr">
        <is>
          <t>GTW 50.8/25.4-1000 Black Thinwall tube 2:1 50,8/25,4</t>
        </is>
      </c>
      <c r="C44" t="inlineStr">
        <is>
          <t>TW</t>
        </is>
      </c>
      <c r="D44" s="21" t="n">
        <v>200</v>
      </c>
      <c r="E44" s="23" t="n">
        <v>21.64</v>
      </c>
    </row>
    <row r="45">
      <c r="A45" t="inlineStr">
        <is>
          <t>CI-26051504</t>
        </is>
      </c>
      <c r="B45" t="inlineStr">
        <is>
          <t>GTW 50.8/25.4-1000 Black Thinwall tube 2:1 50,8/25,4</t>
        </is>
      </c>
      <c r="C45" t="inlineStr">
        <is>
          <t>TW</t>
        </is>
      </c>
      <c r="D45" s="21" t="n">
        <v>50</v>
      </c>
      <c r="E45" s="23" t="n">
        <v>5.37</v>
      </c>
    </row>
    <row r="46">
      <c r="A46" t="inlineStr">
        <is>
          <t>CI-26051504</t>
        </is>
      </c>
      <c r="B46" t="inlineStr">
        <is>
          <t>GTW 9.5/4.8-1000 Black Thinwall tube 2:1 9,5/4,8</t>
        </is>
      </c>
      <c r="C46" t="inlineStr">
        <is>
          <t>TW</t>
        </is>
      </c>
      <c r="D46" s="21" t="n">
        <v>3600</v>
      </c>
      <c r="E46" s="23" t="n">
        <v>44.82</v>
      </c>
    </row>
    <row r="47">
      <c r="A47" t="inlineStr">
        <is>
          <t>CI-26051504</t>
        </is>
      </c>
      <c r="B47" t="inlineStr">
        <is>
          <t>GTW 16.0/8.0-1000 Black Thinwall tube 2:1 16,0/8,0</t>
        </is>
      </c>
      <c r="C47" t="inlineStr">
        <is>
          <t>TW</t>
        </is>
      </c>
      <c r="D47" s="21" t="n">
        <v>1000</v>
      </c>
      <c r="E47" s="23" t="n">
        <v>25.5</v>
      </c>
    </row>
    <row r="48">
      <c r="A48" t="inlineStr">
        <is>
          <t>CI-26051504</t>
        </is>
      </c>
      <c r="B48" t="inlineStr">
        <is>
          <t>GTW 16.0/8.0-1000 Black Thinwall tube 2:1 16,0/8,0</t>
        </is>
      </c>
      <c r="C48" t="inlineStr">
        <is>
          <t>TW</t>
        </is>
      </c>
      <c r="D48" s="21" t="n">
        <v>300</v>
      </c>
      <c r="E48" s="23" t="n">
        <v>7.61</v>
      </c>
    </row>
    <row r="49">
      <c r="A49" t="inlineStr">
        <is>
          <t>CI-26051504</t>
        </is>
      </c>
      <c r="B49" t="inlineStr">
        <is>
          <t>GTW 19.0/9.5-1000 Blue Thinwall tube 2:1 19,0/9,5</t>
        </is>
      </c>
      <c r="C49" t="inlineStr">
        <is>
          <t>TW</t>
        </is>
      </c>
      <c r="D49" s="21" t="n">
        <v>2400</v>
      </c>
      <c r="E49" s="23" t="n">
        <v>80.48</v>
      </c>
    </row>
    <row r="50">
      <c r="A50" t="inlineStr">
        <is>
          <t>CI-26051504</t>
        </is>
      </c>
      <c r="B50" t="inlineStr">
        <is>
          <t>GTW 19.0/9.5-1000 Blue Thinwall tube 2:1 19,0/9,5</t>
        </is>
      </c>
      <c r="C50" t="inlineStr">
        <is>
          <t>TW</t>
        </is>
      </c>
      <c r="D50" s="21" t="n">
        <v>200</v>
      </c>
      <c r="E50" s="23" t="n">
        <v>6.74</v>
      </c>
    </row>
    <row r="51">
      <c r="A51" t="inlineStr">
        <is>
          <t>CI-26051504</t>
        </is>
      </c>
      <c r="B51" t="inlineStr">
        <is>
          <t>GTW 25.4/12.7-1000 Blue Thinwall tube 2:1</t>
        </is>
      </c>
      <c r="C51" t="inlineStr">
        <is>
          <t>TW</t>
        </is>
      </c>
      <c r="D51" s="21" t="n">
        <v>2000</v>
      </c>
      <c r="E51" s="23" t="n">
        <v>89.44</v>
      </c>
    </row>
    <row r="52">
      <c r="A52" t="inlineStr">
        <is>
          <t>CI-26051504</t>
        </is>
      </c>
      <c r="B52" t="inlineStr">
        <is>
          <t>GMWT 8/2 Black Mediumwall tube with</t>
        </is>
      </c>
      <c r="C52" t="inlineStr">
        <is>
          <t>MW-A</t>
        </is>
      </c>
      <c r="D52" s="21" t="n">
        <v>600</v>
      </c>
      <c r="E52" s="23" t="n">
        <v>17</v>
      </c>
    </row>
    <row r="53">
      <c r="A53" t="inlineStr">
        <is>
          <t>CI-26051504</t>
        </is>
      </c>
      <c r="B53" t="inlineStr">
        <is>
          <t>GMWT 8/2 Black Mediumwall tube with</t>
        </is>
      </c>
      <c r="C53" t="inlineStr">
        <is>
          <t>MW-A</t>
        </is>
      </c>
      <c r="D53" s="21" t="n">
        <v>400</v>
      </c>
      <c r="E53" s="23" t="n">
        <v>11.03</v>
      </c>
    </row>
    <row r="54">
      <c r="A54" t="inlineStr">
        <is>
          <t>CI-26051504</t>
        </is>
      </c>
      <c r="B54" t="inlineStr">
        <is>
          <t>GHWT 105/29 Black Heavywall tube with</t>
        </is>
      </c>
      <c r="C54" t="inlineStr">
        <is>
          <t>HW</t>
        </is>
      </c>
      <c r="D54" s="21" t="n">
        <v>30</v>
      </c>
      <c r="E54" s="23" t="n">
        <v>13.87</v>
      </c>
    </row>
    <row r="55">
      <c r="A55" t="inlineStr">
        <is>
          <t>CI-26051504</t>
        </is>
      </c>
      <c r="B55" t="inlineStr">
        <is>
          <t>GTW 3.2/1.6-1000 Black Thinwall tube 2:1 3,2/1,6</t>
        </is>
      </c>
      <c r="C55" t="inlineStr">
        <is>
          <t>TW</t>
        </is>
      </c>
      <c r="D55" s="21" t="n">
        <v>6000</v>
      </c>
      <c r="E55" s="23" t="n">
        <v>18.54</v>
      </c>
    </row>
    <row r="56">
      <c r="A56" t="inlineStr">
        <is>
          <t>CI-26051504</t>
        </is>
      </c>
      <c r="B56" t="inlineStr">
        <is>
          <t>GTW 3.2/1.6-1000 Black Thinwall tube 2:1 3,2/1,6</t>
        </is>
      </c>
      <c r="C56" t="inlineStr">
        <is>
          <t>TW</t>
        </is>
      </c>
      <c r="D56" s="21" t="n">
        <v>1500</v>
      </c>
      <c r="E56" s="23" t="n">
        <v>4.72</v>
      </c>
    </row>
    <row r="57">
      <c r="A57" t="inlineStr">
        <is>
          <t>CI-26051504</t>
        </is>
      </c>
      <c r="B57" t="inlineStr">
        <is>
          <t>GTW 3.2/1.6-1000 Blue Thinwall tube 2:1 3,2/1,6</t>
        </is>
      </c>
      <c r="C57" t="inlineStr">
        <is>
          <t>TW</t>
        </is>
      </c>
      <c r="D57" s="21" t="n">
        <v>3000</v>
      </c>
      <c r="E57" s="23" t="n">
        <v>10.55</v>
      </c>
    </row>
    <row r="58">
      <c r="A58" t="inlineStr">
        <is>
          <t>CI-26051504</t>
        </is>
      </c>
      <c r="B58" t="inlineStr">
        <is>
          <t>GTW 31.8/15.9-1000 Black Thinwall tube 2:1 31,8/15,9</t>
        </is>
      </c>
      <c r="C58" t="inlineStr">
        <is>
          <t>TW</t>
        </is>
      </c>
      <c r="D58" s="21" t="n">
        <v>1500</v>
      </c>
      <c r="E58" s="23" t="n">
        <v>90.84</v>
      </c>
    </row>
    <row r="59">
      <c r="A59" t="inlineStr">
        <is>
          <t>CI-26051504</t>
        </is>
      </c>
      <c r="B59" t="inlineStr">
        <is>
          <t>GTF(YG)38.1/19.1-1000 Thinwall tube 2:1 38,1/19,1</t>
        </is>
      </c>
      <c r="C59" t="inlineStr">
        <is>
          <t>TW</t>
        </is>
      </c>
      <c r="D59" s="21" t="n">
        <v>1000</v>
      </c>
      <c r="E59" s="23" t="n">
        <v>93.59999999999999</v>
      </c>
    </row>
    <row r="60">
      <c r="A60" t="inlineStr">
        <is>
          <t>CI-26051504</t>
        </is>
      </c>
      <c r="B60" t="inlineStr">
        <is>
          <t>GTW 25.4/12.7-1000 Black Thinwall tube 2:1</t>
        </is>
      </c>
      <c r="C60" t="inlineStr">
        <is>
          <t>TW</t>
        </is>
      </c>
      <c r="D60" s="21" t="n">
        <v>2500</v>
      </c>
      <c r="E60" s="23" t="n">
        <v>130.7</v>
      </c>
    </row>
    <row r="61">
      <c r="A61" t="inlineStr">
        <is>
          <t>CI-26051504</t>
        </is>
      </c>
      <c r="B61" t="inlineStr">
        <is>
          <t>GHWT 140/42 Black Heavywall tube with</t>
        </is>
      </c>
      <c r="C61" t="inlineStr">
        <is>
          <t>HW</t>
        </is>
      </c>
      <c r="D61" s="21" t="n">
        <v>10</v>
      </c>
      <c r="E61" s="23" t="n">
        <v>7.83</v>
      </c>
    </row>
    <row r="62">
      <c r="A62" t="inlineStr">
        <is>
          <t>CI-26051504</t>
        </is>
      </c>
      <c r="B62" t="inlineStr">
        <is>
          <t>GHWT 180/58 Black Heavywall tube with</t>
        </is>
      </c>
      <c r="C62" t="inlineStr">
        <is>
          <t>HW</t>
        </is>
      </c>
      <c r="D62" s="21" t="n">
        <v>10</v>
      </c>
      <c r="E62" s="23" t="n">
        <v>9.77</v>
      </c>
    </row>
    <row r="63">
      <c r="A63" t="inlineStr">
        <is>
          <t>CI-26051504</t>
        </is>
      </c>
      <c r="B63" t="inlineStr">
        <is>
          <t>GHWT 9/3 Black Heavywall tube with</t>
        </is>
      </c>
      <c r="C63" t="inlineStr">
        <is>
          <t>HW</t>
        </is>
      </c>
      <c r="D63" s="21" t="n">
        <v>300</v>
      </c>
      <c r="E63" s="23" t="n">
        <v>13.07</v>
      </c>
    </row>
    <row r="64">
      <c r="A64" t="inlineStr">
        <is>
          <t>CI-26051504</t>
        </is>
      </c>
      <c r="B64" t="inlineStr">
        <is>
          <t>GHWT 9/3 Black Heavywall tube with</t>
        </is>
      </c>
      <c r="C64" t="inlineStr">
        <is>
          <t>HW</t>
        </is>
      </c>
      <c r="D64" s="21" t="n">
        <v>140</v>
      </c>
      <c r="E64" s="23" t="n">
        <v>5.96</v>
      </c>
    </row>
    <row r="65">
      <c r="A65" t="inlineStr">
        <is>
          <t>CI-26051504</t>
        </is>
      </c>
      <c r="B65" t="inlineStr">
        <is>
          <t>GMWT 22/6 Black Mediumwall tube with</t>
        </is>
      </c>
      <c r="C65" t="inlineStr">
        <is>
          <t>MW-A</t>
        </is>
      </c>
      <c r="D65" s="21" t="n">
        <v>100</v>
      </c>
      <c r="E65" s="23" t="n">
        <v>8.390000000000001</v>
      </c>
    </row>
    <row r="66">
      <c r="A66" t="inlineStr">
        <is>
          <t>CI-26051504</t>
        </is>
      </c>
      <c r="B66" t="inlineStr">
        <is>
          <t>GTW 8.0/4.0-1000 Clear Thinwall tube 2:1 8,0/4,0</t>
        </is>
      </c>
      <c r="C66" t="inlineStr">
        <is>
          <t>TW</t>
        </is>
      </c>
      <c r="D66" s="21" t="n">
        <v>100</v>
      </c>
      <c r="E66" s="23" t="n">
        <v>0.64</v>
      </c>
    </row>
    <row r="67">
      <c r="A67" t="inlineStr">
        <is>
          <t>CI-26051504</t>
        </is>
      </c>
      <c r="B67" t="inlineStr">
        <is>
          <t>GMWT 12/3 Black Mediumwall tube with</t>
        </is>
      </c>
      <c r="C67" t="inlineStr">
        <is>
          <t>MW-A</t>
        </is>
      </c>
      <c r="D67" s="21" t="n">
        <v>6300</v>
      </c>
      <c r="E67" s="23" t="n">
        <v>241.92</v>
      </c>
    </row>
    <row r="68">
      <c r="A68" t="inlineStr">
        <is>
          <t>CI-26051504</t>
        </is>
      </c>
      <c r="B68" t="inlineStr">
        <is>
          <t>GMWT 12/3 Black Mediumwall tube with</t>
        </is>
      </c>
      <c r="C68" t="inlineStr">
        <is>
          <t>MW-A</t>
        </is>
      </c>
      <c r="D68" s="21" t="n">
        <v>100</v>
      </c>
      <c r="E68" s="23" t="n">
        <v>3.5</v>
      </c>
    </row>
    <row r="69">
      <c r="A69" t="inlineStr">
        <is>
          <t>CI-26051504</t>
        </is>
      </c>
      <c r="B69" t="inlineStr">
        <is>
          <t>GTW 6.4/3.2-1000 Black Thinwall tube 2:1 6,4/3,2</t>
        </is>
      </c>
      <c r="C69" t="inlineStr">
        <is>
          <t>TW</t>
        </is>
      </c>
      <c r="D69" s="21" t="n">
        <v>10000</v>
      </c>
      <c r="E69" s="23" t="n">
        <v>78.5</v>
      </c>
    </row>
    <row r="70">
      <c r="A70" t="inlineStr">
        <is>
          <t>CI-26051504</t>
        </is>
      </c>
      <c r="B70" t="inlineStr">
        <is>
          <t>GTW 2.4/1.2-1000 Red Thinwall tube 2:1 2,4/1,2</t>
        </is>
      </c>
      <c r="C70" t="inlineStr">
        <is>
          <t>TW</t>
        </is>
      </c>
      <c r="D70" s="21" t="n">
        <v>300</v>
      </c>
      <c r="E70" s="23" t="n">
        <v>0.87</v>
      </c>
    </row>
    <row r="71">
      <c r="A71" t="inlineStr">
        <is>
          <t>CI-26051504</t>
        </is>
      </c>
      <c r="B71" t="inlineStr">
        <is>
          <t>GTW 2.4/1.2-1000 Blue Thinwall tube 2:1 2,4/1,2</t>
        </is>
      </c>
      <c r="C71" t="inlineStr">
        <is>
          <t>TW</t>
        </is>
      </c>
      <c r="D71" s="21" t="n">
        <v>500</v>
      </c>
      <c r="E71" s="23" t="n">
        <v>1.4</v>
      </c>
    </row>
    <row r="72">
      <c r="A72" t="inlineStr">
        <is>
          <t>CI-26051504</t>
        </is>
      </c>
      <c r="B72" t="inlineStr">
        <is>
          <t>GTF(YG) 2.4/1.2-1000 Thinwall tube 2:1 2,4/1,2</t>
        </is>
      </c>
      <c r="C72" t="inlineStr">
        <is>
          <t>TW</t>
        </is>
      </c>
      <c r="D72" s="21" t="n">
        <v>300</v>
      </c>
      <c r="E72" s="23" t="n">
        <v>0.9399999999999999</v>
      </c>
    </row>
    <row r="73">
      <c r="A73" t="inlineStr">
        <is>
          <t>CI-26051504</t>
        </is>
      </c>
      <c r="B73" t="inlineStr">
        <is>
          <t>GTW 2.4/1.2-1000 Black Thinwall tube 2:1 2,4/1,2</t>
        </is>
      </c>
      <c r="C73" t="inlineStr">
        <is>
          <t>TW</t>
        </is>
      </c>
      <c r="D73" s="21" t="n">
        <v>3500</v>
      </c>
      <c r="E73" s="23" t="n">
        <v>9.609999999999999</v>
      </c>
    </row>
    <row r="74">
      <c r="A74" t="inlineStr">
        <is>
          <t>CI-26051504</t>
        </is>
      </c>
      <c r="B74" t="inlineStr">
        <is>
          <t>GTW 2.4/1.2-1000 Black Thinwall tube 2:1 2,4/1,2</t>
        </is>
      </c>
      <c r="C74" t="inlineStr">
        <is>
          <t>TW</t>
        </is>
      </c>
      <c r="D74" s="21" t="n">
        <v>300</v>
      </c>
      <c r="E74" s="23" t="n">
        <v>0.85</v>
      </c>
    </row>
    <row r="75">
      <c r="A75" t="inlineStr">
        <is>
          <t>CI-26051504</t>
        </is>
      </c>
      <c r="B75" t="inlineStr">
        <is>
          <t>GTW 8.0/4.0-1000 Red Thinwall tube 2:1 8,0/4,0</t>
        </is>
      </c>
      <c r="C75" t="inlineStr">
        <is>
          <t>TW</t>
        </is>
      </c>
      <c r="D75" s="21" t="n">
        <v>100</v>
      </c>
      <c r="E75" s="23" t="n">
        <v>0.93</v>
      </c>
    </row>
    <row r="76">
      <c r="A76" t="inlineStr">
        <is>
          <t>CI-26051504</t>
        </is>
      </c>
      <c r="B76" t="inlineStr">
        <is>
          <t>GTW 8.0/4.0-1000 Green Thinwall tube 2:1 8,0/4,0</t>
        </is>
      </c>
      <c r="C76" t="inlineStr">
        <is>
          <t>TW</t>
        </is>
      </c>
      <c r="D76" s="21" t="n">
        <v>100</v>
      </c>
      <c r="E76" s="23" t="n">
        <v>0.91</v>
      </c>
    </row>
    <row r="77">
      <c r="A77" t="inlineStr">
        <is>
          <t>CI-26051504</t>
        </is>
      </c>
      <c r="B77" t="inlineStr">
        <is>
          <t>GTW 1.6/0.8-1000 Blue Thinwall tube 2:1 1,6/0,8</t>
        </is>
      </c>
      <c r="C77" t="inlineStr">
        <is>
          <t>TW</t>
        </is>
      </c>
      <c r="D77" s="21" t="n">
        <v>400</v>
      </c>
      <c r="E77" s="23" t="n">
        <v>0.62</v>
      </c>
    </row>
    <row r="78">
      <c r="A78" t="inlineStr">
        <is>
          <t>CI-26051504</t>
        </is>
      </c>
      <c r="B78" t="inlineStr">
        <is>
          <t>GTW 1.6/0.8-1000 Black Thinwall tube 2:1 1,6/0,8</t>
        </is>
      </c>
      <c r="C78" t="inlineStr">
        <is>
          <t>TW</t>
        </is>
      </c>
      <c r="D78" s="21" t="n">
        <v>5000</v>
      </c>
      <c r="E78" s="23" t="n">
        <v>9.6</v>
      </c>
    </row>
    <row r="79">
      <c r="A79" t="inlineStr">
        <is>
          <t>CI-26051504</t>
        </is>
      </c>
      <c r="B79" t="inlineStr">
        <is>
          <t>GTW 16.0/8.0-1000 Blue Thinwall tube 2:1 16,0/8,0</t>
        </is>
      </c>
      <c r="C79" t="inlineStr">
        <is>
          <t>TW</t>
        </is>
      </c>
      <c r="D79" s="21" t="n">
        <v>280</v>
      </c>
      <c r="E79" s="23" t="n">
        <v>6.41</v>
      </c>
    </row>
    <row r="80">
      <c r="A80" t="inlineStr">
        <is>
          <t>CI-26051504</t>
        </is>
      </c>
      <c r="B80" t="inlineStr">
        <is>
          <t>GTW 38.1/19.1-1000 Black Thinwall tube 2:1 38,1/19,1</t>
        </is>
      </c>
      <c r="C80" t="inlineStr">
        <is>
          <t>TW</t>
        </is>
      </c>
      <c r="D80" s="21" t="n">
        <v>2000</v>
      </c>
      <c r="E80" s="23" t="n">
        <v>172.1</v>
      </c>
    </row>
    <row r="81">
      <c r="A81" t="inlineStr">
        <is>
          <t>CI-26051504</t>
        </is>
      </c>
      <c r="B81" t="inlineStr">
        <is>
          <t>GTW 6.4/3.2-1000 Blue Thinwall tube 2:1 6,4/3,2</t>
        </is>
      </c>
      <c r="C81" t="inlineStr">
        <is>
          <t>TW</t>
        </is>
      </c>
      <c r="D81" s="21" t="n">
        <v>2000</v>
      </c>
      <c r="E81" s="23" t="n">
        <v>17.62</v>
      </c>
    </row>
    <row r="82">
      <c r="A82" t="inlineStr">
        <is>
          <t>CI-26051504</t>
        </is>
      </c>
      <c r="B82" t="inlineStr">
        <is>
          <t>GTW 6.4/3.2-1000 Blue Thinwall tube 2:1 6,4/3,2</t>
        </is>
      </c>
      <c r="C82" t="inlineStr">
        <is>
          <t>TW</t>
        </is>
      </c>
      <c r="D82" s="21" t="n">
        <v>500</v>
      </c>
      <c r="E82" s="23" t="n">
        <v>4.41</v>
      </c>
    </row>
    <row r="83">
      <c r="A83" t="inlineStr">
        <is>
          <t>CI-26051504</t>
        </is>
      </c>
      <c r="B83" t="inlineStr">
        <is>
          <t>GTF(YG) 6.4/3.2-1000 Thinwall tube 2:1 6,4/3,2</t>
        </is>
      </c>
      <c r="C83" t="inlineStr">
        <is>
          <t>TW</t>
        </is>
      </c>
      <c r="D83" s="21" t="n">
        <v>250</v>
      </c>
      <c r="E83" s="23" t="n">
        <v>2.04</v>
      </c>
    </row>
    <row r="84">
      <c r="A84" t="inlineStr">
        <is>
          <t>CI-26051504</t>
        </is>
      </c>
      <c r="B84" t="inlineStr">
        <is>
          <t>GTW 31.8/15.9-1000 Blue Thinwall tube 2:1 31,8/15,9</t>
        </is>
      </c>
      <c r="C84" t="inlineStr">
        <is>
          <t>TW</t>
        </is>
      </c>
      <c r="D84" s="21" t="n">
        <v>250</v>
      </c>
      <c r="E84" s="23" t="n">
        <v>15.02</v>
      </c>
    </row>
    <row r="85">
      <c r="A85" t="inlineStr">
        <is>
          <t>CI-26051504</t>
        </is>
      </c>
      <c r="B85" t="inlineStr">
        <is>
          <t>GTW 31.8/15.9-1000 Blue Thinwall tube 2:1 31,8/15,9</t>
        </is>
      </c>
      <c r="C85" t="inlineStr">
        <is>
          <t>TW</t>
        </is>
      </c>
      <c r="D85" s="21" t="n">
        <v>150</v>
      </c>
      <c r="E85" s="23" t="n">
        <v>8.859999999999999</v>
      </c>
    </row>
    <row r="86">
      <c r="A86" t="inlineStr">
        <is>
          <t>CI-26051504</t>
        </is>
      </c>
      <c r="B86" t="inlineStr">
        <is>
          <t>GTW 4.8/2.4-1000 Black Thinwall tube 2:1 4,8/2,4</t>
        </is>
      </c>
      <c r="C86" t="inlineStr">
        <is>
          <t>TW</t>
        </is>
      </c>
      <c r="D86" s="21" t="n">
        <v>8000</v>
      </c>
      <c r="E86" s="23" t="n">
        <v>56.76</v>
      </c>
    </row>
    <row r="87">
      <c r="A87" t="inlineStr">
        <is>
          <t>CI-26051504</t>
        </is>
      </c>
      <c r="B87" t="inlineStr">
        <is>
          <t>GTW 12.7/6.4-1000 Black Thinwall tube 2:1 12,7/6,4</t>
        </is>
      </c>
      <c r="C87" t="inlineStr">
        <is>
          <t>TW</t>
        </is>
      </c>
      <c r="D87" s="21" t="n">
        <v>4800</v>
      </c>
      <c r="E87" s="23" t="n">
        <v>73.28</v>
      </c>
    </row>
    <row r="88">
      <c r="A88" t="inlineStr">
        <is>
          <t>CI-26051504</t>
        </is>
      </c>
      <c r="B88" t="inlineStr">
        <is>
          <t>GTW 12.7/6.4-1000 Black Thinwall tube 2:1 12,7/6,4</t>
        </is>
      </c>
      <c r="C88" t="inlineStr">
        <is>
          <t>TW</t>
        </is>
      </c>
      <c r="D88" s="21" t="n">
        <v>200</v>
      </c>
      <c r="E88" s="23" t="n">
        <v>3.24</v>
      </c>
    </row>
    <row r="89">
      <c r="A89" t="inlineStr">
        <is>
          <t>CI-26051504</t>
        </is>
      </c>
      <c r="B89" t="inlineStr">
        <is>
          <t>GTF(YG)12.7/6.4-1000 Thinwall tube 2:1 12,7/6,4</t>
        </is>
      </c>
      <c r="C89" t="inlineStr">
        <is>
          <t>TW</t>
        </is>
      </c>
      <c r="D89" s="21" t="n">
        <v>2400</v>
      </c>
      <c r="E89" s="23" t="n">
        <v>40.08</v>
      </c>
    </row>
    <row r="90">
      <c r="A90" t="inlineStr">
        <is>
          <t>CI-26051504</t>
        </is>
      </c>
      <c r="B90" t="inlineStr">
        <is>
          <t>GTF(YG)12.7/6.4-1000 Thinwall tube 2:1 12,7/6,4</t>
        </is>
      </c>
      <c r="C90" t="inlineStr">
        <is>
          <t>TW</t>
        </is>
      </c>
      <c r="D90" s="21" t="n">
        <v>200</v>
      </c>
      <c r="E90" s="23" t="n">
        <v>3.3</v>
      </c>
    </row>
    <row r="91">
      <c r="A91" t="inlineStr">
        <is>
          <t>CI-26051504</t>
        </is>
      </c>
      <c r="B91" t="inlineStr">
        <is>
          <t>GTW 9.5/4.8-1000 Blue Thinwall tube 2:1 9,5/4,8</t>
        </is>
      </c>
      <c r="C91" t="inlineStr">
        <is>
          <t>TW</t>
        </is>
      </c>
      <c r="D91" s="21" t="n">
        <v>1800</v>
      </c>
      <c r="E91" s="23" t="n">
        <v>22.41</v>
      </c>
    </row>
    <row r="92">
      <c r="A92" t="inlineStr">
        <is>
          <t>CI-26051504</t>
        </is>
      </c>
      <c r="B92" t="inlineStr">
        <is>
          <t>GTF(YG)19.0/9.5-1000 Thinwall tube 2:1 19,0/9,5</t>
        </is>
      </c>
      <c r="C92" t="inlineStr">
        <is>
          <t>TW</t>
        </is>
      </c>
      <c r="D92" s="21" t="n">
        <v>1800</v>
      </c>
      <c r="E92" s="23" t="n">
        <v>62.28</v>
      </c>
    </row>
    <row r="93">
      <c r="A93" t="inlineStr">
        <is>
          <t>CI-26051504</t>
        </is>
      </c>
      <c r="B93" t="inlineStr">
        <is>
          <t>GMWT 40/12 Black- 1500mm</t>
        </is>
      </c>
      <c r="C93" t="inlineStr">
        <is>
          <t>MW-A</t>
        </is>
      </c>
      <c r="D93" s="21" t="n">
        <v>720</v>
      </c>
      <c r="E93" s="23" t="n">
        <v>163.8</v>
      </c>
    </row>
    <row r="94">
      <c r="A94" t="inlineStr">
        <is>
          <t>CI-26051504</t>
        </is>
      </c>
      <c r="B94" t="inlineStr">
        <is>
          <t>GMWT 115/34 Black Mediumwall tube with</t>
        </is>
      </c>
      <c r="C94" t="inlineStr">
        <is>
          <t>MW-A</t>
        </is>
      </c>
      <c r="D94" s="21" t="n">
        <v>40</v>
      </c>
      <c r="E94" s="23" t="n">
        <v>23.2</v>
      </c>
    </row>
    <row r="95">
      <c r="A95" t="inlineStr">
        <is>
          <t>CI-26051504</t>
        </is>
      </c>
      <c r="B95" t="inlineStr">
        <is>
          <t>GMWT 115/34 Black Mediumwall tube with</t>
        </is>
      </c>
      <c r="C95" t="inlineStr">
        <is>
          <t>MW-A</t>
        </is>
      </c>
      <c r="D95" s="21" t="n">
        <v>15</v>
      </c>
      <c r="E95" s="23" t="n">
        <v>8.6</v>
      </c>
    </row>
    <row r="96">
      <c r="A96" t="inlineStr">
        <is>
          <t>CI-26051504</t>
        </is>
      </c>
      <c r="B96" t="inlineStr">
        <is>
          <t>GMWT 40/12 Black- 1500mm</t>
        </is>
      </c>
      <c r="C96" t="inlineStr">
        <is>
          <t>MW-A</t>
        </is>
      </c>
      <c r="D96" s="21" t="n">
        <v>600</v>
      </c>
      <c r="E96" s="23" t="n">
        <v>136.5</v>
      </c>
    </row>
    <row r="97">
      <c r="A97" t="inlineStr">
        <is>
          <t>CI-26051504</t>
        </is>
      </c>
      <c r="B97" t="inlineStr">
        <is>
          <t>GMWT 40/12 Black- 1500mm</t>
        </is>
      </c>
      <c r="C97" t="inlineStr">
        <is>
          <t>MW-A</t>
        </is>
      </c>
      <c r="D97" s="21" t="n">
        <v>60</v>
      </c>
      <c r="E97" s="23" t="n">
        <v>13.65</v>
      </c>
    </row>
    <row r="98">
      <c r="A98" t="inlineStr">
        <is>
          <t>CI-26051504</t>
        </is>
      </c>
      <c r="B98" t="inlineStr">
        <is>
          <t>GTW 4.8/2.4-1000 Blue Thinwall tube 2:1 4,8/2,4</t>
        </is>
      </c>
      <c r="C98" t="inlineStr">
        <is>
          <t>TW</t>
        </is>
      </c>
      <c r="D98" s="21" t="n">
        <v>1500</v>
      </c>
      <c r="E98" s="23" t="n">
        <v>11.31</v>
      </c>
    </row>
    <row r="99">
      <c r="A99" t="inlineStr">
        <is>
          <t>CI-26051504</t>
        </is>
      </c>
      <c r="B99" t="inlineStr">
        <is>
          <t>GTF(YG) 4.8/2.4-1000 Thinwall tube 2:1 4,8/2,4</t>
        </is>
      </c>
      <c r="C99" t="inlineStr">
        <is>
          <t>TW</t>
        </is>
      </c>
      <c r="D99" s="21" t="n">
        <v>1600</v>
      </c>
      <c r="E99" s="23" t="n">
        <v>11.19</v>
      </c>
    </row>
    <row r="100">
      <c r="A100" t="inlineStr">
        <is>
          <t>CI-26051504</t>
        </is>
      </c>
      <c r="B100" t="inlineStr">
        <is>
          <t>Thinwall tube 2:1 4,8/2,4 MSTS 16 GTF(YG)19.0/9.5</t>
        </is>
      </c>
      <c r="C100" t="inlineStr">
        <is>
          <t>KIT</t>
        </is>
      </c>
      <c r="D100" s="21" t="n">
        <v>30</v>
      </c>
      <c r="E100" s="23" t="n">
        <v>6</v>
      </c>
    </row>
    <row r="101">
      <c r="A101" t="inlineStr">
        <is>
          <t>CI-26051504</t>
        </is>
      </c>
      <c r="B101" t="inlineStr">
        <is>
          <t>GTF(YG)19.0/9.5 Thinwall tube 2:1 19,0/9,5</t>
        </is>
      </c>
      <c r="C101" t="inlineStr">
        <is>
          <t>TW</t>
        </is>
      </c>
      <c r="D101" s="21" t="n">
        <v>300</v>
      </c>
      <c r="E101" s="23" t="n">
        <v>11.1</v>
      </c>
    </row>
    <row r="102">
      <c r="A102" t="inlineStr">
        <is>
          <t>CI-26051504</t>
        </is>
      </c>
      <c r="B102" t="inlineStr">
        <is>
          <t>GTW 19.0/9.5 Green Thinwall tube 2:1 19,0/9,5</t>
        </is>
      </c>
      <c r="C102" t="inlineStr">
        <is>
          <t>TW</t>
        </is>
      </c>
      <c r="D102" s="21" t="n">
        <v>500</v>
      </c>
      <c r="E102" s="23" t="n">
        <v>17.5</v>
      </c>
    </row>
    <row r="103">
      <c r="A103" t="inlineStr">
        <is>
          <t>CI-26051504</t>
        </is>
      </c>
      <c r="B103" t="inlineStr">
        <is>
          <t>GTW 19.0/9.5 Green Thinwall tube 2:1 19,0/9,5</t>
        </is>
      </c>
      <c r="C103" t="inlineStr">
        <is>
          <t>TW</t>
        </is>
      </c>
      <c r="D103" s="21" t="n">
        <v>200</v>
      </c>
      <c r="E103" s="23" t="n">
        <v>7.2</v>
      </c>
    </row>
    <row r="104">
      <c r="A104" t="inlineStr">
        <is>
          <t>CI-26051504</t>
        </is>
      </c>
      <c r="B104" t="inlineStr">
        <is>
          <t>GTW 19.0/9.5 Red Thinwall tube 2:1 19,0/9,5</t>
        </is>
      </c>
      <c r="C104" t="inlineStr">
        <is>
          <t>TW</t>
        </is>
      </c>
      <c r="D104" s="21" t="n">
        <v>500</v>
      </c>
      <c r="E104" s="23" t="n">
        <v>18.5</v>
      </c>
    </row>
    <row r="105">
      <c r="A105" t="inlineStr">
        <is>
          <t>CI-26051504</t>
        </is>
      </c>
      <c r="B105" t="inlineStr">
        <is>
          <t>GTW 19.0/9.5 Red Thinwall tube 2:1 19,0/9,5</t>
        </is>
      </c>
      <c r="C105" t="inlineStr">
        <is>
          <t>TW</t>
        </is>
      </c>
      <c r="D105" s="21" t="n">
        <v>200</v>
      </c>
      <c r="E105" s="23" t="n">
        <v>7.5</v>
      </c>
    </row>
    <row r="106">
      <c r="A106" t="inlineStr">
        <is>
          <t>CI-26051504</t>
        </is>
      </c>
      <c r="B106" t="inlineStr">
        <is>
          <t>GTF(YG)38.1/19.1 Thinwall tube 2:1 38,1/19,1</t>
        </is>
      </c>
      <c r="C106" t="inlineStr">
        <is>
          <t>TW</t>
        </is>
      </c>
      <c r="D106" s="21" t="n">
        <v>250</v>
      </c>
      <c r="E106" s="23" t="n">
        <v>26.9</v>
      </c>
    </row>
    <row r="107">
      <c r="A107" t="inlineStr">
        <is>
          <t>CI-26051504</t>
        </is>
      </c>
      <c r="B107" t="inlineStr">
        <is>
          <t>GTW 19.0/9.5 Blue Thinwall tube 2:1 19,0/9,5</t>
        </is>
      </c>
      <c r="C107" t="inlineStr">
        <is>
          <t>TW</t>
        </is>
      </c>
      <c r="D107" s="21" t="n">
        <v>200</v>
      </c>
      <c r="E107" s="23" t="n">
        <v>7.49</v>
      </c>
    </row>
    <row r="108">
      <c r="A108" t="inlineStr">
        <is>
          <t>CI-26051504</t>
        </is>
      </c>
      <c r="B108" t="inlineStr">
        <is>
          <t>GTW 38.1/19.1 Red Thinwall tube 2:1 38,1/19,1</t>
        </is>
      </c>
      <c r="C108" t="inlineStr">
        <is>
          <t>TW</t>
        </is>
      </c>
      <c r="D108" s="21" t="n">
        <v>300</v>
      </c>
      <c r="E108" s="23" t="n">
        <v>26.98</v>
      </c>
    </row>
    <row r="109">
      <c r="A109" t="inlineStr">
        <is>
          <t>CI-26051504</t>
        </is>
      </c>
      <c r="B109" t="inlineStr">
        <is>
          <t>GTW 38.1/19.1 Red Thinwall tube 2:1 38,1/19,1</t>
        </is>
      </c>
      <c r="C109" t="inlineStr">
        <is>
          <t>TW</t>
        </is>
      </c>
      <c r="D109" s="21" t="n">
        <v>50</v>
      </c>
      <c r="E109" s="23" t="n">
        <v>4.56</v>
      </c>
    </row>
    <row r="110">
      <c r="A110" t="inlineStr">
        <is>
          <t>CI-26051504</t>
        </is>
      </c>
      <c r="B110" t="inlineStr">
        <is>
          <t>GTW 38.1/19.1 Green Thinwall tube 2:1 38,1/19,1</t>
        </is>
      </c>
      <c r="C110" t="inlineStr">
        <is>
          <t>TW</t>
        </is>
      </c>
      <c r="D110" s="21" t="n">
        <v>300</v>
      </c>
      <c r="E110" s="23" t="n">
        <v>24.55</v>
      </c>
    </row>
    <row r="111">
      <c r="A111" t="inlineStr">
        <is>
          <t>CI-26051504</t>
        </is>
      </c>
      <c r="B111" t="inlineStr">
        <is>
          <t>GTW 38.1/19.1 Green Thinwall tube 2:1 38,1/19,1</t>
        </is>
      </c>
      <c r="C111" t="inlineStr">
        <is>
          <t>TW</t>
        </is>
      </c>
      <c r="D111" s="21" t="n">
        <v>50</v>
      </c>
      <c r="E111" s="23" t="n">
        <v>4.8</v>
      </c>
    </row>
    <row r="112">
      <c r="A112" t="inlineStr">
        <is>
          <t>CI-26051504</t>
        </is>
      </c>
      <c r="B112" t="inlineStr">
        <is>
          <t>GTW 12.7/6.4 Red Thinwall tube 2:1 12,7/6,4</t>
        </is>
      </c>
      <c r="C112" t="inlineStr">
        <is>
          <t>TW</t>
        </is>
      </c>
      <c r="D112" s="21" t="n">
        <v>700</v>
      </c>
      <c r="E112" s="23" t="n">
        <v>12.81</v>
      </c>
    </row>
    <row r="113">
      <c r="A113" t="inlineStr">
        <is>
          <t>CI-26051504</t>
        </is>
      </c>
      <c r="B113" t="inlineStr">
        <is>
          <t>GTW 12.7/6.4 Green Thinwall tube 2:1 12,7/6,4</t>
        </is>
      </c>
      <c r="C113" t="inlineStr">
        <is>
          <t>TW</t>
        </is>
      </c>
      <c r="D113" s="21" t="n">
        <v>700</v>
      </c>
      <c r="E113" s="23" t="n">
        <v>10.8</v>
      </c>
    </row>
    <row r="114">
      <c r="A114" t="inlineStr">
        <is>
          <t>CI-26051504</t>
        </is>
      </c>
      <c r="B114" t="inlineStr">
        <is>
          <t>GMWT 28/6 Black- 1500mm</t>
        </is>
      </c>
      <c r="C114" t="inlineStr">
        <is>
          <t>MW-A</t>
        </is>
      </c>
      <c r="D114" s="21" t="n">
        <v>15</v>
      </c>
      <c r="E114" s="23" t="n">
        <v>1.82</v>
      </c>
    </row>
    <row r="115">
      <c r="A115" t="inlineStr">
        <is>
          <t>CI-26051504</t>
        </is>
      </c>
      <c r="B115" t="inlineStr">
        <is>
          <t>1500mm MSTS 16</t>
        </is>
      </c>
      <c r="C115" t="inlineStr">
        <is>
          <t>KIT</t>
        </is>
      </c>
      <c r="D115" s="21" t="n">
        <v>990</v>
      </c>
      <c r="E115" s="23" t="n">
        <v>199.1</v>
      </c>
    </row>
    <row r="116">
      <c r="A116" t="inlineStr">
        <is>
          <t>CI-26051504</t>
        </is>
      </c>
      <c r="B116" t="inlineStr">
        <is>
          <t>MSTS 16</t>
        </is>
      </c>
      <c r="C116" t="inlineStr">
        <is>
          <t>KIT</t>
        </is>
      </c>
      <c r="D116" s="21" t="n">
        <v>60</v>
      </c>
      <c r="E116" s="23" t="n">
        <v>11.76</v>
      </c>
    </row>
    <row r="117">
      <c r="A117" t="inlineStr">
        <is>
          <t>CI-26051902</t>
        </is>
      </c>
      <c r="B117" t="inlineStr">
        <is>
          <t>MSTS 240</t>
        </is>
      </c>
      <c r="C117" t="inlineStr">
        <is>
          <t>KIT</t>
        </is>
      </c>
      <c r="D117" s="21" t="n">
        <v>180</v>
      </c>
      <c r="E117" s="23" t="n">
        <v>163.8</v>
      </c>
    </row>
    <row r="118">
      <c r="A118" t="inlineStr">
        <is>
          <t>CI-26051902</t>
        </is>
      </c>
      <c r="B118" t="inlineStr">
        <is>
          <t>MSTS 240</t>
        </is>
      </c>
      <c r="C118" t="inlineStr">
        <is>
          <t>KIT</t>
        </is>
      </c>
      <c r="D118" s="21" t="n">
        <v>180</v>
      </c>
      <c r="E118" s="23" t="n">
        <v>163.8</v>
      </c>
    </row>
    <row r="119">
      <c r="A119" t="inlineStr">
        <is>
          <t>CI-26051902</t>
        </is>
      </c>
      <c r="B119" t="inlineStr">
        <is>
          <t>MSTS 240</t>
        </is>
      </c>
      <c r="C119" t="inlineStr">
        <is>
          <t>KIT</t>
        </is>
      </c>
      <c r="D119" s="21" t="n">
        <v>180</v>
      </c>
      <c r="E119" s="23" t="n">
        <v>163.8</v>
      </c>
    </row>
    <row r="120">
      <c r="A120" t="inlineStr">
        <is>
          <t>CI-26051902</t>
        </is>
      </c>
      <c r="B120" t="inlineStr">
        <is>
          <t>MSTS 240</t>
        </is>
      </c>
      <c r="C120" t="inlineStr">
        <is>
          <t>KIT</t>
        </is>
      </c>
      <c r="D120" s="21" t="n">
        <v>96</v>
      </c>
      <c r="E120" s="23" t="n">
        <v>87.36</v>
      </c>
    </row>
    <row r="121">
      <c r="A121" t="inlineStr">
        <is>
          <t>CI-26051902</t>
        </is>
      </c>
      <c r="B121" t="inlineStr">
        <is>
          <t>MSTS 50</t>
        </is>
      </c>
      <c r="C121" t="inlineStr">
        <is>
          <t>KIT</t>
        </is>
      </c>
      <c r="D121" s="21" t="n">
        <v>392</v>
      </c>
      <c r="E121" s="23" t="n">
        <v>124.11</v>
      </c>
    </row>
    <row r="122">
      <c r="A122" t="inlineStr">
        <is>
          <t>CI-26051902</t>
        </is>
      </c>
      <c r="B122" t="inlineStr">
        <is>
          <t>MSTS 50</t>
        </is>
      </c>
      <c r="C122" t="inlineStr">
        <is>
          <t>KIT</t>
        </is>
      </c>
      <c r="D122" s="21" t="n">
        <v>840</v>
      </c>
      <c r="E122" s="23" t="n">
        <v>265.95</v>
      </c>
    </row>
    <row r="123">
      <c r="A123" t="inlineStr">
        <is>
          <t>CI-26051902</t>
        </is>
      </c>
      <c r="B123" t="inlineStr">
        <is>
          <t>MSTS 50</t>
        </is>
      </c>
      <c r="C123" t="inlineStr">
        <is>
          <t>KIT</t>
        </is>
      </c>
      <c r="D123" s="21" t="n">
        <v>840</v>
      </c>
      <c r="E123" s="23" t="n">
        <v>265.95</v>
      </c>
    </row>
    <row r="124">
      <c r="A124" t="inlineStr">
        <is>
          <t>CI-26051902</t>
        </is>
      </c>
      <c r="B124" t="inlineStr">
        <is>
          <t>MSTS 50</t>
        </is>
      </c>
      <c r="C124" t="inlineStr">
        <is>
          <t>KIT</t>
        </is>
      </c>
      <c r="D124" s="21" t="n">
        <v>840</v>
      </c>
      <c r="E124" s="23" t="n">
        <v>265.95</v>
      </c>
    </row>
    <row r="125">
      <c r="A125" t="inlineStr">
        <is>
          <t>CI-26051902</t>
        </is>
      </c>
      <c r="B125" t="inlineStr">
        <is>
          <t>MSTS 50</t>
        </is>
      </c>
      <c r="C125" t="inlineStr">
        <is>
          <t>KIT</t>
        </is>
      </c>
      <c r="D125" s="21" t="n">
        <v>840</v>
      </c>
      <c r="E125" s="23" t="n">
        <v>265.95</v>
      </c>
    </row>
    <row r="126">
      <c r="A126" t="inlineStr">
        <is>
          <t>CI-26051902</t>
        </is>
      </c>
      <c r="B126" t="inlineStr">
        <is>
          <t>MSTS 50</t>
        </is>
      </c>
      <c r="C126" t="inlineStr">
        <is>
          <t>KIT</t>
        </is>
      </c>
      <c r="D126" s="21" t="n">
        <v>224</v>
      </c>
      <c r="E126" s="23" t="n">
        <v>70.92</v>
      </c>
    </row>
    <row r="127">
      <c r="A127" t="inlineStr">
        <is>
          <t>CI-26051902</t>
        </is>
      </c>
      <c r="B127" t="inlineStr">
        <is>
          <t>MSTS 50</t>
        </is>
      </c>
      <c r="C127" t="inlineStr">
        <is>
          <t>KIT</t>
        </is>
      </c>
      <c r="D127" s="21" t="n">
        <v>24</v>
      </c>
      <c r="E127" s="23" t="n">
        <v>7.7</v>
      </c>
    </row>
    <row r="128">
      <c r="A128" t="inlineStr">
        <is>
          <t>CI-26051902</t>
        </is>
      </c>
      <c r="B128" t="inlineStr">
        <is>
          <t>MSTS 300</t>
        </is>
      </c>
      <c r="C128" t="inlineStr">
        <is>
          <t>KIT</t>
        </is>
      </c>
      <c r="D128" s="21" t="n">
        <v>45</v>
      </c>
      <c r="E128" s="23" t="n">
        <v>44.49</v>
      </c>
    </row>
    <row r="129">
      <c r="A129" t="inlineStr">
        <is>
          <t>CI-26051902</t>
        </is>
      </c>
      <c r="B129" t="inlineStr">
        <is>
          <t>MSTS 300</t>
        </is>
      </c>
      <c r="C129" t="inlineStr">
        <is>
          <t>KIT</t>
        </is>
      </c>
      <c r="D129" s="21" t="n">
        <v>5</v>
      </c>
      <c r="E129" s="23" t="n">
        <v>4.58</v>
      </c>
    </row>
    <row r="130">
      <c r="A130" t="inlineStr">
        <is>
          <t>CI-26051902</t>
        </is>
      </c>
      <c r="B130" t="inlineStr">
        <is>
          <t>MSTS 240</t>
        </is>
      </c>
      <c r="C130" t="inlineStr">
        <is>
          <t>KIT</t>
        </is>
      </c>
      <c r="D130" s="21" t="n">
        <v>72</v>
      </c>
      <c r="E130" s="23" t="n">
        <v>65.52</v>
      </c>
    </row>
    <row r="131">
      <c r="A131" t="inlineStr">
        <is>
          <t>CI-26051902</t>
        </is>
      </c>
      <c r="B131" t="inlineStr">
        <is>
          <t>MSTS 240</t>
        </is>
      </c>
      <c r="C131" t="inlineStr">
        <is>
          <t>KIT</t>
        </is>
      </c>
      <c r="D131" s="21" t="n">
        <v>4</v>
      </c>
      <c r="E131" s="23" t="n">
        <v>2.8</v>
      </c>
    </row>
    <row r="132">
      <c r="A132" t="inlineStr">
        <is>
          <t>CI-26051902</t>
        </is>
      </c>
      <c r="B132" t="inlineStr">
        <is>
          <t>MSTS 240</t>
        </is>
      </c>
      <c r="C132" t="inlineStr">
        <is>
          <t>KIT</t>
        </is>
      </c>
      <c r="D132" s="21" t="n">
        <v>180</v>
      </c>
      <c r="E132" s="23" t="n">
        <v>163.8</v>
      </c>
    </row>
    <row r="133">
      <c r="A133" t="inlineStr">
        <is>
          <t>CI-26051902</t>
        </is>
      </c>
      <c r="B133" t="inlineStr">
        <is>
          <t>MSTS 240</t>
        </is>
      </c>
      <c r="C133" t="inlineStr">
        <is>
          <t>KIT</t>
        </is>
      </c>
      <c r="D133" s="21" t="n">
        <v>180</v>
      </c>
      <c r="E133" s="23" t="n">
        <v>163.8</v>
      </c>
    </row>
    <row r="134">
      <c r="A134" t="inlineStr">
        <is>
          <t>CI-26051902</t>
        </is>
      </c>
      <c r="B134" t="inlineStr">
        <is>
          <t>MSTS 240</t>
        </is>
      </c>
      <c r="C134" t="inlineStr">
        <is>
          <t>KIT</t>
        </is>
      </c>
      <c r="D134" s="21" t="n">
        <v>168</v>
      </c>
      <c r="E134" s="23" t="n">
        <v>152.88</v>
      </c>
    </row>
    <row r="135">
      <c r="A135" t="inlineStr">
        <is>
          <t>CI-26051902</t>
        </is>
      </c>
      <c r="B135" t="inlineStr">
        <is>
          <t>MSTS 300</t>
        </is>
      </c>
      <c r="C135" t="inlineStr">
        <is>
          <t>KIT</t>
        </is>
      </c>
      <c r="D135" s="21" t="n">
        <v>15</v>
      </c>
      <c r="E135" s="23" t="n">
        <v>14.91</v>
      </c>
    </row>
    <row r="136">
      <c r="A136" t="inlineStr">
        <is>
          <t>CI-26051902</t>
        </is>
      </c>
      <c r="B136" t="inlineStr">
        <is>
          <t>MSTS 150</t>
        </is>
      </c>
      <c r="C136" t="inlineStr">
        <is>
          <t>KIT</t>
        </is>
      </c>
      <c r="D136" s="21" t="n">
        <v>300</v>
      </c>
      <c r="E136" s="23" t="n">
        <v>180</v>
      </c>
    </row>
    <row r="137">
      <c r="A137" t="inlineStr">
        <is>
          <t>CI-26051902</t>
        </is>
      </c>
      <c r="B137" t="inlineStr">
        <is>
          <t>MSTS 150</t>
        </is>
      </c>
      <c r="C137" t="inlineStr">
        <is>
          <t>KIT</t>
        </is>
      </c>
      <c r="D137" s="21" t="n">
        <v>300</v>
      </c>
      <c r="E137" s="23" t="n">
        <v>180</v>
      </c>
    </row>
    <row r="138">
      <c r="A138" t="inlineStr">
        <is>
          <t>CI-26051902</t>
        </is>
      </c>
      <c r="B138" t="inlineStr">
        <is>
          <t>MSTS 150</t>
        </is>
      </c>
      <c r="C138" t="inlineStr">
        <is>
          <t>KIT</t>
        </is>
      </c>
      <c r="D138" s="21" t="n">
        <v>100</v>
      </c>
      <c r="E138" s="23" t="n">
        <v>60</v>
      </c>
    </row>
    <row r="139">
      <c r="A139" t="inlineStr">
        <is>
          <t>CI-26051902</t>
        </is>
      </c>
      <c r="B139" t="inlineStr">
        <is>
          <t>MSTS 16</t>
        </is>
      </c>
      <c r="C139" t="inlineStr">
        <is>
          <t>KIT</t>
        </is>
      </c>
      <c r="D139" s="21" t="n">
        <v>450</v>
      </c>
      <c r="E139" s="23" t="n">
        <v>90.34999999999999</v>
      </c>
    </row>
    <row r="140">
      <c r="A140" t="inlineStr">
        <is>
          <t>CI-26051902</t>
        </is>
      </c>
      <c r="B140" t="inlineStr">
        <is>
          <t>MSTS 95</t>
        </is>
      </c>
      <c r="C140" t="inlineStr">
        <is>
          <t>KIT</t>
        </is>
      </c>
      <c r="D140" s="21" t="n">
        <v>125</v>
      </c>
      <c r="E140" s="23" t="n">
        <v>62.25</v>
      </c>
    </row>
    <row r="141">
      <c r="A141" t="inlineStr">
        <is>
          <t>CI-26051902</t>
        </is>
      </c>
      <c r="B141" t="inlineStr">
        <is>
          <t>MSTS 95</t>
        </is>
      </c>
      <c r="C141" t="inlineStr">
        <is>
          <t>KIT</t>
        </is>
      </c>
      <c r="D141" s="21" t="n">
        <v>375</v>
      </c>
      <c r="E141" s="23" t="n">
        <v>186.75</v>
      </c>
    </row>
    <row r="142">
      <c r="A142" t="inlineStr">
        <is>
          <t>CI-26051902</t>
        </is>
      </c>
      <c r="B142" t="inlineStr">
        <is>
          <t>MSTS 95 GHWT 95/25 Black</t>
        </is>
      </c>
      <c r="C142" t="inlineStr">
        <is>
          <t>KIT</t>
        </is>
      </c>
      <c r="D142" s="21" t="n">
        <v>200</v>
      </c>
      <c r="E142" s="23" t="n">
        <v>99.59999999999999</v>
      </c>
    </row>
    <row r="143">
      <c r="A143" t="inlineStr">
        <is>
          <t>CI-26051902</t>
        </is>
      </c>
      <c r="B143" t="inlineStr">
        <is>
          <t>GHWT 95/25 Black Heavywall tube with</t>
        </is>
      </c>
      <c r="C143" t="inlineStr">
        <is>
          <t>HW</t>
        </is>
      </c>
      <c r="D143" s="21" t="n">
        <v>30</v>
      </c>
      <c r="E143" s="23" t="n">
        <v>13.9</v>
      </c>
    </row>
    <row r="144">
      <c r="A144" t="inlineStr">
        <is>
          <t>CI-26051902</t>
        </is>
      </c>
      <c r="B144" t="inlineStr">
        <is>
          <t>GHWT 130/36 Black Heavywall tube with</t>
        </is>
      </c>
      <c r="C144" t="inlineStr">
        <is>
          <t>HW</t>
        </is>
      </c>
      <c r="D144" s="21" t="n">
        <v>30</v>
      </c>
      <c r="E144" s="23" t="n">
        <v>20.44</v>
      </c>
    </row>
    <row r="145">
      <c r="A145" t="inlineStr">
        <is>
          <t>CI-26051902</t>
        </is>
      </c>
      <c r="B145" t="inlineStr">
        <is>
          <t>Heavywall tube with MSTS 300 GTW 12.7/6.4-1000 Blue</t>
        </is>
      </c>
      <c r="C145" t="inlineStr">
        <is>
          <t>KIT</t>
        </is>
      </c>
      <c r="D145" s="21" t="n">
        <v>30</v>
      </c>
      <c r="E145" s="23" t="n">
        <v>29.82</v>
      </c>
    </row>
    <row r="146">
      <c r="A146" t="inlineStr">
        <is>
          <t>CI-26051902</t>
        </is>
      </c>
      <c r="B146" t="inlineStr">
        <is>
          <t>GTW 12.7/6.4-1000 Blue Thinwall tube 2:1 12,7/6,4</t>
        </is>
      </c>
      <c r="C146" t="inlineStr">
        <is>
          <t>TW</t>
        </is>
      </c>
      <c r="D146" s="21" t="n">
        <v>1800</v>
      </c>
      <c r="E146" s="23" t="n">
        <v>26.58</v>
      </c>
    </row>
    <row r="147">
      <c r="A147" t="inlineStr">
        <is>
          <t>CI-26051902</t>
        </is>
      </c>
      <c r="B147" t="inlineStr">
        <is>
          <t>GTW 12.7/6.4-1000 Blue Thinwall tube 2:1 12,7/6,4</t>
        </is>
      </c>
      <c r="C147" t="inlineStr">
        <is>
          <t>TW</t>
        </is>
      </c>
      <c r="D147" s="21" t="n">
        <v>200</v>
      </c>
      <c r="E147" s="23" t="n">
        <v>2.89</v>
      </c>
    </row>
    <row r="148">
      <c r="A148" t="inlineStr">
        <is>
          <t>CI-26051902</t>
        </is>
      </c>
      <c r="B148" t="inlineStr">
        <is>
          <t>GTW 25.4/12.7-1000 Blue Thinwall tube 2:1</t>
        </is>
      </c>
      <c r="C148" t="inlineStr">
        <is>
          <t>TW</t>
        </is>
      </c>
      <c r="D148" s="21" t="n">
        <v>200</v>
      </c>
      <c r="E148" s="23" t="n">
        <v>9.539999999999999</v>
      </c>
    </row>
    <row r="149">
      <c r="A149" t="inlineStr">
        <is>
          <t>CI-26051902</t>
        </is>
      </c>
      <c r="B149" t="inlineStr">
        <is>
          <t>GTW 120.0/60- 1000 Black Thinwall tube 2:1</t>
        </is>
      </c>
      <c r="C149" t="inlineStr">
        <is>
          <t>TW</t>
        </is>
      </c>
      <c r="D149" s="21" t="n">
        <v>50</v>
      </c>
      <c r="E149" s="23" t="n">
        <v>14.91</v>
      </c>
    </row>
    <row r="150">
      <c r="A150" t="inlineStr">
        <is>
          <t>CI-26051902</t>
        </is>
      </c>
      <c r="B150" t="inlineStr">
        <is>
          <t>GTW 31.8/15.9-1000Red Thinwall tube 2:1</t>
        </is>
      </c>
      <c r="C150" t="inlineStr">
        <is>
          <t>TW</t>
        </is>
      </c>
      <c r="D150" s="21" t="n">
        <v>60</v>
      </c>
      <c r="E150" s="23" t="n">
        <v>3.69</v>
      </c>
    </row>
    <row r="151">
      <c r="A151" t="inlineStr">
        <is>
          <t>CI-26051902</t>
        </is>
      </c>
      <c r="B151" t="inlineStr">
        <is>
          <t>GTW 9.5/4.8-1000 Blue Thinwall tube 2:1 9,5/4,8</t>
        </is>
      </c>
      <c r="C151" t="inlineStr">
        <is>
          <t>TW</t>
        </is>
      </c>
      <c r="D151" s="21" t="n">
        <v>100</v>
      </c>
      <c r="E151" s="23" t="n">
        <v>1.06</v>
      </c>
    </row>
    <row r="152">
      <c r="A152" t="inlineStr">
        <is>
          <t>CI-26051902</t>
        </is>
      </c>
      <c r="B152" t="inlineStr">
        <is>
          <t>GTW 60/30-1000 Clear Thinwall tube 2:1 60/30</t>
        </is>
      </c>
      <c r="C152" t="inlineStr">
        <is>
          <t>TW</t>
        </is>
      </c>
      <c r="D152" s="21" t="n">
        <v>50</v>
      </c>
      <c r="E152" s="23" t="n">
        <v>6.05</v>
      </c>
    </row>
    <row r="153">
      <c r="A153" t="inlineStr">
        <is>
          <t>CI-26051902</t>
        </is>
      </c>
      <c r="B153" t="inlineStr">
        <is>
          <t>GTW 19.0/9.5-1000 Black Thinwall tube 2:1 19,0/9,5</t>
        </is>
      </c>
      <c r="C153" t="inlineStr">
        <is>
          <t>TW</t>
        </is>
      </c>
      <c r="D153" s="21" t="n">
        <v>7800</v>
      </c>
      <c r="E153" s="23" t="n">
        <v>268.06</v>
      </c>
    </row>
    <row r="154">
      <c r="A154" t="inlineStr">
        <is>
          <t>CI-26051902</t>
        </is>
      </c>
      <c r="B154" t="inlineStr">
        <is>
          <t>GTW 19.0/9.5-1000 Black Thinwall tube 2:1 19,0/9,5</t>
        </is>
      </c>
      <c r="C154" t="inlineStr">
        <is>
          <t>TW</t>
        </is>
      </c>
      <c r="D154" s="21" t="n">
        <v>200</v>
      </c>
      <c r="E154" s="23" t="n">
        <v>6.66</v>
      </c>
    </row>
    <row r="155">
      <c r="A155" t="inlineStr">
        <is>
          <t>CI-26051902</t>
        </is>
      </c>
      <c r="B155" t="inlineStr">
        <is>
          <t>GHWT 105/29 Black Heavywall tube with</t>
        </is>
      </c>
      <c r="C155" t="inlineStr">
        <is>
          <t>HW</t>
        </is>
      </c>
      <c r="D155" s="21" t="n">
        <v>40</v>
      </c>
      <c r="E155" s="23" t="n">
        <v>19.76</v>
      </c>
    </row>
    <row r="156">
      <c r="A156" t="inlineStr">
        <is>
          <t>CI-26051902</t>
        </is>
      </c>
      <c r="B156" t="inlineStr">
        <is>
          <t>GHWT 105/29 Black Heavywall tube with</t>
        </is>
      </c>
      <c r="C156" t="inlineStr">
        <is>
          <t>HW</t>
        </is>
      </c>
      <c r="D156" s="21" t="n">
        <v>10</v>
      </c>
      <c r="E156" s="23" t="n">
        <v>4.56</v>
      </c>
    </row>
    <row r="157">
      <c r="A157" t="inlineStr">
        <is>
          <t>CI-26051902</t>
        </is>
      </c>
      <c r="B157" t="inlineStr">
        <is>
          <t>GTW 38.1/19.1-1000 Blue Thinwall tube 2:1 38,1/19,1</t>
        </is>
      </c>
      <c r="C157" t="inlineStr">
        <is>
          <t>TW</t>
        </is>
      </c>
      <c r="D157" s="21" t="n">
        <v>1800</v>
      </c>
      <c r="E157" s="23" t="n">
        <v>156.51</v>
      </c>
    </row>
    <row r="158">
      <c r="A158" t="inlineStr">
        <is>
          <t>CI-26051902</t>
        </is>
      </c>
      <c r="B158" t="inlineStr">
        <is>
          <t>GTW 38.1/19.1-1000 Blue Thinwall tube 2:1 38,1/19,1</t>
        </is>
      </c>
      <c r="C158" t="inlineStr">
        <is>
          <t>TW</t>
        </is>
      </c>
      <c r="D158" s="21" t="n">
        <v>100</v>
      </c>
      <c r="E158" s="23" t="n">
        <v>8.69</v>
      </c>
    </row>
    <row r="159">
      <c r="A159" t="inlineStr">
        <is>
          <t>CI-26051902</t>
        </is>
      </c>
      <c r="B159" t="inlineStr">
        <is>
          <t>GTW 25.4/12.7-1000 Black Thinwall tube 2:1</t>
        </is>
      </c>
      <c r="C159" t="inlineStr">
        <is>
          <t>TW</t>
        </is>
      </c>
      <c r="D159" s="21" t="n">
        <v>3000</v>
      </c>
      <c r="E159" s="23" t="n">
        <v>156.84</v>
      </c>
    </row>
    <row r="160">
      <c r="A160" t="inlineStr">
        <is>
          <t>CI-26051902</t>
        </is>
      </c>
      <c r="B160" t="inlineStr">
        <is>
          <t>Thinwall tube 2:1 MSTS 300</t>
        </is>
      </c>
      <c r="C160" t="inlineStr">
        <is>
          <t>KIT</t>
        </is>
      </c>
      <c r="D160" s="21" t="n">
        <v>5</v>
      </c>
      <c r="E160" s="23" t="n">
        <v>5.02</v>
      </c>
    </row>
    <row r="161">
      <c r="B161" s="2" t="inlineStr">
        <is>
          <t>CELKEM / TOTAL</t>
        </is>
      </c>
      <c r="D161" s="24">
        <f>SUM(D2:D160)</f>
        <v>135205.0</v>
      </c>
      <c r="E161" s="25">
        <f>SUM(E2:E160)</f>
        <v>9643.0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9" customWidth="1" min="3" max="3"/>
    <col width="42" customWidth="1" min="4" max="4"/>
    <col width="46" customWidth="1" min="5" max="5"/>
    <col width="14" customWidth="1" min="6" max="6"/>
    <col width="12" customWidth="1" min="7" max="7"/>
    <col width="20" customWidth="1" min="8" max="8"/>
    <col width="16" customWidth="1" min="9" max="9"/>
    <col width="17" customWidth="1" min="10" max="10"/>
    <col width="20" customWidth="1" min="11" max="11"/>
  </cols>
  <sheetData>
    <row r="1">
      <c r="A1" s="26" t="inlineStr">
        <is>
          <t>Rozpad podle odesílatele, konsignace a produktové skupiny</t>
        </is>
      </c>
    </row>
    <row r="2" ht="26" customHeight="1">
      <c r="A2" s="27" t="inlineStr">
        <is>
          <t>Gross weight is not stated per item in the packing lists — only per pallet. It is therefore apportioned pro rata to net weight within each container, so that each container reconciles to its B/L gross weight.</t>
        </is>
      </c>
    </row>
    <row r="4" ht="28" customHeight="1">
      <c r="A4" s="5" t="inlineStr">
        <is>
          <t>Kontejner / Container</t>
        </is>
      </c>
      <c r="B4" s="5" t="inlineStr">
        <is>
          <t>Konsignace</t>
        </is>
      </c>
      <c r="C4" s="5" t="inlineStr">
        <is>
          <t>Hrubá hm. celkem (kg)</t>
        </is>
      </c>
      <c r="D4" s="5" t="inlineStr">
        <is>
          <t>Čistá hm. celkem (kg)</t>
        </is>
      </c>
    </row>
    <row r="5">
      <c r="A5" s="28" t="inlineStr">
        <is>
          <t>TGBU9796804 / CNDT11393</t>
        </is>
      </c>
      <c r="B5" s="28" t="inlineStr">
        <is>
          <t>CI-26051504</t>
        </is>
      </c>
      <c r="C5" s="18" t="n">
        <v>6450</v>
      </c>
      <c r="D5" s="18" t="n">
        <v>5571</v>
      </c>
    </row>
    <row r="6">
      <c r="A6" s="28" t="inlineStr">
        <is>
          <t>TLLU5520254 / CNDT35452</t>
        </is>
      </c>
      <c r="B6" s="28" t="inlineStr">
        <is>
          <t>CI-26051902</t>
        </is>
      </c>
      <c r="C6" s="18" t="n">
        <v>4980</v>
      </c>
      <c r="D6" s="18" t="n">
        <v>4072</v>
      </c>
    </row>
    <row r="7">
      <c r="A7" s="20" t="inlineStr">
        <is>
          <t>Zdroj / Source: B/L F202615259 (hrubá hm.), balicí listy PL-504 a PL-902 (čistá hm.)</t>
        </is>
      </c>
    </row>
    <row r="9" ht="32" customHeight="1">
      <c r="A9" s="5" t="inlineStr">
        <is>
          <t>Odesílatel / Sender</t>
        </is>
      </c>
      <c r="B9" s="5" t="inlineStr">
        <is>
          <t>Konsignace</t>
        </is>
      </c>
      <c r="C9" s="5" t="inlineStr">
        <is>
          <t>Skupina</t>
        </is>
      </c>
      <c r="D9" s="5" t="inlineStr">
        <is>
          <t>Popis zboží (CZ)</t>
        </is>
      </c>
      <c r="E9" s="5" t="inlineStr">
        <is>
          <t>Description (EN)</t>
        </is>
      </c>
      <c r="F9" s="5" t="inlineStr">
        <is>
          <t>HS kód (CN)</t>
        </is>
      </c>
      <c r="G9" s="5" t="inlineStr">
        <is>
          <t>Množství / Qty</t>
        </is>
      </c>
      <c r="H9" s="5" t="inlineStr">
        <is>
          <t>MJ / Unit</t>
        </is>
      </c>
      <c r="I9" s="5" t="inlineStr">
        <is>
          <t>Čistá hm. / Net (kg)</t>
        </is>
      </c>
      <c r="J9" s="5" t="inlineStr">
        <is>
          <t>Hrubá hm. / Gross (kg)</t>
        </is>
      </c>
      <c r="K9" s="5" t="inlineStr">
        <is>
          <t>Celní hodnota / Value (USD)</t>
        </is>
      </c>
    </row>
    <row r="10">
      <c r="A10" s="29" t="inlineStr">
        <is>
          <t>Guangdong Grandview Technology Co., Ltd, Dongguan, Guangdong, China</t>
        </is>
      </c>
      <c r="B10" s="29" t="inlineStr">
        <is>
          <t>CI-26051504</t>
        </is>
      </c>
      <c r="C10" s="29" t="inlineStr">
        <is>
          <t>HW</t>
        </is>
      </c>
      <c r="D10" s="29" t="inlineStr">
        <is>
          <t>Silnostěnná smršťovací trubice s lepidlem</t>
        </is>
      </c>
      <c r="E10" s="29" t="inlineStr">
        <is>
          <t>Heavywall heat-shrink tubing with adhesive (GHWT)</t>
        </is>
      </c>
      <c r="F10" s="29" t="inlineStr">
        <is>
          <t>8547 20 00</t>
        </is>
      </c>
      <c r="G10" s="30">
        <f>SUMIFS('Polozky-faktury'!$G$2:$G$99,'Polozky-faktury'!$A$2:$A$99,$B10,'Polozky-faktury'!$D$2:$D$99,$C10)</f>
        <v>5150.0</v>
      </c>
      <c r="H10" s="29" t="inlineStr">
        <is>
          <t>5,150 pcs</t>
        </is>
      </c>
      <c r="I10" s="31">
        <f>SUMIFS('Polozky-balici-list'!$E$2:$E$160,'Polozky-balici-list'!$A$2:$A$160,$B10,'Polozky-balici-list'!$C$2:$C$160,$C10)</f>
        <v>704.71</v>
      </c>
      <c r="J10" s="31">
        <f>ROUND(I10*$C$5/$D$5,2)</f>
        <v>815.9</v>
      </c>
      <c r="K10" s="31">
        <f>SUMIFS('Polozky-faktury'!$J$2:$J$99,'Polozky-faktury'!$A$2:$A$99,$B10,'Polozky-faktury'!$D$2:$D$99,$C10)</f>
        <v>4811.38</v>
      </c>
    </row>
    <row r="11">
      <c r="A11" s="29" t="inlineStr">
        <is>
          <t>Guangdong Grandview Technology Co., Ltd, Dongguan, Guangdong, China</t>
        </is>
      </c>
      <c r="B11" s="29" t="inlineStr">
        <is>
          <t>CI-26051504</t>
        </is>
      </c>
      <c r="C11" s="29" t="inlineStr">
        <is>
          <t>KIT</t>
        </is>
      </c>
      <c r="D11" s="29" t="inlineStr">
        <is>
          <t>Sady smršťovacích trubic MSTS (kabelové spojky/koncovky)</t>
        </is>
      </c>
      <c r="E11" s="29" t="inlineStr">
        <is>
          <t>MSTS cable jointing/termination kits (sets of heat-shrink tubes)</t>
        </is>
      </c>
      <c r="F11" s="29" t="inlineStr">
        <is>
          <t>8547 20 00</t>
        </is>
      </c>
      <c r="G11" s="30">
        <f>SUMIFS('Polozky-faktury'!$G$2:$G$99,'Polozky-faktury'!$A$2:$A$99,$B11,'Polozky-faktury'!$D$2:$D$99,$C11)</f>
        <v>2340.0</v>
      </c>
      <c r="H11" s="29" t="inlineStr">
        <is>
          <t>2,340 kit</t>
        </is>
      </c>
      <c r="I11" s="31">
        <f>SUMIFS('Polozky-balici-list'!$E$2:$E$160,'Polozky-balici-list'!$A$2:$A$160,$B11,'Polozky-balici-list'!$C$2:$C$160,$C11)</f>
        <v>1136.96</v>
      </c>
      <c r="J11" s="31">
        <f>ROUND(I11*$C$5/$D$5,2)</f>
        <v>1316.35</v>
      </c>
      <c r="K11" s="31">
        <f>SUMIFS('Polozky-faktury'!$J$2:$J$99,'Polozky-faktury'!$A$2:$A$99,$B11,'Polozky-faktury'!$D$2:$D$99,$C11)</f>
        <v>6347.52</v>
      </c>
    </row>
    <row r="12">
      <c r="A12" s="29" t="inlineStr">
        <is>
          <t>Guangdong Grandview Technology Co., Ltd, Dongguan, Guangdong, China</t>
        </is>
      </c>
      <c r="B12" s="29" t="inlineStr">
        <is>
          <t>CI-26051504</t>
        </is>
      </c>
      <c r="C12" s="29" t="inlineStr">
        <is>
          <t>MW-A</t>
        </is>
      </c>
      <c r="D12" s="29" t="inlineStr">
        <is>
          <t>Středněstěnná smršťovací trubice s lepidlem</t>
        </is>
      </c>
      <c r="E12" s="29" t="inlineStr">
        <is>
          <t>Mediumwall heat-shrink tubing with adhesive (GMWT)</t>
        </is>
      </c>
      <c r="F12" s="29" t="inlineStr">
        <is>
          <t>8547 20 00</t>
        </is>
      </c>
      <c r="G12" s="30">
        <f>SUMIFS('Polozky-faktury'!$G$2:$G$99,'Polozky-faktury'!$A$2:$A$99,$B12,'Polozky-faktury'!$D$2:$D$99,$C12)</f>
        <v>23195.0</v>
      </c>
      <c r="H12" s="29" t="inlineStr">
        <is>
          <t>23,195 pcs</t>
        </is>
      </c>
      <c r="I12" s="31">
        <f>SUMIFS('Polozky-balici-list'!$E$2:$E$160,'Polozky-balici-list'!$A$2:$A$160,$B12,'Polozky-balici-list'!$C$2:$C$160,$C12)</f>
        <v>2182.49</v>
      </c>
      <c r="J12" s="31">
        <f>ROUND(I12*$C$5/$D$5,2)</f>
        <v>2526.85</v>
      </c>
      <c r="K12" s="31">
        <f>SUMIFS('Polozky-faktury'!$J$2:$J$99,'Polozky-faktury'!$A$2:$A$99,$B12,'Polozky-faktury'!$D$2:$D$99,$C12)</f>
        <v>16997.44</v>
      </c>
    </row>
    <row r="13">
      <c r="A13" s="29" t="inlineStr">
        <is>
          <t>Guangdong Grandview Technology Co., Ltd, Dongguan, Guangdong, China</t>
        </is>
      </c>
      <c r="B13" s="29" t="inlineStr">
        <is>
          <t>CI-26051504</t>
        </is>
      </c>
      <c r="C13" s="29" t="inlineStr">
        <is>
          <t>MW-U</t>
        </is>
      </c>
      <c r="D13" s="29" t="inlineStr">
        <is>
          <t>Středněstěnná smršťovací trubice bez lepidla</t>
        </is>
      </c>
      <c r="E13" s="29" t="inlineStr">
        <is>
          <t>Mediumwall heat-shrink tubing without adhesive (GMWT/U)</t>
        </is>
      </c>
      <c r="F13" s="29" t="inlineStr">
        <is>
          <t>8547 20 00</t>
        </is>
      </c>
      <c r="G13" s="30">
        <f>SUMIFS('Polozky-faktury'!$G$2:$G$99,'Polozky-faktury'!$A$2:$A$99,$B13,'Polozky-faktury'!$D$2:$D$99,$C13)</f>
        <v>480.0</v>
      </c>
      <c r="H13" s="29" t="inlineStr">
        <is>
          <t>480 pcs</t>
        </is>
      </c>
      <c r="I13" s="31">
        <f>SUMIFS('Polozky-balici-list'!$E$2:$E$160,'Polozky-balici-list'!$A$2:$A$160,$B13,'Polozky-balici-list'!$C$2:$C$160,$C13)</f>
        <v>32.72</v>
      </c>
      <c r="J13" s="31">
        <f>ROUND(I13*$C$5/$D$5,2)</f>
        <v>37.88</v>
      </c>
      <c r="K13" s="31">
        <f>SUMIFS('Polozky-faktury'!$J$2:$J$99,'Polozky-faktury'!$A$2:$A$99,$B13,'Polozky-faktury'!$D$2:$D$99,$C13)</f>
        <v>291.84</v>
      </c>
    </row>
    <row r="14">
      <c r="A14" s="32" t="inlineStr">
        <is>
          <t>Guangdong Grandview Technology Co., Ltd, Dongguan, Guangdong, China</t>
        </is>
      </c>
      <c r="B14" s="32" t="inlineStr">
        <is>
          <t>CI-26051504</t>
        </is>
      </c>
      <c r="C14" s="32" t="inlineStr">
        <is>
          <t>OTH</t>
        </is>
      </c>
      <c r="D14" s="32" t="inlineStr">
        <is>
          <t>Tiskové/značkovací kolečko - nespecifikováno</t>
        </is>
      </c>
      <c r="E14" s="32" t="inlineStr">
        <is>
          <t>Type wheel (printing/marking wheel) - not identified</t>
        </is>
      </c>
      <c r="F14" s="32" t="inlineStr">
        <is>
          <t>k určení / TBC</t>
        </is>
      </c>
      <c r="G14" s="33">
        <f>SUMIFS('Polozky-faktury'!$G$2:$G$99,'Polozky-faktury'!$A$2:$A$99,$B14,'Polozky-faktury'!$D$2:$D$99,$C14)</f>
        <v>3.0</v>
      </c>
      <c r="H14" s="32" t="inlineStr">
        <is>
          <t>3 -</t>
        </is>
      </c>
      <c r="I14" s="34">
        <f>SUMIFS('Polozky-balici-list'!$E$2:$E$160,'Polozky-balici-list'!$A$2:$A$160,$B14,'Polozky-balici-list'!$C$2:$C$160,$C14)</f>
        <v>0.0</v>
      </c>
      <c r="J14" s="34">
        <f>ROUND(I14*$C$5/$D$5,2)</f>
        <v>0.0</v>
      </c>
      <c r="K14" s="34">
        <f>SUMIFS('Polozky-faktury'!$J$2:$J$99,'Polozky-faktury'!$A$2:$A$99,$B14,'Polozky-faktury'!$D$2:$D$99,$C14)</f>
        <v>120.0</v>
      </c>
    </row>
    <row r="15">
      <c r="A15" s="29" t="inlineStr">
        <is>
          <t>Guangdong Grandview Technology Co., Ltd, Dongguan, Guangdong, China</t>
        </is>
      </c>
      <c r="B15" s="29" t="inlineStr">
        <is>
          <t>CI-26051504</t>
        </is>
      </c>
      <c r="C15" s="29" t="inlineStr">
        <is>
          <t>TW</t>
        </is>
      </c>
      <c r="D15" s="29" t="inlineStr">
        <is>
          <t>Tenkostěnná smršťovací bužírka 2:1, bez lepidla</t>
        </is>
      </c>
      <c r="E15" s="29" t="inlineStr">
        <is>
          <t>Thinwall heat-shrink tubing 2:1, no adhesive (GTW / GTF)</t>
        </is>
      </c>
      <c r="F15" s="29" t="inlineStr">
        <is>
          <t>8547 20 00</t>
        </is>
      </c>
      <c r="G15" s="30">
        <f>SUMIFS('Polozky-faktury'!$G$2:$G$99,'Polozky-faktury'!$A$2:$A$99,$B15,'Polozky-faktury'!$D$2:$D$99,$C15)</f>
        <v>81380.0</v>
      </c>
      <c r="H15" s="29" t="inlineStr">
        <is>
          <t>4,250 m + 77,130 pcs</t>
        </is>
      </c>
      <c r="I15" s="31">
        <f>SUMIFS('Polozky-balici-list'!$E$2:$E$160,'Polozky-balici-list'!$A$2:$A$160,$B15,'Polozky-balici-list'!$C$2:$C$160,$C15)</f>
        <v>1514.12</v>
      </c>
      <c r="J15" s="31">
        <f>ROUND(I15*$C$5/$D$5,2)</f>
        <v>1753.02</v>
      </c>
      <c r="K15" s="31">
        <f>SUMIFS('Polozky-faktury'!$J$2:$J$99,'Polozky-faktury'!$A$2:$A$99,$B15,'Polozky-faktury'!$D$2:$D$99,$C15)</f>
        <v>14385.43</v>
      </c>
    </row>
    <row r="16">
      <c r="A16" s="29" t="inlineStr">
        <is>
          <t>Guangdong Grandview Technology Co., Ltd, Dongguan, Guangdong, China</t>
        </is>
      </c>
      <c r="B16" s="29" t="inlineStr">
        <is>
          <t>CI-26051902</t>
        </is>
      </c>
      <c r="C16" s="29" t="inlineStr">
        <is>
          <t>HW</t>
        </is>
      </c>
      <c r="D16" s="29" t="inlineStr">
        <is>
          <t>Silnostěnná smršťovací trubice s lepidlem</t>
        </is>
      </c>
      <c r="E16" s="29" t="inlineStr">
        <is>
          <t>Heavywall heat-shrink tubing with adhesive (GHWT)</t>
        </is>
      </c>
      <c r="F16" s="29" t="inlineStr">
        <is>
          <t>8547 20 00</t>
        </is>
      </c>
      <c r="G16" s="30">
        <f>SUMIFS('Polozky-faktury'!$G$2:$G$99,'Polozky-faktury'!$A$2:$A$99,$B16,'Polozky-faktury'!$D$2:$D$99,$C16)</f>
        <v>110.0</v>
      </c>
      <c r="H16" s="29" t="inlineStr">
        <is>
          <t>110 pcs</t>
        </is>
      </c>
      <c r="I16" s="31">
        <f>SUMIFS('Polozky-balici-list'!$E$2:$E$160,'Polozky-balici-list'!$A$2:$A$160,$B16,'Polozky-balici-list'!$C$2:$C$160,$C16)</f>
        <v>58.66</v>
      </c>
      <c r="J16" s="31">
        <f>ROUND(I16*$C$6/$D$6,2)</f>
        <v>71.74</v>
      </c>
      <c r="K16" s="31">
        <f>SUMIFS('Polozky-faktury'!$J$2:$J$99,'Polozky-faktury'!$A$2:$A$99,$B16,'Polozky-faktury'!$D$2:$D$99,$C16)</f>
        <v>376.69</v>
      </c>
    </row>
    <row r="17">
      <c r="A17" s="29" t="inlineStr">
        <is>
          <t>Guangdong Grandview Technology Co., Ltd, Dongguan, Guangdong, China</t>
        </is>
      </c>
      <c r="B17" s="29" t="inlineStr">
        <is>
          <t>CI-26051902</t>
        </is>
      </c>
      <c r="C17" s="29" t="inlineStr">
        <is>
          <t>KIT</t>
        </is>
      </c>
      <c r="D17" s="29" t="inlineStr">
        <is>
          <t>Sady smršťovacích trubic MSTS (kabelové spojky/koncovky)</t>
        </is>
      </c>
      <c r="E17" s="29" t="inlineStr">
        <is>
          <t>MSTS cable jointing/termination kits (sets of heat-shrink tubes)</t>
        </is>
      </c>
      <c r="F17" s="29" t="inlineStr">
        <is>
          <t>8547 20 00</t>
        </is>
      </c>
      <c r="G17" s="30">
        <f>SUMIFS('Polozky-faktury'!$G$2:$G$99,'Polozky-faktury'!$A$2:$A$99,$B17,'Polozky-faktury'!$D$2:$D$99,$C17)</f>
        <v>7190.0</v>
      </c>
      <c r="H17" s="29" t="inlineStr">
        <is>
          <t>7,190 kit</t>
        </is>
      </c>
      <c r="I17" s="31">
        <f>SUMIFS('Polozky-balici-list'!$E$2:$E$160,'Polozky-balici-list'!$A$2:$A$160,$B17,'Polozky-balici-list'!$C$2:$C$160,$C17)</f>
        <v>3351.86</v>
      </c>
      <c r="J17" s="31">
        <f>ROUND(I17*$C$6/$D$6,2)</f>
        <v>4099.28</v>
      </c>
      <c r="K17" s="31">
        <f>SUMIFS('Polozky-faktury'!$J$2:$J$99,'Polozky-faktury'!$A$2:$A$99,$B17,'Polozky-faktury'!$D$2:$D$99,$C17)</f>
        <v>17612.08</v>
      </c>
    </row>
    <row r="18">
      <c r="A18" s="29" t="inlineStr">
        <is>
          <t>Guangdong Grandview Technology Co., Ltd, Dongguan, Guangdong, China</t>
        </is>
      </c>
      <c r="B18" s="29" t="inlineStr">
        <is>
          <t>CI-26051902</t>
        </is>
      </c>
      <c r="C18" s="29" t="inlineStr">
        <is>
          <t>TW</t>
        </is>
      </c>
      <c r="D18" s="29" t="inlineStr">
        <is>
          <t>Tenkostěnná smršťovací bužírka 2:1, bez lepidla</t>
        </is>
      </c>
      <c r="E18" s="29" t="inlineStr">
        <is>
          <t>Thinwall heat-shrink tubing 2:1, no adhesive (GTW / GTF)</t>
        </is>
      </c>
      <c r="F18" s="29" t="inlineStr">
        <is>
          <t>8547 20 00</t>
        </is>
      </c>
      <c r="G18" s="30">
        <f>SUMIFS('Polozky-faktury'!$G$2:$G$99,'Polozky-faktury'!$A$2:$A$99,$B18,'Polozky-faktury'!$D$2:$D$99,$C18)</f>
        <v>15360.0</v>
      </c>
      <c r="H18" s="29" t="inlineStr">
        <is>
          <t>15,360 pcs</t>
        </is>
      </c>
      <c r="I18" s="31">
        <f>SUMIFS('Polozky-balici-list'!$E$2:$E$160,'Polozky-balici-list'!$A$2:$A$160,$B18,'Polozky-balici-list'!$C$2:$C$160,$C18)</f>
        <v>661.48</v>
      </c>
      <c r="J18" s="31">
        <f>ROUND(I18*$C$6/$D$6,2)</f>
        <v>808.98</v>
      </c>
      <c r="K18" s="31">
        <f>SUMIFS('Polozky-faktury'!$J$2:$J$99,'Polozky-faktury'!$A$2:$A$99,$B18,'Polozky-faktury'!$D$2:$D$99,$C18)</f>
        <v>6120.94</v>
      </c>
    </row>
    <row r="19">
      <c r="A19" s="12" t="n"/>
      <c r="B19" s="12" t="n"/>
      <c r="C19" s="12" t="n"/>
      <c r="D19" s="12" t="n"/>
      <c r="E19" s="12" t="inlineStr">
        <is>
          <t>CELKEM / TOTAL</t>
        </is>
      </c>
      <c r="F19" s="12" t="n"/>
      <c r="G19" s="14">
        <f>SUM(G10:G18)</f>
        <v>135208.0</v>
      </c>
      <c r="H19" s="12" t="n"/>
      <c r="I19" s="13">
        <f>SUM(I10:I18)</f>
        <v>9643.0</v>
      </c>
      <c r="J19" s="13">
        <f>SUM(J10:J18)</f>
        <v>11430.0</v>
      </c>
      <c r="K19" s="13">
        <f>SUM(K10:K18)</f>
        <v>67063.32</v>
      </c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08" customWidth="1" min="3" max="3"/>
  </cols>
  <sheetData>
    <row r="1">
      <c r="A1" s="35" t="inlineStr">
        <is>
          <t>POZNÁMKY A UPOZORNĚNÍ / NOTES &amp; FLAGS</t>
        </is>
      </c>
    </row>
    <row r="3" ht="22" customHeight="1">
      <c r="A3" s="5" t="inlineStr">
        <is>
          <t>Bod / Item</t>
        </is>
      </c>
      <c r="B3" s="5" t="inlineStr">
        <is>
          <t>Status</t>
        </is>
      </c>
      <c r="C3" s="5" t="inlineStr">
        <is>
          <t>Popis / Detail</t>
        </is>
      </c>
    </row>
    <row r="4" ht="65" customHeight="1">
      <c r="A4" s="36" t="inlineStr">
        <is>
          <t>1. PREFERENČNÍ VĚTA — NENALEZENA</t>
        </is>
      </c>
      <c r="B4" s="37" t="inlineStr">
        <is>
          <t>KRITICKÉ</t>
        </is>
      </c>
      <c r="C4" s="38" t="inlineStr">
        <is>
          <t>Ani na jedné faktuře (CI-26051504, CI-26051902) ani v balicích listech NENÍ preferenční věta / prohlášení o preferenčním původu. Obě faktury uvádějí pouze "Country of Origin: CHINA". Pozn.: EU nemá s Čínou dohodu o volném obchodu, takže preferenční sazba pro čínský původ NEEXISTUJE — preferenční věta by zde stejně nepomohla. Uplatní se plná třetizemní (erga omnes) celní sazba. Sazbu ověřte v TARIC k datu propuštění.</t>
        </is>
      </c>
    </row>
    <row r="5" ht="65" customHeight="1">
      <c r="A5" s="39" t="inlineStr">
        <is>
          <t>2. INCOTERM — chybí místo</t>
        </is>
      </c>
      <c r="B5" s="40" t="inlineStr">
        <is>
          <t>DOPLNIT</t>
        </is>
      </c>
      <c r="C5" s="41" t="inlineStr">
        <is>
          <t>Faktury i balicí listy uvádějí pouze "Inco Terms: EXW", BEZ jmenovaného místa. Podle pravidel má být uvedeno i město. Pravděpodobně EXW Dongguan (sídlo/závod odesílatele, Guangdong, Čína), ale v dokladech to uvedeno NENÍ — nechal jsem to nedoplněné, prosím potvrď skutečné místo. Pozor i na dopad na celní hodnotu: při EXW se k ceně zboží přičítají náklady na dopravu do hranic EU; B/L je FREIGHT COLLECT, takže dopravné není ve fakturované částce.</t>
        </is>
      </c>
    </row>
    <row r="6" ht="46" customHeight="1">
      <c r="A6" s="39" t="inlineStr">
        <is>
          <t>3. HS KÓDY NA FAKTURÁCH — prázdné</t>
        </is>
      </c>
      <c r="B6" s="40" t="inlineStr">
        <is>
          <t>ZJIŠTĚNO</t>
        </is>
      </c>
      <c r="C6" s="41" t="inlineStr">
        <is>
          <t>Obě faktury mají sloupec "HS CODE", ale je ve VŠECH řádcích prázdný — dodavatel jej nevyplnil. Klasifikaci jsem proto provedl sám (viz bod 4). Doporučuji vyžádat od dodavatele doplnění.</t>
        </is>
      </c>
    </row>
    <row r="7" ht="104" customHeight="1">
      <c r="A7" s="39" t="inlineStr">
        <is>
          <t>4. NAVRŽENÁ KLASIFIKACE — 8547 20 00</t>
        </is>
      </c>
      <c r="B7" s="40" t="inlineStr">
        <is>
          <t>K ODSOUHLASENÍ</t>
        </is>
      </c>
      <c r="C7" s="41" t="inlineStr">
        <is>
          <t>Navrhuji 8547 20 00 (izolační části a součásti z plastů pro elektrická zařízení) pro veškeré smršťovací trubice, bužírky i sady MSTS. Odůvodnění: pozn. 8 ke kap. 39 omezuje číslo 3917 na trubky "používané k dopravě, vedení nebo rozvodu plynů či kapalin" — smršťovací izolační bužírka tuto podmínku nesplňuje, takže 3917 je právně vyloučeno. Pozn. 2 ke kap. 39 navíc vylučuje výrobky třídy XVI. Sady MSTS: dle VIP 3 b) podle materiálu určujícího podstatný charakter = rovněž trubice. ALTERNATIVA: pokud by celní úřad považoval zboží za běžný materiál v metráži, nikoli za "izolační části", připadá v úvahu 3926 90 97. Vzhledem k hodnotě a opakovanosti dodávek DOPORUČUJI požádat o ZIS/BTI.</t>
        </is>
      </c>
    </row>
    <row r="8" ht="52" customHeight="1">
      <c r="A8" s="42" t="inlineStr">
        <is>
          <t>5. B/L UVÁDÍ JINÝ KÓD — 8547 90 00</t>
        </is>
      </c>
      <c r="B8" s="43" t="inlineStr">
        <is>
          <t>NESOULAD</t>
        </is>
      </c>
      <c r="C8" s="9" t="inlineStr">
        <is>
          <t>Konosament F202615259 deklaruje "HS CODE: 85479000" pro celou zásilku. To je nesprávná podpoložka: 8547 90 00 je zbytková položka pokrývající zejména elektrickou instalační trubku z obecného kovu vyloženou izolačním materiálem. Pro výrobky zcela z plastu je správně 8547 20 00. Číslo (8547) tedy odesílatel zvolil správně, podpoložku nikoli.</t>
        </is>
      </c>
    </row>
    <row r="9" ht="65" customHeight="1">
      <c r="A9" s="42" t="inlineStr">
        <is>
          <t>6. TYPE WHEEL — 3 ks bez balicího listu</t>
        </is>
      </c>
      <c r="B9" s="43" t="inlineStr">
        <is>
          <t>NESOULAD</t>
        </is>
      </c>
      <c r="C9" s="9" t="inlineStr">
        <is>
          <t>Faktura CI-26051504, řádek 78: "type wheel", 3 ks, 40,00 USD/ks = 120,00 USD. Tato položka NENÍ v balicím listu PL-504: fakturované množství 112 548 ks vs. balicí list 112 545 ks — rozdíl přesně 3 ks. Nemá tedy uvedenou žádnou hmotnost a není jasné, zda je fyzicky v kontejneru. Nelze ani spolehlivě zařadit — podle povahy buď 8442 50 00 (tiskařské typy/štočky), nebo 8443 99 (části tiskáren). Prosím o upřesnění, co to je, a zda je zboží v zásilce.</t>
        </is>
      </c>
    </row>
    <row r="10" ht="46" customHeight="1">
      <c r="A10" s="44" t="inlineStr">
        <is>
          <t>7. CBAM — nepodléhá</t>
        </is>
      </c>
      <c r="B10" s="45" t="inlineStr">
        <is>
          <t>OK</t>
        </is>
      </c>
      <c r="C10" s="46" t="inlineStr">
        <is>
          <t>Zásilka nepodléhá CBAM. CBAM (nařízení (EU) 2023/956, příloha I) pokrývá cement, elektřinu, hnojiva, železo a ocel, hliník a vodík. Plasty (kap. 39) ani zboží kap. 85 do rozsahu nespadají. Rozšíření na polymery se očekává až s pozdějším rozšířením rozsahu.</t>
        </is>
      </c>
    </row>
    <row r="11" ht="46" customHeight="1">
      <c r="A11" s="44" t="inlineStr">
        <is>
          <t>8. ANTIDUMPING — nezjištěno</t>
        </is>
      </c>
      <c r="B11" s="45" t="inlineStr">
        <is>
          <t>OK</t>
        </is>
      </c>
      <c r="C11" s="46" t="inlineStr">
        <is>
          <t>Pro smršťovací bužírky / izolační části z plastů čínského původu (8547 20 00, ani alternativní 3926 90 97 či 3917) nebylo zjištěno žádné platné antidumpingové ani vyrovnávací opatření EU. Doporučuji standardní ověření v TARIC k datu celního prohlášení.</t>
        </is>
      </c>
    </row>
    <row r="12" ht="46" customHeight="1">
      <c r="A12" s="47" t="inlineStr">
        <is>
          <t>9. HRUBÁ HMOTNOST — rozpočítána</t>
        </is>
      </c>
      <c r="B12" s="48" t="inlineStr">
        <is>
          <t>METODIKA</t>
        </is>
      </c>
      <c r="C12" s="49" t="inlineStr">
        <is>
          <t>Balicí listy uvádějí hrubou hmotnost pouze po paletách, nikoli po položkách. Hrubá hmotnost je proto rozpočítána poměrem k čisté hmotnosti v rámci každého kontejneru (TGBU9796804: 6 450,00 / 5 571,00 kg; TLLU5520254: 4 980,00 / 4 072,00 kg). Součet odpovídá B/L: 11 430,00 kg.</t>
        </is>
      </c>
    </row>
    <row r="13" ht="52" customHeight="1">
      <c r="A13" s="44" t="inlineStr">
        <is>
          <t>10. KONTROLNÍ SOUČTY — sedí</t>
        </is>
      </c>
      <c r="B13" s="45" t="inlineStr">
        <is>
          <t>OK</t>
        </is>
      </c>
      <c r="C13" s="46" t="inlineStr">
        <is>
          <t>Celní hodnota 67 063,32 USD = CI-26051504 (42 953,61) + CI-26051902 (24 109,71), na cent. Čistá hmotnost 9 643,00 kg = PL-504 (5 571,00) + PL-902 (4 072,00). Hrubá hmotnost 11 430,00 kg = B/L F202615259. Množství podle faktur a balicích listů souhlasí u všech skupin kromě položky "type wheel" (bod 6).</t>
        </is>
      </c>
    </row>
    <row r="14" ht="46" customHeight="1">
      <c r="A14" s="47" t="inlineStr">
        <is>
          <t>11. POPISY V ČEŠTINĚ</t>
        </is>
      </c>
      <c r="B14" s="48" t="inlineStr">
        <is>
          <t>INFO</t>
        </is>
      </c>
      <c r="C14" s="49" t="inlineStr">
        <is>
          <t>Zdrojové doklady jsou pouze v angličtině — český popis se v nich nevyskytuje. České popisy ve sloupci "Popis zboží (CZ)" jsem proto doplnil podle znění kombinované nomenklatury a povahy zboží; anglický originál je ponechán ve vedlejším sloupci pro kontrolu.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2026-08-04T11:10:43Z</dcterms:created>
  <dcterms:modified xmlns:dcterms="http://purl.org/dc/terms/" xmlns:xsi="http://www.w3.org/2001/XMLSchema-instance" xsi:type="dcterms:W3CDTF">2026-08-04T11:10:43Z</dcterms:modified>
</cp:coreProperties>
</file>