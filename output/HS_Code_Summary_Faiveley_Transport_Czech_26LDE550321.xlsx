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S Summary" sheetId="1" state="visible" r:id="rId3"/>
    <sheet name="Dokumenty a poznámk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<sst xmlns="http://schemas.openxmlformats.org/spreadsheetml/2006/main" count="124" uniqueCount="103">
  <si>
    <t xml:space="preserve">HS kód</t>
  </si>
  <si>
    <t xml:space="preserve">Popis zboží (CZ)</t>
  </si>
  <si>
    <t xml:space="preserve">Odesílatel</t>
  </si>
  <si>
    <t xml:space="preserve">Země původu (COO)</t>
  </si>
  <si>
    <t xml:space="preserve">Množství (ks)</t>
  </si>
  <si>
    <t xml:space="preserve">Čistá hmotnost (kg)</t>
  </si>
  <si>
    <t xml:space="preserve">Hrubá hmotnost (kg)</t>
  </si>
  <si>
    <t xml:space="preserve">Celní hodnota (EUR)</t>
  </si>
  <si>
    <t xml:space="preserve">Incoterm</t>
  </si>
  <si>
    <t xml:space="preserve">Příznak</t>
  </si>
  <si>
    <t xml:space="preserve">Poznámka / TARIC / CBAM / Antidumping</t>
  </si>
  <si>
    <t xml:space="preserve">8501310000</t>
  </si>
  <si>
    <t xml:space="preserve">Elektrické motory na stejnosměrný proud (DC motory), výkon ≤ 750 W
– typ 156188.0101Z (4 Nm, Ke=88 V, 1000 ot/min), 250 ks
– typ E162693.0981Z (4 Nm, Ke=60 V, 1000 ot/min), 180 ks</t>
  </si>
  <si>
    <t xml:space="preserve">INNUOVO LINIX IMP.&amp; EXP. CO., LTD.
(Hangzhou, Zhejiang, CN)</t>
  </si>
  <si>
    <t xml:space="preserve">CN</t>
  </si>
  <si>
    <t xml:space="preserve">CIF – místo NEUVEDENO
(pravděpodobně CIF Koper)</t>
  </si>
  <si>
    <t xml:space="preserve">OVĚŘIT HS</t>
  </si>
  <si>
    <t xml:space="preserve">Doporučená sazební zařazení. Faktura, packing list, B/L i inspekční protokol označují OBĚ položky jako „DC MOTOR“ – viz list „Dokumenty a poznámky“, sekce ROZPOR V HS KÓDECH. Clo erga omnes 2,7 % (CN, bez preference). Bez CBAM, bez antidumpingu.</t>
  </si>
  <si>
    <t xml:space="preserve">CELKEM</t>
  </si>
  <si>
    <t xml:space="preserve">ALTERNATIVA – rozdělení podle HS kódů deklarovaných zákazníkem v „Instrukci k celnímu odbavení“ (Maurice Ward)</t>
  </si>
  <si>
    <t xml:space="preserve">8544429090</t>
  </si>
  <si>
    <t xml:space="preserve">Kabeláž motoru – vodiče s konektory, ≤ 1 000 V (deklarace zákazníka)
– typ 156188.0101Z, 250 ks</t>
  </si>
  <si>
    <t xml:space="preserve">ROZPOR</t>
  </si>
  <si>
    <t xml:space="preserve">Zákazník deklaruje kabeláž, ale faktura, packing list, B/L i inspekční protokol („MOTORS FINAL CONTROL D.C.“, sér. č. L09049–L09348) uvádějí DC motor. Clo 3,3 %. Hmotnosti dopočteny poměrem podle počtu kusů – v dokladech není rozpis.</t>
  </si>
  <si>
    <t xml:space="preserve">Elektrický motor na stejnosměrný proud, výkon ≤ 750 W (deklarace zákazníka)
– typ E162693.0981Z, 180 ks</t>
  </si>
  <si>
    <t xml:space="preserve">Souhlasí s doklady (inspekční protokol, sér. č. L04523–L04752). Clo 2,7 %. Hmotnosti dopočteny poměrem podle počtu kusů – v dokladech není rozpis.</t>
  </si>
  <si>
    <t xml:space="preserve">Legenda:</t>
  </si>
  <si>
    <t xml:space="preserve">Sazební zařazení je nutné potvrdit před podáním JSD – doklady a instrukce zákazníka si odporují.</t>
  </si>
  <si>
    <t xml:space="preserve">Přímý rozpor mezi HS kódem deklarovaným zákazníkem a popisem zboží v obchodních dokladech.</t>
  </si>
  <si>
    <t xml:space="preserve">Hlavní tabulka</t>
  </si>
  <si>
    <t xml:space="preserve">Sloučeno na jedinečné HS kódy v rámci odesílatele (jeden odesílatel = INNUOVO LINIX).</t>
  </si>
  <si>
    <t xml:space="preserve">Hmotnosti</t>
  </si>
  <si>
    <t xml:space="preserve">Čistá 4 300,00 kg a hrubá 4 500,00 kg jsou v packing listu uvedeny POUZE souhrnně za zásilku. V alternativní tabulce dopočteno poměrem podle počtu kusů (250/430 a 180/430).</t>
  </si>
  <si>
    <t xml:space="preserve">Sleva</t>
  </si>
  <si>
    <t xml:space="preserve">Faktura neobsahuje žádnou obchodní slevu – proporcionální rozpuštění slevy se neuplatňuje.</t>
  </si>
  <si>
    <t xml:space="preserve">Preferenční původ</t>
  </si>
  <si>
    <t xml:space="preserve">Preferenční věta NENÍ na faktuře uvedena. Původ CN – EU nemá s Čínou preferenční dohodu, uplatní se plná třetizemní sazba.</t>
  </si>
  <si>
    <t xml:space="preserve">CBAM</t>
  </si>
  <si>
    <t xml:space="preserve">Neuplatňuje se – 8501 ani 8544 nejsou zbožím přílohy I nařízení CBAM. Příjemce přesto dohledán v registru, viz list poznámek.</t>
  </si>
  <si>
    <t xml:space="preserve">Antidumping</t>
  </si>
  <si>
    <t xml:space="preserve">Pro 8501310000 ani 8544429090 s původem CN nebylo identifikováno antidumpingové opatření. Ověřit v TARIC k datu podání.</t>
  </si>
  <si>
    <t xml:space="preserve">▌ ZÁSILKA</t>
  </si>
  <si>
    <t xml:space="preserve">Číslo zásilky / faktury: 26LDE550321 (S/C No. 26LDE550321), datum faktury 15. 6. 2026, datum odeslání 3. 7. 2026.</t>
  </si>
  <si>
    <t xml:space="preserve">Odesílatel: INNUOVO LINIX IMP.&amp; EXP. CO., LTD., 15F, T1, Hengdian Center, No. 136 Fuchun Road, Shangcheng District, Hangzhou, Zhejiang, P.R.C 310016.</t>
  </si>
  <si>
    <t xml:space="preserve">Příjemce (dovozce v ČR): FAIVELEY TRANSPORT CZECH a.s., VGP Park, hala B, U Přivaděče 1315/3, 326 00 Plzeň – Bručná. EORI: CZ25213423.</t>
  </si>
  <si>
    <t xml:space="preserve">Přeprava: SHANGHAI → KOPER → PRAHA, moře, CMA CGM CYRANO / 0BEO3W, B/L AMIGL260287243A, kontejner APHU7225073 / 40'HQ, CFS-CFS, FREIGHT PREPAID.</t>
  </si>
  <si>
    <t xml:space="preserve">Balení: 10 palet, objem 7,259 CBM, čistá 4 300,00 kg, hrubá 4 500,00 kg.</t>
  </si>
  <si>
    <t xml:space="preserve">Režim: JCD – vyclení do volného oběhu (T1 se nepožaduje). Doručení Plzeň Bručná 6:15–14:15, kontakt Petra Eretová, +420 731 633 814.</t>
  </si>
  <si>
    <t xml:space="preserve">▌ ⚠ ROZPOR V HS KÓDECH – NUTNO VYŘEŠIT PŘED PODÁNÍM JSD</t>
  </si>
  <si>
    <t xml:space="preserve">Pro položku 156188.0101Z existují v dokladech TŘI různá zařazení:</t>
  </si>
  <si>
    <t xml:space="preserve">  1) 8544429090 – „kabeláž motoru“ – instrukce k celnímu odbavení (Maurice Ward), vyplněná zákazníkem. Clo 3,3 %.</t>
  </si>
  <si>
    <t xml:space="preserve">  2) 8501310000 – DC motor ≤ 750 W – vyplývá z faktury, packing listu a inspekčního protokolu. Clo 2,7 %.</t>
  </si>
  <si>
    <t xml:space="preserve">  3) 86079190 – „části železničních vozidel“ – uvedeno na B/L odesílatelem.</t>
  </si>
  <si>
    <t xml:space="preserve">Důkazy pro DC motor: faktura i packing list uvádějí u obou položek název „DC MOTOR“; inspekční protokol LINIX „MOTORS FINAL CONTROL D.C.“</t>
  </si>
  <si>
    <t xml:space="preserve">  pokrývá typ E89286101 (E156188101), 4 Nm, Ke=88 V, 1000 ot/min, sériová čísla L09049–L09098 a L09149–L09348 = přesně 250 ks dle faktury.</t>
  </si>
  <si>
    <t xml:space="preserve">Zařazení do 8607 nelze použít: podle pozn. 2 a) ke třídě XVI se elektromotory zařazují do vlastní položky 8501, i když jsou určeny pro železniční vozidla.</t>
  </si>
  <si>
    <t xml:space="preserve">→ DOPORUČENÍ: obě položky zařadit do 8501310000 a nechat si od zákazníka písemně potvrdit opravu instrukce.</t>
  </si>
  <si>
    <t xml:space="preserve">→ Dopad na clo: 8501310000 na celou zásilku = 2 116,90 EUR. Rozdělení dle zákazníka (8544 + 8501) = 2 384,19 EUR. Rozdíl 267,29 EUR.</t>
  </si>
  <si>
    <t xml:space="preserve">▌ ⚠ PREFERENČNÍ VĚTA (COO) – NENÍ V DOKLADECH</t>
  </si>
  <si>
    <t xml:space="preserve">Na faktuře 26LDE550321 ani v žádném dalším dokladu NENÍ uvedena preferenční věta (prohlášení o preferenčním původu).</t>
  </si>
  <si>
    <t xml:space="preserve">Původ zboží: ČÍNA (na faktuře, packing listu i značení „MADE IN CHINA“). EU nemá s ČLR preferenční dohodu, preferenční zacházení tedy nelze uplatnit.</t>
  </si>
  <si>
    <t xml:space="preserve">→ Uplatní se plná třetizemní sazba (erga omnes): 8501310000 = 2,7 %, případně 8544429090 = 3,3 %.</t>
  </si>
  <si>
    <t xml:space="preserve">→ Doklad o původu (formulář A / prohlášení vývozce) není pro clo relevantní; případné osvědčení o původu si vyžádejte jen pro nepreferenční účely.</t>
  </si>
  <si>
    <t xml:space="preserve">▌ ⚠ INCOTERM – CHYBÍ MÍSTO</t>
  </si>
  <si>
    <t xml:space="preserve">Faktura uvádí pouze doložku „CIF“ BEZ jmenovaného přístavu/místa určení. Podle CLAUDE.md musí být vždy uvedeno i město – zde je nutné doplnit.</t>
  </si>
  <si>
    <t xml:space="preserve">Nepřímé indicie z B/L: Port of Loading SHANGHAI, Port of Discharge KOPER, Place of Delivery PRAGUE, FREIGHT PREPAID,</t>
  </si>
  <si>
    <t xml:space="preserve">  „DESTINATION CHARGES ON RECEIVER'S ACCOUNT“ → nejpravděpodobněji CIF KOPER.</t>
  </si>
  <si>
    <t xml:space="preserve">→ Vyžádejte si od odesílatele písemné potvrzení doložky ve tvaru „CIF &lt;přístav&gt;“ (Incoterms 2020).</t>
  </si>
  <si>
    <t xml:space="preserve">→ Dopad na celní hodnotu: při CIF Koper je doprava a pojištění do místa vstupu do EU již v ceně 78 403,70 EUR zahrnuto.</t>
  </si>
  <si>
    <t xml:space="preserve">  Vnitrozemskou přepravu Koper → Plzeň lze z celní hodnoty odečíst pouze tehdy, je-li vyčíslena samostatně (čl. 72 písm. a) NK).</t>
  </si>
  <si>
    <t xml:space="preserve">▌ CELNÍ HODNOTA A VÝPOČET</t>
  </si>
  <si>
    <t xml:space="preserve">Fakturovaná hodnota: 250 ks × 178,19 EUR = 44 547,50 EUR; 180 ks × 188,09 EUR = 33 856,20 EUR; CELKEM 78 403,70 EUR (CIF).</t>
  </si>
  <si>
    <t xml:space="preserve">Hodnota potvrzena i v instrukci k celnímu odbavení: 78 403,70.</t>
  </si>
  <si>
    <t xml:space="preserve">Obchodní sleva: na faktuře žádná – proporcionální rozpuštění slevy se neuplatňuje.</t>
  </si>
  <si>
    <t xml:space="preserve">Clo (varianta 8501310000 na vše): 78 403,70 × 2,7 % = 2 116,90 EUR.</t>
  </si>
  <si>
    <t xml:space="preserve">Clo (varianta dle zákazníka): 44 547,50 × 3,3 % = 1 470,07 EUR + 33 856,20 × 2,7 % = 914,12 EUR → 2 384,19 EUR.</t>
  </si>
  <si>
    <t xml:space="preserve">DPH 21 % se počítá ze základu = celní hodnota + clo + náklady do místa určení v ČR.</t>
  </si>
  <si>
    <t xml:space="preserve">▌ CBAM – VYHLEDÁNÍ PODLE ČESKÉHO PŘÍJEMCE</t>
  </si>
  <si>
    <t xml:space="preserve">CBAM se na tuto zásilku NEVZTAHUJE: HS 8501 ani 8544 nejsou zbožím uvedeným v příloze I nařízení CBAM</t>
  </si>
  <si>
    <t xml:space="preserve">  (cement, elektřina, hnojiva, železo a ocel, hliník, vodík). Ani alternativní zařazení 8607 není zbožím CBAM.</t>
  </si>
  <si>
    <t xml:space="preserve">Příjemce byl přesto pro pořádek dohledán v registru reference/CBAM_receivers_CZ.xlsx (list List1), řádek 30:</t>
  </si>
  <si>
    <t xml:space="preserve">  Firma: FAIVELEY TRANSPORT CZECH a.s.</t>
  </si>
  <si>
    <t xml:space="preserve">  EORI: CZ25213423</t>
  </si>
  <si>
    <t xml:space="preserve">  Y KÓD: Y137 – režim „do 50 t ročně“ (výjimka de minimis)</t>
  </si>
  <si>
    <t xml:space="preserve">  Povolení (Y128): není  |  Podaná žádost (Y238): není  |  Datum vydání: neuvedeno</t>
  </si>
  <si>
    <t xml:space="preserve">  Interní reference v registru: 26MWCCCIM000398</t>
  </si>
  <si>
    <t xml:space="preserve">→ Pro tuto zásilku se kód Y137 do JSD neuvádí, protože zboží není zbožím CBAM.</t>
  </si>
  <si>
    <t xml:space="preserve">▌ ANTIDUMPING</t>
  </si>
  <si>
    <t xml:space="preserve">Pro 8501310000 ani 8544429090 s původem CN nebylo k datu přípravy identifikováno platné antidumpingové opatření.</t>
  </si>
  <si>
    <t xml:space="preserve">→ Doporučuji ověřit v TARIC / TARIC CZ k datu podání celního prohlášení (opatření se mění).</t>
  </si>
  <si>
    <t xml:space="preserve">▌ HMOTNOSTI – OMEZENÍ ZDROJOVÝCH DAT</t>
  </si>
  <si>
    <t xml:space="preserve">Packing list uvádí čistou (4 300,00 kg) a hrubou (4 500,00 kg) hmotnost POUZE souhrnně za celou zásilku (10 palet).</t>
  </si>
  <si>
    <t xml:space="preserve">Rozpis hmotností na jednotlivé typy motorů v dokladech CHYBÍ.</t>
  </si>
  <si>
    <t xml:space="preserve">V hlavní tabulce to nevadí – obě položky se slučují do jednoho HS kódu, takže platí souhrnné hodnoty.</t>
  </si>
  <si>
    <t xml:space="preserve">V alternativní tabulce jsou hmotnosti dopočteny poměrem podle počtu kusů: 250/430 a 180/430.</t>
  </si>
  <si>
    <t xml:space="preserve">→ Je-li pro JSD potřeba přesný rozpis, vyžádejte si od odesílatele hmotnosti po typech.</t>
  </si>
  <si>
    <t xml:space="preserve">▌ POUŽITÉ DOKLADY</t>
  </si>
  <si>
    <t xml:space="preserve">✓ Faktura IV25LDE550321 (INNUOVO LINIX, 15. 6. 2026)</t>
  </si>
  <si>
    <t xml:space="preserve">✓ Packing list PK26LDE550321</t>
  </si>
  <si>
    <t xml:space="preserve">✓ Konosament BL26LDE550321 (AMASS GLOBAL NETWORK GROUP, AMIGL260287243A)</t>
  </si>
  <si>
    <t xml:space="preserve">✓ Inspekční protokol 26LDE550321 – LINIX MOTORS FINAL CONTROL D.C., 11 stran (sken)</t>
  </si>
  <si>
    <t xml:space="preserve">✓ Instrukce k celnímu odbavení a doručení zboží (Maurice Ward &amp; Co., s.r.o.)</t>
  </si>
  <si>
    <t xml:space="preserve">✗ CHYBÍ: potvrzení Incoterm s uvedením místa; písemné potvrzení sazebního zařazení 156188.0101Z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</si>
</sst>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EBF3FB"/>
      </patternFill>
    </fill>
    <fill>
      <patternFill patternType="solid">
        <fgColor rgb="FF808080"/>
        <bgColor rgb="FF969696"/>
      </patternFill>
    </fill>
    <fill>
      <patternFill patternType="solid">
        <fgColor rgb="FFFF0000"/>
        <bgColor rgb="FFC000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8" min="8" style="0" width="17"/>
    <col collapsed="false" customWidth="true" hidden="false" outlineLevel="0" max="9" min="9" style="0" width="30"/>
    <col collapsed="false" customWidth="true" hidden="false" outlineLevel="0" max="10" min="10" style="0" width="16"/>
    <col collapsed="false" customWidth="true" hidden="false" outlineLevel="0" max="11" min="11" style="0" width="7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61.5" hidden="false" customHeight="true" outlineLevel="0" collapsed="false">
      <c r="A2" s="2" t="s">
        <v>11</v>
      </c>
      <c r="B2" s="3" t="s">
        <v>12</v>
      </c>
      <c r="C2" s="3" t="s">
        <v>13</v>
      </c>
      <c r="D2" s="4" t="s">
        <v>14</v>
      </c>
      <c r="E2" s="5" t="n">
        <v>430</v>
      </c>
      <c r="F2" s="6" t="n">
        <v>4300</v>
      </c>
      <c r="G2" s="6" t="n">
        <v>4500</v>
      </c>
      <c r="H2" s="6" t="n">
        <v>78403.7</v>
      </c>
      <c r="I2" s="3" t="s">
        <v>15</v>
      </c>
      <c r="J2" s="7" t="s">
        <v>16</v>
      </c>
      <c r="K2" s="8" t="s">
        <v>17</v>
      </c>
    </row>
    <row r="3" customFormat="false" ht="15" hidden="false" customHeight="false" outlineLevel="0" collapsed="false">
      <c r="A3" s="9" t="s">
        <v>18</v>
      </c>
      <c r="B3" s="9"/>
      <c r="C3" s="9"/>
      <c r="D3" s="9"/>
      <c r="E3" s="10" t="n">
        <f aca="false">SUM(E2:E2)</f>
        <v>430</v>
      </c>
      <c r="F3" s="11" t="n">
        <f aca="false">SUM(F2:F2)</f>
        <v>4300</v>
      </c>
      <c r="G3" s="11" t="n">
        <f aca="false">SUM(G2:G2)</f>
        <v>4500</v>
      </c>
      <c r="H3" s="11" t="n">
        <f aca="false">SUM(H2:H2)</f>
        <v>78403.7</v>
      </c>
      <c r="I3" s="12"/>
      <c r="J3" s="12"/>
      <c r="K3" s="12"/>
    </row>
    <row r="6" customFormat="false" ht="15" hidden="false" customHeight="false" outlineLevel="0" collapsed="false">
      <c r="A6" s="13" t="s">
        <v>19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customFormat="false" ht="31.5" hidden="false" customHeight="true" outlineLevel="0" collapsed="false">
      <c r="A7" s="14" t="s">
        <v>0</v>
      </c>
      <c r="B7" s="14" t="s">
        <v>1</v>
      </c>
      <c r="C7" s="14" t="s">
        <v>2</v>
      </c>
      <c r="D7" s="14" t="s">
        <v>3</v>
      </c>
      <c r="E7" s="14" t="s">
        <v>4</v>
      </c>
      <c r="F7" s="14" t="s">
        <v>5</v>
      </c>
      <c r="G7" s="14" t="s">
        <v>6</v>
      </c>
      <c r="H7" s="14" t="s">
        <v>7</v>
      </c>
      <c r="I7" s="14" t="s">
        <v>8</v>
      </c>
      <c r="J7" s="14" t="s">
        <v>9</v>
      </c>
      <c r="K7" s="14" t="s">
        <v>10</v>
      </c>
    </row>
    <row r="8" customFormat="false" ht="55.5" hidden="false" customHeight="true" outlineLevel="0" collapsed="false">
      <c r="A8" s="2" t="s">
        <v>20</v>
      </c>
      <c r="B8" s="3" t="s">
        <v>21</v>
      </c>
      <c r="C8" s="3" t="s">
        <v>13</v>
      </c>
      <c r="D8" s="4" t="s">
        <v>14</v>
      </c>
      <c r="E8" s="5" t="n">
        <v>250</v>
      </c>
      <c r="F8" s="6" t="n">
        <v>2500</v>
      </c>
      <c r="G8" s="6" t="n">
        <v>2616.28</v>
      </c>
      <c r="H8" s="6" t="n">
        <v>44547.5</v>
      </c>
      <c r="I8" s="3" t="s">
        <v>15</v>
      </c>
      <c r="J8" s="15" t="s">
        <v>22</v>
      </c>
      <c r="K8" s="16" t="s">
        <v>23</v>
      </c>
    </row>
    <row r="9" customFormat="false" ht="55.5" hidden="false" customHeight="true" outlineLevel="0" collapsed="false">
      <c r="A9" s="2" t="s">
        <v>11</v>
      </c>
      <c r="B9" s="3" t="s">
        <v>24</v>
      </c>
      <c r="C9" s="3" t="s">
        <v>13</v>
      </c>
      <c r="D9" s="4" t="s">
        <v>14</v>
      </c>
      <c r="E9" s="5" t="n">
        <v>180</v>
      </c>
      <c r="F9" s="6" t="n">
        <v>1800</v>
      </c>
      <c r="G9" s="6" t="n">
        <v>1883.72</v>
      </c>
      <c r="H9" s="6" t="n">
        <v>33856.2</v>
      </c>
      <c r="I9" s="3" t="s">
        <v>15</v>
      </c>
      <c r="J9" s="4"/>
      <c r="K9" s="3" t="s">
        <v>25</v>
      </c>
    </row>
    <row r="10" customFormat="false" ht="15" hidden="false" customHeight="false" outlineLevel="0" collapsed="false">
      <c r="A10" s="9" t="s">
        <v>18</v>
      </c>
      <c r="B10" s="9"/>
      <c r="C10" s="9"/>
      <c r="D10" s="9"/>
      <c r="E10" s="10" t="n">
        <f aca="false">SUM(E8:E9)</f>
        <v>430</v>
      </c>
      <c r="F10" s="11" t="n">
        <f aca="false">SUM(F8:F9)</f>
        <v>4300</v>
      </c>
      <c r="G10" s="11" t="n">
        <f aca="false">SUM(G8:G9)</f>
        <v>4500</v>
      </c>
      <c r="H10" s="11" t="n">
        <f aca="false">SUM(H8:H9)</f>
        <v>78403.7</v>
      </c>
      <c r="I10" s="12"/>
      <c r="J10" s="12"/>
      <c r="K10" s="12"/>
    </row>
    <row r="12" customFormat="false" ht="15" hidden="false" customHeight="false" outlineLevel="0" collapsed="false">
      <c r="A12" s="17" t="s">
        <v>26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customFormat="false" ht="27.75" hidden="false" customHeight="true" outlineLevel="0" collapsed="false">
      <c r="A13" s="17" t="s">
        <v>16</v>
      </c>
      <c r="B13" s="18" t="s">
        <v>27</v>
      </c>
      <c r="C13" s="18"/>
      <c r="D13" s="18"/>
      <c r="E13" s="18"/>
      <c r="F13" s="18"/>
      <c r="G13" s="18"/>
      <c r="H13" s="18"/>
      <c r="I13" s="18"/>
      <c r="J13" s="18"/>
      <c r="K13" s="18"/>
    </row>
    <row r="14" customFormat="false" ht="27.75" hidden="false" customHeight="true" outlineLevel="0" collapsed="false">
      <c r="A14" s="17" t="s">
        <v>22</v>
      </c>
      <c r="B14" s="18" t="s">
        <v>28</v>
      </c>
      <c r="C14" s="18"/>
      <c r="D14" s="18"/>
      <c r="E14" s="18"/>
      <c r="F14" s="18"/>
      <c r="G14" s="18"/>
      <c r="H14" s="18"/>
      <c r="I14" s="18"/>
      <c r="J14" s="18"/>
      <c r="K14" s="18"/>
    </row>
    <row r="15" customFormat="false" ht="27.75" hidden="false" customHeight="true" outlineLevel="0" collapsed="false">
      <c r="A15" s="17" t="s">
        <v>29</v>
      </c>
      <c r="B15" s="18" t="s">
        <v>30</v>
      </c>
      <c r="C15" s="18"/>
      <c r="D15" s="18"/>
      <c r="E15" s="18"/>
      <c r="F15" s="18"/>
      <c r="G15" s="18"/>
      <c r="H15" s="18"/>
      <c r="I15" s="18"/>
      <c r="J15" s="18"/>
      <c r="K15" s="18"/>
    </row>
    <row r="16" customFormat="false" ht="27.75" hidden="false" customHeight="true" outlineLevel="0" collapsed="false">
      <c r="A16" s="17" t="s">
        <v>31</v>
      </c>
      <c r="B16" s="18" t="s">
        <v>32</v>
      </c>
      <c r="C16" s="18"/>
      <c r="D16" s="18"/>
      <c r="E16" s="18"/>
      <c r="F16" s="18"/>
      <c r="G16" s="18"/>
      <c r="H16" s="18"/>
      <c r="I16" s="18"/>
      <c r="J16" s="18"/>
      <c r="K16" s="18"/>
    </row>
    <row r="17" customFormat="false" ht="27.75" hidden="false" customHeight="true" outlineLevel="0" collapsed="false">
      <c r="A17" s="17" t="s">
        <v>33</v>
      </c>
      <c r="B17" s="18" t="s">
        <v>34</v>
      </c>
      <c r="C17" s="18"/>
      <c r="D17" s="18"/>
      <c r="E17" s="18"/>
      <c r="F17" s="18"/>
      <c r="G17" s="18"/>
      <c r="H17" s="18"/>
      <c r="I17" s="18"/>
      <c r="J17" s="18"/>
      <c r="K17" s="18"/>
    </row>
    <row r="18" customFormat="false" ht="27.75" hidden="false" customHeight="true" outlineLevel="0" collapsed="false">
      <c r="A18" s="17" t="s">
        <v>35</v>
      </c>
      <c r="B18" s="18" t="s">
        <v>36</v>
      </c>
      <c r="C18" s="18"/>
      <c r="D18" s="18"/>
      <c r="E18" s="18"/>
      <c r="F18" s="18"/>
      <c r="G18" s="18"/>
      <c r="H18" s="18"/>
      <c r="I18" s="18"/>
      <c r="J18" s="18"/>
      <c r="K18" s="18"/>
    </row>
    <row r="19" customFormat="false" ht="27.75" hidden="false" customHeight="true" outlineLevel="0" collapsed="false">
      <c r="A19" s="17" t="s">
        <v>37</v>
      </c>
      <c r="B19" s="18" t="s">
        <v>38</v>
      </c>
      <c r="C19" s="18"/>
      <c r="D19" s="18"/>
      <c r="E19" s="18"/>
      <c r="F19" s="18"/>
      <c r="G19" s="18"/>
      <c r="H19" s="18"/>
      <c r="I19" s="18"/>
      <c r="J19" s="18"/>
      <c r="K19" s="18"/>
    </row>
    <row r="20" customFormat="false" ht="27.75" hidden="false" customHeight="true" outlineLevel="0" collapsed="false">
      <c r="A20" s="17" t="s">
        <v>39</v>
      </c>
      <c r="B20" s="18" t="s">
        <v>40</v>
      </c>
      <c r="C20" s="18"/>
      <c r="D20" s="18"/>
      <c r="E20" s="18"/>
      <c r="F20" s="18"/>
      <c r="G20" s="18"/>
      <c r="H20" s="18"/>
      <c r="I20" s="18"/>
      <c r="J20" s="18"/>
      <c r="K20" s="18"/>
    </row>
  </sheetData>
  <mergeCells count="10">
    <mergeCell ref="A6:K6"/>
    <mergeCell ref="B12:K12"/>
    <mergeCell ref="B13:K13"/>
    <mergeCell ref="B14:K14"/>
    <mergeCell ref="B15:K15"/>
    <mergeCell ref="B16:K16"/>
    <mergeCell ref="B17:K17"/>
    <mergeCell ref="B18:K18"/>
    <mergeCell ref="B19:K19"/>
    <mergeCell ref="B20:K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8"/>
  </cols>
  <sheetData>
    <row r="1" customFormat="false" ht="15" hidden="false" customHeight="false" outlineLevel="0" collapsed="false">
      <c r="A1" s="19" t="s">
        <v>41</v>
      </c>
    </row>
    <row r="2" customFormat="false" ht="15" hidden="false" customHeight="false" outlineLevel="0" collapsed="false">
      <c r="A2" s="20" t="s">
        <v>42</v>
      </c>
    </row>
    <row r="3" customFormat="false" ht="15" hidden="false" customHeight="false" outlineLevel="0" collapsed="false">
      <c r="A3" s="20" t="s">
        <v>43</v>
      </c>
    </row>
    <row r="4" customFormat="false" ht="15" hidden="false" customHeight="false" outlineLevel="0" collapsed="false">
      <c r="A4" s="20" t="s">
        <v>44</v>
      </c>
    </row>
    <row r="5" customFormat="false" ht="15" hidden="false" customHeight="false" outlineLevel="0" collapsed="false">
      <c r="A5" s="20" t="s">
        <v>45</v>
      </c>
    </row>
    <row r="6" customFormat="false" ht="15" hidden="false" customHeight="false" outlineLevel="0" collapsed="false">
      <c r="A6" s="20" t="s">
        <v>46</v>
      </c>
    </row>
    <row r="7" customFormat="false" ht="15" hidden="false" customHeight="false" outlineLevel="0" collapsed="false">
      <c r="A7" s="20" t="s">
        <v>47</v>
      </c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21" t="s">
        <v>48</v>
      </c>
    </row>
    <row r="10" customFormat="false" ht="15" hidden="false" customHeight="false" outlineLevel="0" collapsed="false">
      <c r="A10" s="20" t="s">
        <v>49</v>
      </c>
    </row>
    <row r="11" customFormat="false" ht="15" hidden="false" customHeight="false" outlineLevel="0" collapsed="false">
      <c r="A11" s="20" t="s">
        <v>50</v>
      </c>
    </row>
    <row r="12" customFormat="false" ht="15" hidden="false" customHeight="false" outlineLevel="0" collapsed="false">
      <c r="A12" s="20" t="s">
        <v>51</v>
      </c>
    </row>
    <row r="13" customFormat="false" ht="15" hidden="false" customHeight="false" outlineLevel="0" collapsed="false">
      <c r="A13" s="20" t="s">
        <v>52</v>
      </c>
    </row>
    <row r="14" customFormat="false" ht="15" hidden="false" customHeight="false" outlineLevel="0" collapsed="false">
      <c r="A14" s="20" t="s">
        <v>53</v>
      </c>
    </row>
    <row r="15" customFormat="false" ht="15" hidden="false" customHeight="false" outlineLevel="0" collapsed="false">
      <c r="A15" s="20" t="s">
        <v>54</v>
      </c>
    </row>
    <row r="16" customFormat="false" ht="15" hidden="false" customHeight="false" outlineLevel="0" collapsed="false">
      <c r="A16" s="20" t="s">
        <v>55</v>
      </c>
    </row>
    <row r="17" customFormat="false" ht="15" hidden="false" customHeight="false" outlineLevel="0" collapsed="false">
      <c r="A17" s="20" t="s">
        <v>56</v>
      </c>
    </row>
    <row r="18" customFormat="false" ht="15" hidden="false" customHeight="false" outlineLevel="0" collapsed="false">
      <c r="A18" s="20" t="s">
        <v>57</v>
      </c>
    </row>
    <row r="19" customFormat="false" ht="15" hidden="false" customHeight="false" outlineLevel="0" collapsed="false">
      <c r="A19" s="20"/>
    </row>
    <row r="20" customFormat="false" ht="15" hidden="false" customHeight="false" outlineLevel="0" collapsed="false">
      <c r="A20" s="21" t="s">
        <v>58</v>
      </c>
    </row>
    <row r="21" customFormat="false" ht="15" hidden="false" customHeight="false" outlineLevel="0" collapsed="false">
      <c r="A21" s="20" t="s">
        <v>59</v>
      </c>
    </row>
    <row r="22" customFormat="false" ht="15" hidden="false" customHeight="false" outlineLevel="0" collapsed="false">
      <c r="A22" s="20" t="s">
        <v>60</v>
      </c>
    </row>
    <row r="23" customFormat="false" ht="15" hidden="false" customHeight="false" outlineLevel="0" collapsed="false">
      <c r="A23" s="20" t="s">
        <v>61</v>
      </c>
    </row>
    <row r="24" customFormat="false" ht="15" hidden="false" customHeight="false" outlineLevel="0" collapsed="false">
      <c r="A24" s="20" t="s">
        <v>62</v>
      </c>
    </row>
    <row r="25" customFormat="false" ht="15" hidden="false" customHeight="false" outlineLevel="0" collapsed="false">
      <c r="A25" s="20"/>
    </row>
    <row r="26" customFormat="false" ht="15" hidden="false" customHeight="false" outlineLevel="0" collapsed="false">
      <c r="A26" s="21" t="s">
        <v>63</v>
      </c>
    </row>
    <row r="27" customFormat="false" ht="15" hidden="false" customHeight="false" outlineLevel="0" collapsed="false">
      <c r="A27" s="20" t="s">
        <v>64</v>
      </c>
    </row>
    <row r="28" customFormat="false" ht="15" hidden="false" customHeight="false" outlineLevel="0" collapsed="false">
      <c r="A28" s="20" t="s">
        <v>65</v>
      </c>
    </row>
    <row r="29" customFormat="false" ht="15" hidden="false" customHeight="false" outlineLevel="0" collapsed="false">
      <c r="A29" s="20" t="s">
        <v>66</v>
      </c>
    </row>
    <row r="30" customFormat="false" ht="15" hidden="false" customHeight="false" outlineLevel="0" collapsed="false">
      <c r="A30" s="20" t="s">
        <v>67</v>
      </c>
    </row>
    <row r="31" customFormat="false" ht="15" hidden="false" customHeight="false" outlineLevel="0" collapsed="false">
      <c r="A31" s="20" t="s">
        <v>68</v>
      </c>
    </row>
    <row r="32" customFormat="false" ht="15" hidden="false" customHeight="false" outlineLevel="0" collapsed="false">
      <c r="A32" s="20" t="s">
        <v>69</v>
      </c>
    </row>
    <row r="33" customFormat="false" ht="15" hidden="false" customHeight="false" outlineLevel="0" collapsed="false">
      <c r="A33" s="20"/>
    </row>
    <row r="34" customFormat="false" ht="15" hidden="false" customHeight="false" outlineLevel="0" collapsed="false">
      <c r="A34" s="19" t="s">
        <v>70</v>
      </c>
    </row>
    <row r="35" customFormat="false" ht="15" hidden="false" customHeight="false" outlineLevel="0" collapsed="false">
      <c r="A35" s="20" t="s">
        <v>71</v>
      </c>
    </row>
    <row r="36" customFormat="false" ht="15" hidden="false" customHeight="false" outlineLevel="0" collapsed="false">
      <c r="A36" s="20" t="s">
        <v>72</v>
      </c>
    </row>
    <row r="37" customFormat="false" ht="15" hidden="false" customHeight="false" outlineLevel="0" collapsed="false">
      <c r="A37" s="20" t="s">
        <v>73</v>
      </c>
    </row>
    <row r="38" customFormat="false" ht="15" hidden="false" customHeight="false" outlineLevel="0" collapsed="false">
      <c r="A38" s="20" t="s">
        <v>74</v>
      </c>
    </row>
    <row r="39" customFormat="false" ht="15" hidden="false" customHeight="false" outlineLevel="0" collapsed="false">
      <c r="A39" s="20" t="s">
        <v>75</v>
      </c>
    </row>
    <row r="40" customFormat="false" ht="15" hidden="false" customHeight="false" outlineLevel="0" collapsed="false">
      <c r="A40" s="20" t="s">
        <v>76</v>
      </c>
    </row>
    <row r="41" customFormat="false" ht="15" hidden="false" customHeight="false" outlineLevel="0" collapsed="false">
      <c r="A41" s="20"/>
    </row>
    <row r="42" customFormat="false" ht="15" hidden="false" customHeight="false" outlineLevel="0" collapsed="false">
      <c r="A42" s="19" t="s">
        <v>77</v>
      </c>
    </row>
    <row r="43" customFormat="false" ht="15" hidden="false" customHeight="false" outlineLevel="0" collapsed="false">
      <c r="A43" s="20" t="s">
        <v>78</v>
      </c>
    </row>
    <row r="44" customFormat="false" ht="15" hidden="false" customHeight="false" outlineLevel="0" collapsed="false">
      <c r="A44" s="20" t="s">
        <v>79</v>
      </c>
    </row>
    <row r="45" customFormat="false" ht="15" hidden="false" customHeight="false" outlineLevel="0" collapsed="false">
      <c r="A45" s="20" t="s">
        <v>80</v>
      </c>
    </row>
    <row r="46" customFormat="false" ht="15" hidden="false" customHeight="false" outlineLevel="0" collapsed="false">
      <c r="A46" s="20" t="s">
        <v>81</v>
      </c>
    </row>
    <row r="47" customFormat="false" ht="15" hidden="false" customHeight="false" outlineLevel="0" collapsed="false">
      <c r="A47" s="20" t="s">
        <v>82</v>
      </c>
    </row>
    <row r="48" customFormat="false" ht="15" hidden="false" customHeight="false" outlineLevel="0" collapsed="false">
      <c r="A48" s="20" t="s">
        <v>83</v>
      </c>
    </row>
    <row r="49" customFormat="false" ht="15" hidden="false" customHeight="false" outlineLevel="0" collapsed="false">
      <c r="A49" s="20" t="s">
        <v>84</v>
      </c>
    </row>
    <row r="50" customFormat="false" ht="15" hidden="false" customHeight="false" outlineLevel="0" collapsed="false">
      <c r="A50" s="20" t="s">
        <v>85</v>
      </c>
    </row>
    <row r="51" customFormat="false" ht="15" hidden="false" customHeight="false" outlineLevel="0" collapsed="false">
      <c r="A51" s="20" t="s">
        <v>86</v>
      </c>
    </row>
    <row r="52" customFormat="false" ht="15" hidden="false" customHeight="false" outlineLevel="0" collapsed="false">
      <c r="A52" s="20"/>
    </row>
    <row r="53" customFormat="false" ht="15" hidden="false" customHeight="false" outlineLevel="0" collapsed="false">
      <c r="A53" s="19" t="s">
        <v>87</v>
      </c>
    </row>
    <row r="54" customFormat="false" ht="15" hidden="false" customHeight="false" outlineLevel="0" collapsed="false">
      <c r="A54" s="20" t="s">
        <v>88</v>
      </c>
    </row>
    <row r="55" customFormat="false" ht="15" hidden="false" customHeight="false" outlineLevel="0" collapsed="false">
      <c r="A55" s="20" t="s">
        <v>89</v>
      </c>
    </row>
    <row r="56" customFormat="false" ht="15" hidden="false" customHeight="false" outlineLevel="0" collapsed="false">
      <c r="A56" s="20"/>
    </row>
    <row r="57" customFormat="false" ht="15" hidden="false" customHeight="false" outlineLevel="0" collapsed="false">
      <c r="A57" s="19" t="s">
        <v>90</v>
      </c>
    </row>
    <row r="58" customFormat="false" ht="15" hidden="false" customHeight="false" outlineLevel="0" collapsed="false">
      <c r="A58" s="20" t="s">
        <v>91</v>
      </c>
    </row>
    <row r="59" customFormat="false" ht="15" hidden="false" customHeight="false" outlineLevel="0" collapsed="false">
      <c r="A59" s="20" t="s">
        <v>92</v>
      </c>
    </row>
    <row r="60" customFormat="false" ht="15" hidden="false" customHeight="false" outlineLevel="0" collapsed="false">
      <c r="A60" s="20" t="s">
        <v>93</v>
      </c>
    </row>
    <row r="61" customFormat="false" ht="15" hidden="false" customHeight="false" outlineLevel="0" collapsed="false">
      <c r="A61" s="20" t="s">
        <v>94</v>
      </c>
    </row>
    <row r="62" customFormat="false" ht="15" hidden="false" customHeight="false" outlineLevel="0" collapsed="false">
      <c r="A62" s="20" t="s">
        <v>95</v>
      </c>
    </row>
    <row r="63" customFormat="false" ht="15" hidden="false" customHeight="false" outlineLevel="0" collapsed="false">
      <c r="A63" s="20"/>
    </row>
    <row r="64" customFormat="false" ht="15" hidden="false" customHeight="false" outlineLevel="0" collapsed="false">
      <c r="A64" s="19" t="s">
        <v>96</v>
      </c>
    </row>
    <row r="65" customFormat="false" ht="15" hidden="false" customHeight="false" outlineLevel="0" collapsed="false">
      <c r="A65" s="20" t="s">
        <v>97</v>
      </c>
    </row>
    <row r="66" customFormat="false" ht="15" hidden="false" customHeight="false" outlineLevel="0" collapsed="false">
      <c r="A66" s="20" t="s">
        <v>98</v>
      </c>
    </row>
    <row r="67" customFormat="false" ht="15" hidden="false" customHeight="false" outlineLevel="0" collapsed="false">
      <c r="A67" s="20" t="s">
        <v>99</v>
      </c>
    </row>
    <row r="68" customFormat="false" ht="15" hidden="false" customHeight="false" outlineLevel="0" collapsed="false">
      <c r="A68" s="20" t="s">
        <v>100</v>
      </c>
    </row>
    <row r="69" customFormat="false" ht="15" hidden="false" customHeight="false" outlineLevel="0" collapsed="false">
      <c r="A69" s="20" t="s">
        <v>101</v>
      </c>
    </row>
    <row r="70" customFormat="false" ht="15" hidden="false" customHeight="false" outlineLevel="0" collapsed="false">
      <c r="A70" s="2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2026-08-14T12:41:34Z</dcterms:created>
  <dc:creator>openpyxl</dc:creator>
  <dc:description/>
  <dc:language>en-US</dc:language>
  <cp:lastModifiedBy/>
  <dcterms:modified xsi:type="dcterms:W3CDTF">2026-08-14T12:41:34Z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