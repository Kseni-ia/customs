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S Summary" sheetId="1" state="visible" r:id="rId3"/>
    <sheet name="Line items" sheetId="2" state="visible" r:id="rId4"/>
    <sheet name="Poznámky &amp; flagy" sheetId="3" state="visible" r:id="rId5"/>
    <sheet name="Zdroje" sheetId="4" state="visible" r:id="rId6"/>
  </sheets>
  <definedNames>
    <definedName function="false" hidden="true" localSheetId="1" name="_xlnm._FilterDatabase" vbProcedure="false">'Line items'!$A$1:$K$25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<sst xmlns="http://schemas.openxmlformats.org/spreadsheetml/2006/main" count="364" uniqueCount="197">
  <si>
    <t xml:space="preserve">HS CODE SUMMARY – Sonavox Technology CZ s.r.o.</t>
  </si>
  <si>
    <t xml:space="preserve">Odesílatelé / Senders:</t>
  </si>
  <si>
    <t xml:space="preserve">3 (viz členění níže) – zásilka je členěna PRIMÁRNĚ dle odesílatele</t>
  </si>
  <si>
    <t xml:space="preserve">Příjemce / Consignee:</t>
  </si>
  <si>
    <t xml:space="preserve">Sonavox Technology CZ s.r.o., Lhotka nad Bečvou 93, 756 41 Lešná, Czech Republic</t>
  </si>
  <si>
    <t xml:space="preserve">FCR / HBL No.:</t>
  </si>
  <si>
    <t xml:space="preserve">TECGO26080029 (T.H.I. Group Ltd.), ref. ZIHWB260805FM022</t>
  </si>
  <si>
    <t xml:space="preserve">Nákladní list SMGS:</t>
  </si>
  <si>
    <t xml:space="preserve">38055706</t>
  </si>
  <si>
    <t xml:space="preserve">Kontejner / plomba:</t>
  </si>
  <si>
    <t xml:space="preserve">CIMU1716969 / 40HQ / plomba ZH176441</t>
  </si>
  <si>
    <t xml:space="preserve">Faktury:</t>
  </si>
  <si>
    <t xml:space="preserve">CZ20260725, CZ20260725-1, CZ20260725-2, vše ze dne 28.07.2026</t>
  </si>
  <si>
    <t xml:space="preserve">Trasa:</t>
  </si>
  <si>
    <t xml:space="preserve">Zhengzhou (Putian), Henan → Malaszewicze (PL) → Czech Republic – ŽELEZNIČNÍ přeprava</t>
  </si>
  <si>
    <t xml:space="preserve">Země původu:</t>
  </si>
  <si>
    <t xml:space="preserve">Čína (Suzhou, 35029)</t>
  </si>
  <si>
    <t xml:space="preserve">Destinace:</t>
  </si>
  <si>
    <t xml:space="preserve">Czech Republic / EU</t>
  </si>
  <si>
    <t xml:space="preserve">Měna:</t>
  </si>
  <si>
    <t xml:space="preserve">EUR</t>
  </si>
  <si>
    <t xml:space="preserve">INCOTERM:</t>
  </si>
  <si>
    <t xml:space="preserve">FOB (bez uvedeného přístavu/místa) – viz Poznámky</t>
  </si>
  <si>
    <t xml:space="preserve">Preferenční věta:</t>
  </si>
  <si>
    <t xml:space="preserve">NENALEZENA v žádném dokladu – viz list Poznámky (kritické)</t>
  </si>
  <si>
    <t xml:space="preserve">Celkem kolí / objem:</t>
  </si>
  <si>
    <t xml:space="preserve">51 palet / 51,40 CBM / brutto 24 133 kg (souhlasí s FCR i SMGS)</t>
  </si>
  <si>
    <t xml:space="preserve">Odesílatel / Sender</t>
  </si>
  <si>
    <t xml:space="preserve">Faktura</t>
  </si>
  <si>
    <t xml:space="preserve">HS kód</t>
  </si>
  <si>
    <t xml:space="preserve">Popis zboží (CZ)</t>
  </si>
  <si>
    <t xml:space="preserve">Množství (ks)</t>
  </si>
  <si>
    <t xml:space="preserve">Čistá hmotnost (kg)</t>
  </si>
  <si>
    <t xml:space="preserve">Hrubá hmotnost (kg)</t>
  </si>
  <si>
    <t xml:space="preserve">Celní hodnota (EUR)</t>
  </si>
  <si>
    <t xml:space="preserve">Incoterm</t>
  </si>
  <si>
    <t xml:space="preserve">CBAM</t>
  </si>
  <si>
    <t xml:space="preserve">Antidumping</t>
  </si>
  <si>
    <t xml:space="preserve">Poznámka</t>
  </si>
  <si>
    <t xml:space="preserve">Suzhou Sonavox International Trading Co., Ltd</t>
  </si>
  <si>
    <t xml:space="preserve">CZ20260725</t>
  </si>
  <si>
    <t xml:space="preserve">8504500000</t>
  </si>
  <si>
    <t xml:space="preserve">Kmitací cívka – měděný drát (jednoduché vinutí) navinutý na papírovém válci (formeru)</t>
  </si>
  <si>
    <t xml:space="preserve">Ne</t>
  </si>
  <si>
    <t xml:space="preserve">Zařazení dle ZISZ 30-0292-2016 (kmitací cívka = ostatní tlumivky).</t>
  </si>
  <si>
    <t xml:space="preserve">8518900090</t>
  </si>
  <si>
    <t xml:space="preserve">Ocelová deska (front plate) – součást autoreproduktoru</t>
  </si>
  <si>
    <t xml:space="preserve">Přípona 90 dle podkladu SONAVOX; ocelový díl, ale zařazen v kap. 85 – mimo CBAM.</t>
  </si>
  <si>
    <t xml:space="preserve">8518900000</t>
  </si>
  <si>
    <t xml:space="preserve">Středící membrána (spider) – naimpregnovaná textilie, součást autoreproduktoru; Membrána s vlnkou (cone) – membrána elektrodynamického reproduktoru</t>
  </si>
  <si>
    <t xml:space="preserve">Části a součásti reproduktorů.</t>
  </si>
  <si>
    <t xml:space="preserve">3926909790</t>
  </si>
  <si>
    <t xml:space="preserve">Plastové těsnění (gasket) – ostatní výrobky z plastů; Plastový kalibr (gauge) – montážní přípravek, ostatní výrobky z plastů</t>
  </si>
  <si>
    <t xml:space="preserve">Ostatní výrobky z plastů.</t>
  </si>
  <si>
    <t xml:space="preserve">3921909090</t>
  </si>
  <si>
    <t xml:space="preserve">Plastová membrána (vodotěsná membrána) – ochranná membrána reproduktoru</t>
  </si>
  <si>
    <t xml:space="preserve">Ostatní desky, listy, fólie a pásy z plastů.</t>
  </si>
  <si>
    <t xml:space="preserve">7409390000</t>
  </si>
  <si>
    <t xml:space="preserve">Kontakt / vývod (terminal) – z mědi</t>
  </si>
  <si>
    <t xml:space="preserve">Desky/pásy ze slitin mědi – kap. 74 není v příloze I CBAM.</t>
  </si>
  <si>
    <t xml:space="preserve">7318159519</t>
  </si>
  <si>
    <t xml:space="preserve">Matice / vložka (nut, insert) – závitové zboží ze železa nebo oceli</t>
  </si>
  <si>
    <t xml:space="preserve">ANO</t>
  </si>
  <si>
    <t xml:space="preserve">Spojovací materiál ze železa/oceli, původ ČÍNA – viz list Poznámky.</t>
  </si>
  <si>
    <t xml:space="preserve">7413000090</t>
  </si>
  <si>
    <t xml:space="preserve">Kabelový svazek – splétané lanko, slitina měď (78 %) a cín, neizolované</t>
  </si>
  <si>
    <t xml:space="preserve">Splétaná lanka z mědi, neizolovaná.</t>
  </si>
  <si>
    <t xml:space="preserve">Mezisoučet – Suzhou Sonavox International Trading Co., Ltd</t>
  </si>
  <si>
    <t xml:space="preserve">Suzhou Sonavox Electronics Co., Ltd</t>
  </si>
  <si>
    <t xml:space="preserve">CZ20260725-1</t>
  </si>
  <si>
    <t xml:space="preserve">Magnetický obvod (ceramics circle) – feritové jádro (nezmagnetované), součást autoreproduktoru</t>
  </si>
  <si>
    <t xml:space="preserve">8518210000</t>
  </si>
  <si>
    <t xml:space="preserve">Reproduktor (autoreproduktor), jediný v jedné skříni</t>
  </si>
  <si>
    <t xml:space="preserve">Kompletní autoreproduktor, jediný v jedné skříni.</t>
  </si>
  <si>
    <t xml:space="preserve">Mezisoučet – Suzhou Sonavox Electronics Co., Ltd</t>
  </si>
  <si>
    <t xml:space="preserve">Suzhou Yanlong Electronic Product Co., Ltd</t>
  </si>
  <si>
    <t xml:space="preserve">CZ20260725-2</t>
  </si>
  <si>
    <t xml:space="preserve">Membrána s vlnkou (cone) – membrána elektrodynamického reproduktoru</t>
  </si>
  <si>
    <t xml:space="preserve">Mezisoučet – Suzhou Yanlong Electronic Product Co., Ltd</t>
  </si>
  <si>
    <t xml:space="preserve">CELKEM ZÁSILKA / TOTAL SHIPMENT</t>
  </si>
  <si>
    <t xml:space="preserve">Kontrola / cross-check</t>
  </si>
  <si>
    <t xml:space="preserve">Ze souhrnu</t>
  </si>
  <si>
    <t xml:space="preserve">Z dokladů</t>
  </si>
  <si>
    <t xml:space="preserve">Rozdíl</t>
  </si>
  <si>
    <t xml:space="preserve">Množství celkem vs. součet faktur</t>
  </si>
  <si>
    <t xml:space="preserve">Čistá hmotnost celkem (kg)</t>
  </si>
  <si>
    <t xml:space="preserve">Hrubá hmotnost celkem (kg) vs. FCR/SMGS 24 133 kg</t>
  </si>
  <si>
    <t xml:space="preserve">Celní hodnota celkem (EUR) vs. součet faktur</t>
  </si>
  <si>
    <t xml:space="preserve">Sender</t>
  </si>
  <si>
    <t xml:space="preserve">Invoice No.</t>
  </si>
  <si>
    <t xml:space="preserve">Item</t>
  </si>
  <si>
    <t xml:space="preserve">Part Number</t>
  </si>
  <si>
    <t xml:space="preserve">Description of Goods (EN)</t>
  </si>
  <si>
    <t xml:space="preserve">HS code</t>
  </si>
  <si>
    <t xml:space="preserve">Quantity (pcs)</t>
  </si>
  <si>
    <t xml:space="preserve">Net weight (kg)</t>
  </si>
  <si>
    <t xml:space="preserve">Gross weight (kg)</t>
  </si>
  <si>
    <t xml:space="preserve">Customs value (EUR)</t>
  </si>
  <si>
    <t xml:space="preserve">010-KD1622S-3.8A-CZ</t>
  </si>
  <si>
    <t xml:space="preserve">Voice coil</t>
  </si>
  <si>
    <t xml:space="preserve">040-62E4-CR-CZ</t>
  </si>
  <si>
    <t xml:space="preserve">Front plate</t>
  </si>
  <si>
    <t xml:space="preserve">040-80I6-CRB-CZ</t>
  </si>
  <si>
    <t xml:space="preserve">040-54D3-CR-1-CZ</t>
  </si>
  <si>
    <t xml:space="preserve">021-100F00-9-CZ</t>
  </si>
  <si>
    <t xml:space="preserve">Spider</t>
  </si>
  <si>
    <t xml:space="preserve">Středící membrána (spider) – naimpregnovaná textilie, součást autoreproduktoru</t>
  </si>
  <si>
    <t xml:space="preserve">021-80E15-3-CZ</t>
  </si>
  <si>
    <t xml:space="preserve">140-35D14-44XP1-CZ</t>
  </si>
  <si>
    <t xml:space="preserve">Cone</t>
  </si>
  <si>
    <t xml:space="preserve">142-630H10-15H-CZ</t>
  </si>
  <si>
    <t xml:space="preserve">Gasket</t>
  </si>
  <si>
    <t xml:space="preserve">Plastové těsnění (gasket) – ostatní výrobky z plastů</t>
  </si>
  <si>
    <t xml:space="preserve">142-40X25-25D-CZ</t>
  </si>
  <si>
    <t xml:space="preserve">JK-65425-01</t>
  </si>
  <si>
    <t xml:space="preserve">Gauge</t>
  </si>
  <si>
    <t xml:space="preserve">Plastový kalibr (gauge) – montážní přípravek, ostatní výrobky z plastů</t>
  </si>
  <si>
    <t xml:space="preserve">JK-35113-01-CZ</t>
  </si>
  <si>
    <t xml:space="preserve">J2-10X002-0001-CZ</t>
  </si>
  <si>
    <t xml:space="preserve">Waterproof membrane</t>
  </si>
  <si>
    <t xml:space="preserve">181-35113-1SN-CZ</t>
  </si>
  <si>
    <t xml:space="preserve">Terminal</t>
  </si>
  <si>
    <t xml:space="preserve">181-35113-2SN-CZ</t>
  </si>
  <si>
    <t xml:space="preserve">181-40133-1SN-CZ</t>
  </si>
  <si>
    <t xml:space="preserve">181-40133-2SN-CZ</t>
  </si>
  <si>
    <t xml:space="preserve">029-2513-AL-CZ</t>
  </si>
  <si>
    <t xml:space="preserve">Nut</t>
  </si>
  <si>
    <t xml:space="preserve">029A-000004-CZ</t>
  </si>
  <si>
    <t xml:space="preserve">Spring nut</t>
  </si>
  <si>
    <t xml:space="preserve">008-XH-2Y-DK-6-CZ</t>
  </si>
  <si>
    <t xml:space="preserve">Harness</t>
  </si>
  <si>
    <t xml:space="preserve">212-8075-CZ</t>
  </si>
  <si>
    <t xml:space="preserve">Ceramics circle</t>
  </si>
  <si>
    <t xml:space="preserve">IM-50196-AUDICZ</t>
  </si>
  <si>
    <t xml:space="preserve">Car Speaker</t>
  </si>
  <si>
    <t xml:space="preserve">140-80I27-42X-CZ</t>
  </si>
  <si>
    <t xml:space="preserve">140-80E30-58X-CZ</t>
  </si>
  <si>
    <t xml:space="preserve">140-40E17-72XC-CZ</t>
  </si>
  <si>
    <t xml:space="preserve">CELKEM / TOTAL</t>
  </si>
  <si>
    <t xml:space="preserve">POZNÁMKY, UPOZORNĚNÍ A NESROVNALOSTI</t>
  </si>
  <si>
    <t xml:space="preserve">Priorita</t>
  </si>
  <si>
    <t xml:space="preserve">Téma</t>
  </si>
  <si>
    <t xml:space="preserve">Popis</t>
  </si>
  <si>
    <t xml:space="preserve">KRITICKÉ</t>
  </si>
  <si>
    <t xml:space="preserve">Preferenční věta / preferenční původ (COO)</t>
  </si>
  <si>
    <t xml:space="preserve">V žádném z dodaných dokladů (3× faktura, 3× packing list, FCR TECGO26080029, nákladní list SMGS 38055706) NENÍ uvedena preferenční věta o původu zboží. Původ zboží = ČÍNA. EU nemá s Čínou dohodu o preferenčním obchodu, preferenční sazební zacházení tedy NELZE uplatnit a při proclení se použije plná celní sazba třetí země (erga omnes). Doporučení: nevyžadovat od dodavatele preferenční prohlášení, ale potvrdit hodnotu a sazby v TARIC před podáním celního prohlášení.</t>
  </si>
  <si>
    <t xml:space="preserve">Incoterm – chybí místo/přístav a termín neodpovídá druhu přepravy</t>
  </si>
  <si>
    <t xml:space="preserve">Všechny tři faktury i packing listy uvádějí pouze „Terms of Payment: FOB“ – BEZ uvedení přístavu / jmenovaného místa. Dvojí problém: (1) dle standardu musí být vždy uveden termín i město (např. FCA Suzhou); (2) FOB je dle Incoterms 2020 určen výhradně pro námořní a vnitrozemskou vodní přepravu, ale tato zásilka jde ŽELEZNICÍ (Zhengzhou/Putian → Malaszewicze → CZ). Pro železniční přepravu je správný termín FCA s uvedeným místem. Nutno vyžádat od odesílatele opravu / doplnění, jinak nelze spolehlivě určit, zda je do celní hodnoty nutno připočíst dopravné do hranice EU.</t>
  </si>
  <si>
    <t xml:space="preserve">Antidumping – spojovací materiál ze železa/oceli (HS 7318), původ Čína</t>
  </si>
  <si>
    <t xml:space="preserve">Položky 14 (Nut, 029-2513-AL-CZ) a 15 (Spring nut, 029A-000004-CZ) od odesílatele Suzhou Sonavox International Trading, zařazené pod 7318 15 95, spadají do rozsahu platných antidumpingových opatření EU na spojovací prostředky ze železa nebo oceli pocházející z ČLR (nař. (EU) 2022/191 ve znění pozdějších předpisů, včetně opatření proti obcházení). Celní hodnota těchto položek: 13 140,00 EUR. Nutno ověřit doplňkový kód TARIC podle konkrétního čínského výrobce – sazba se dle výrobce významně liší.</t>
  </si>
  <si>
    <t xml:space="preserve">CBAM – spojovací materiál ze železa/oceli (HS 7318)</t>
  </si>
  <si>
    <t xml:space="preserve">Tytéž položky pod kódem 7318 15 95 spadají do přílohy I nařízení CBAM (železo a ocel). Celkem 210 000 ks, čistá hmotnost 312,30 kg. Nutno zahrnout do čtvrtletního CBAM hlášení (vykazuje se čistá hmotnost a zabudované emise). Ostatní položky zásilky (kap. 35, 39, 74, 85) do CBAM nespadají.</t>
  </si>
  <si>
    <t xml:space="preserve">K OVĚŘENÍ</t>
  </si>
  <si>
    <t xml:space="preserve">Nesoulad: „Nut 029-2513-AL-CZ“ – ocel nebo hliník?</t>
  </si>
  <si>
    <t xml:space="preserve">Označení dílu obsahuje „-AL-“, což naznačuje HLINÍK, avšak podklad SONAVOX (e-mail „SONAVOX HS KODY“) přiřazuje „Insert (nut)“ kód 7318 15 95 19 (železo/ocel). Hliníková matice by patřila pod 7616 10 00. Zařazení má přímý dopad: 7318 = antidumping ANO + CBAM ANO; 7616 = antidumping NE + CBAM ANO. V souhrnu je konzervativně použito 7318 15 95 19. NUTNO POTVRDIT MATERIÁL U DODAVATELE.</t>
  </si>
  <si>
    <t xml:space="preserve">Nekonzistentní 10místné přípony u 8518 90 00 v podkladu SONAVOX</t>
  </si>
  <si>
    <t xml:space="preserve">Referenční tabulka HS kódů od Sonavoxu používá pro části reproduktorů souběžně 8518 9000 00, 8518 9000 40, 8518 9000 90 i 8518 9000 99. Na úrovni KN8 jde vždy o 8518 90 00. V souhrnu je zachováno rozlišení dle podkladu (Front plate = ...90, ostatní části = ...00), ale platnou národní/TARIC příponu je nutno ověřit v TARIC CZ – při proclení musí být použit jeden platný 10místný kód.</t>
  </si>
  <si>
    <t xml:space="preserve">Waterproof membrane – kód přiřazen odvozením</t>
  </si>
  <si>
    <t xml:space="preserve">Položka 9 (J2-10X002-0001-CZ, Waterproof membrane, 210 000 ks, 8 820,00 EUR) není v referenční tabulce SONAVOX uvedena pod tímto názvem. Byl použit kód 3921 90 90 90 podle nejbližší položky „Protective membrane plast / Plastová membrána“. Doporučeno potvrdit u dodavatele.</t>
  </si>
  <si>
    <t xml:space="preserve">Terminal – kód přiřazen odvozením</t>
  </si>
  <si>
    <t xml:space="preserve">Položky 10–13 (Terminal, celkem 600 000 ks, 9 380,00 EUR) byly zařazeny pod 7409 39 00 podle položky „Pin, lug / kontakt“ z tabulky SONAVOX. Pokud jsou terminály pocínované/potažené nebo tvarované lisováním, může přicházet v úvahu jiné zařazení (např. 8536 90). Doporučeno potvrdit.</t>
  </si>
  <si>
    <t xml:space="preserve">NESROVNALOST</t>
  </si>
  <si>
    <t xml:space="preserve">FCR uvádí jen jednoho odesílatele, zásilka je však od tří prodávajících</t>
  </si>
  <si>
    <t xml:space="preserve">FCR TECGO26080029 uvádí jako shipper pouze SUZHOU SONAVOX ELECTRONICS CO., LTD. Zboží v kontejneru však pochází od TŘÍ různých prodávajících (Suzhou Sonavox International Trading, Suzhou Sonavox Electronics, Suzhou Yanlong Electronic Product) dle tří samostatných faktur. Celní prohlášení musí být členěno dle jednotlivých odesílatelů – proto je souhrn zpracován primárně dle odesílatele.</t>
  </si>
  <si>
    <t xml:space="preserve">Popis zboží ve FCR neuvádí všechny položky</t>
  </si>
  <si>
    <t xml:space="preserve">FCR vyjmenovává: Speaker component, Speaker, Voice coil, Front plate, Gasket, Waterproof membrane, Terminal, Nut, Spring nut, Harness, Gauge, Cone. CHYBÍ zde SPIDER (středící membrána, 77 600 ks) a CERAMICS CIRCLE (magnetický obvod, 19 152 ks) – zřejmě jsou zahrnuty pod obecné „Speaker component“, ale doporučeno upozornit dopravce.</t>
  </si>
  <si>
    <t xml:space="preserve">Nákladní list SMGS deklaruje celý kontejner pod jedním kódem 8518 90</t>
  </si>
  <si>
    <t xml:space="preserve">SMGS 38055706 uvádí HS 851890 / 85189000 „Speaker component“ (+ HS 99020000 sběrné zboží) pro celý kontejner. Skutečné zboží však spadá do kapitol 35, 39, 73, 74 a 85. Jde o zjednodušení přepravního dokladu, které nemá vliv na celní zařazení, ale může vyvolat dotaz celního úřadu – vhodné mít připravené rozúčtování dle faktur.</t>
  </si>
  <si>
    <t xml:space="preserve">Rozdílná čísla bankovních účtů mezi packing listem a fakturou (CZ20260725)</t>
  </si>
  <si>
    <t xml:space="preserve">U dokladu CZ20260725 (Suzhou Sonavox International Trading) uvádí packing list účet EUR 500158216108, zatímco faktura uvádí EUR 468960663282. Nemá vliv na celní řízení, ale před úhradou doporučeno ověřit správné číslo účtu přímo u dodavatele (riziko podvodné změny platebních údajů).</t>
  </si>
  <si>
    <t xml:space="preserve">ETD/ETA neodpovídá datu vypravení</t>
  </si>
  <si>
    <t xml:space="preserve">Packing list CZ20260725-2 (Yanlong) uvádí ETD 29.07.2026 / ETA 29.08.2026; FCR byl však vystaven 04.08.2026 a vlak má č. V.WB2026/08/05 (05.08.2026). U zbylých dvou sad dokladů jsou ETD/ETA prázdné. Doporučeno sjednotit.</t>
  </si>
  <si>
    <t xml:space="preserve">OK</t>
  </si>
  <si>
    <t xml:space="preserve">Kontrolní součty souhlasí</t>
  </si>
  <si>
    <t xml:space="preserve">Hrubá hmotnost 9 950,74 + 12 907,84 + 1 274,42 = 24 133,00 kg = FCR (24 133 KGS) i SMGS (24 133 kg). Kolí 12 + 23 + 16 = 51 palet = FCR (51 PLTS) i SMGS (51). Objem 15,24 + 16,64 + 19,52 = 51,40 CBM = FCR (51,4 CBM). Množství i celní hodnota souhlasí s fakturami.</t>
  </si>
  <si>
    <t xml:space="preserve">Sleva / rabat</t>
  </si>
  <si>
    <t xml:space="preserve">V žádné z faktur není uvedena obchodní sleva ani rabat; součet položek = Sub Total. Poměrné rozpuštění slevy do celní hodnoty se tedy neuplatňuje.</t>
  </si>
  <si>
    <t xml:space="preserve">INFO</t>
  </si>
  <si>
    <t xml:space="preserve">Dopravné / celní hodnota</t>
  </si>
  <si>
    <t xml:space="preserve">FCR uvádí FREIGHT COLLECT (dopravné hradí příjemce) a fakturační podmínka je FOB. Do celní hodnoty je proto nutno připočíst náklady dopravy a pojištění do místa vstupu do EU (hranice EU – Malaszewicze/PL). Podklady k dopravnému nebyly součástí dodaných dokladů.</t>
  </si>
  <si>
    <t xml:space="preserve">ZDROJOVÉ DOKLADY A PŘIŘAZENÍ HS KÓDŮ</t>
  </si>
  <si>
    <t xml:space="preserve">Doklad</t>
  </si>
  <si>
    <t xml:space="preserve">Obsah / použití</t>
  </si>
  <si>
    <t xml:space="preserve">TRCZ20260725.xlsx (listy PL, INV)</t>
  </si>
  <si>
    <t xml:space="preserve">Faktura + packing list CZ20260725 – Suzhou Sonavox International Trading Co., Ltd (19 položek)</t>
  </si>
  <si>
    <t xml:space="preserve">ELCZ202607251_...GCS.xlsx (2 soubory)</t>
  </si>
  <si>
    <t xml:space="preserve">Faktura + packing list CZ20260725-1 – Suzhou Sonavox Electronics Co., Ltd (2 položky)</t>
  </si>
  <si>
    <t xml:space="preserve">YLCZ202607252.xlsx (listy PL, INV)</t>
  </si>
  <si>
    <t xml:space="preserve">Faktura + packing list CZ20260725-2 – Suzhou Yanlong Electronic Product Co., Ltd (3 položky)</t>
  </si>
  <si>
    <t xml:space="preserve">HBL_TECGO26080029.pdf</t>
  </si>
  <si>
    <t xml:space="preserve">Forwarder's Cargo Receipt T.H.I. Group Ltd. – trasa, kontejner, brutto, kolí, objem</t>
  </si>
  <si>
    <t xml:space="preserve">CIMU1716969.pdf</t>
  </si>
  <si>
    <t xml:space="preserve">Nákladní list SMGS č. 38055706 – železniční přeprava, plomba, hmotnosti, trasa</t>
  </si>
  <si>
    <t xml:space="preserve">Re_SONAVOX_HS_KODY.eml</t>
  </si>
  <si>
    <t xml:space="preserve">Referenční tabulka HS kódů s českými popisy (Ing. Michaela Ryan, Sonavox Technology CZ) – zdroj HS kódů a českých popisů</t>
  </si>
  <si>
    <t xml:space="preserve">POZOR</t>
  </si>
  <si>
    <t xml:space="preserve">Faktury ANI packing listy neobsahují žádné HS kódy. Všechny HS kódy v tomto souhrnu jsou přiřazeny podle referenční tabulky z e-mailu „SONAVOX HS KODY“ na základě názvu dílu; položky bez přímé shody jsou označeny na listu Poznámky &amp; flagy jako „K OVĚŘENÍ“.</t>
  </si>
</sst>
</file>

<file path=xl/styles.xml><?xml version="1.0" encoding="utf-8"?>
<styleSheet xmlns="http://schemas.openxmlformats.org/spreadsheetml/2006/main">
  <numFmts count="4">
    <numFmt numFmtId="164" formatCode="General"/>
    <numFmt numFmtId="165" formatCode="@"/>
    <numFmt numFmtId="166" formatCode="#,##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sz val="10"/>
      <name val="Arial"/>
      <family val="0"/>
      <charset val="1"/>
    </font>
    <font>
      <b val="true"/>
      <sz val="10"/>
      <color rgb="FFC00000"/>
      <name val="Arial"/>
      <family val="0"/>
      <charset val="1"/>
    </font>
    <font>
      <b val="true"/>
      <sz val="10"/>
      <color rgb="FFFFFFFF"/>
      <name val="Arial"/>
      <family val="0"/>
      <charset val="1"/>
    </font>
  </fonts>
  <fills count="7">
    <fill>
      <patternFill patternType="none"/>
    </fill>
    <fill>
      <patternFill patternType="gray125"/>
    </fill>
    <fill>
      <patternFill patternType="solid">
        <fgColor rgb="FFFFF2CC"/>
        <bgColor rgb="FFFCE4E4"/>
      </patternFill>
    </fill>
    <fill>
      <patternFill patternType="solid">
        <fgColor rgb="FF1F4E79"/>
        <bgColor rgb="FF003366"/>
      </patternFill>
    </fill>
    <fill>
      <patternFill patternType="solid">
        <fgColor rgb="FFFCE4E4"/>
        <bgColor rgb="FFF2F2F2"/>
      </patternFill>
    </fill>
    <fill>
      <patternFill patternType="solid">
        <fgColor rgb="FFDDEBF7"/>
        <bgColor rgb="FFF2F2F2"/>
      </patternFill>
    </fill>
    <fill>
      <patternFill patternType="solid">
        <fgColor rgb="FFF2F2F2"/>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general" vertical="top" textRotation="0" wrapText="true" indent="0" shrinkToFit="false"/>
      <protection locked="true" hidden="false"/>
    </xf>
    <xf numFmtId="166" fontId="6" fillId="4" borderId="1" xfId="0" applyFont="true" applyBorder="true" applyAlignment="true" applyProtection="false">
      <alignment horizontal="general" vertical="top" textRotation="0" wrapText="true" indent="0" shrinkToFit="false"/>
      <protection locked="true" hidden="false"/>
    </xf>
    <xf numFmtId="167" fontId="6"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67" fontId="5" fillId="6" borderId="1"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left"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7" topLeftCell="A1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5"/>
    <col collapsed="false" customWidth="true" hidden="false" outlineLevel="0" max="3" min="3" style="0" width="13"/>
    <col collapsed="false" customWidth="true" hidden="false" outlineLevel="0" max="4" min="4" style="0" width="58"/>
    <col collapsed="false" customWidth="true" hidden="false" outlineLevel="0" max="5" min="5" style="0" width="13"/>
    <col collapsed="false" customWidth="true" hidden="false" outlineLevel="0" max="7" min="6" style="0" width="15"/>
    <col collapsed="false" customWidth="true" hidden="false" outlineLevel="0" max="8" min="8" style="0" width="16"/>
    <col collapsed="false" customWidth="true" hidden="false" outlineLevel="0" max="9" min="9" style="0" width="34"/>
    <col collapsed="false" customWidth="true" hidden="false" outlineLevel="0" max="10" min="10" style="0" width="9"/>
    <col collapsed="false" customWidth="true" hidden="false" outlineLevel="0" max="11" min="11" style="0" width="12"/>
    <col collapsed="false" customWidth="true" hidden="false" outlineLevel="0" max="12" min="12" style="0" width="55"/>
  </cols>
  <sheetData>
    <row r="1" customFormat="false" ht="16.1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t="s">
        <v>11</v>
      </c>
      <c r="B8" s="3" t="s">
        <v>12</v>
      </c>
    </row>
    <row r="9" customFormat="false" ht="15" hidden="false" customHeight="false" outlineLevel="0" collapsed="false">
      <c r="A9" s="2" t="s">
        <v>13</v>
      </c>
      <c r="B9" s="3" t="s">
        <v>14</v>
      </c>
    </row>
    <row r="10" customFormat="false" ht="15" hidden="false" customHeight="false" outlineLevel="0" collapsed="false">
      <c r="A10" s="2" t="s">
        <v>15</v>
      </c>
      <c r="B10" s="3" t="s">
        <v>16</v>
      </c>
    </row>
    <row r="11" customFormat="false" ht="15" hidden="false" customHeight="false" outlineLevel="0" collapsed="false">
      <c r="A11" s="2" t="s">
        <v>17</v>
      </c>
      <c r="B11" s="3" t="s">
        <v>18</v>
      </c>
    </row>
    <row r="12" customFormat="false" ht="15" hidden="false" customHeight="false" outlineLevel="0" collapsed="false">
      <c r="A12" s="2" t="s">
        <v>19</v>
      </c>
      <c r="B12" s="3" t="s">
        <v>20</v>
      </c>
    </row>
    <row r="13" customFormat="false" ht="15" hidden="false" customHeight="false" outlineLevel="0" collapsed="false">
      <c r="A13" s="4" t="s">
        <v>21</v>
      </c>
      <c r="B13" s="5" t="s">
        <v>22</v>
      </c>
    </row>
    <row r="14" customFormat="false" ht="15" hidden="false" customHeight="false" outlineLevel="0" collapsed="false">
      <c r="A14" s="4" t="s">
        <v>23</v>
      </c>
      <c r="B14" s="5" t="s">
        <v>24</v>
      </c>
    </row>
    <row r="15" customFormat="false" ht="15" hidden="false" customHeight="false" outlineLevel="0" collapsed="false">
      <c r="A15" s="2" t="s">
        <v>25</v>
      </c>
      <c r="B15" s="3" t="s">
        <v>26</v>
      </c>
    </row>
    <row r="17" customFormat="false" ht="31.5" hidden="false" customHeight="true" outlineLevel="0" collapsed="false">
      <c r="A17" s="6" t="s">
        <v>27</v>
      </c>
      <c r="B17" s="6" t="s">
        <v>28</v>
      </c>
      <c r="C17" s="6" t="s">
        <v>29</v>
      </c>
      <c r="D17" s="6" t="s">
        <v>30</v>
      </c>
      <c r="E17" s="6" t="s">
        <v>31</v>
      </c>
      <c r="F17" s="6" t="s">
        <v>32</v>
      </c>
      <c r="G17" s="6" t="s">
        <v>33</v>
      </c>
      <c r="H17" s="6" t="s">
        <v>34</v>
      </c>
      <c r="I17" s="6" t="s">
        <v>35</v>
      </c>
      <c r="J17" s="6" t="s">
        <v>36</v>
      </c>
      <c r="K17" s="6" t="s">
        <v>37</v>
      </c>
      <c r="L17" s="6" t="s">
        <v>38</v>
      </c>
    </row>
    <row r="18" customFormat="false" ht="23.85" hidden="false" customHeight="false" outlineLevel="0" collapsed="false">
      <c r="A18" s="7" t="s">
        <v>39</v>
      </c>
      <c r="B18" s="7" t="s">
        <v>40</v>
      </c>
      <c r="C18" s="8" t="s">
        <v>41</v>
      </c>
      <c r="D18" s="7" t="s">
        <v>42</v>
      </c>
      <c r="E18" s="9" t="n">
        <f aca="false">SUMIFS('Line items'!H$2:H$25,'Line items'!$A$2:$A$25,$A18,'Line items'!$F$2:$F$25,$C18)</f>
        <v>65000</v>
      </c>
      <c r="F18" s="10" t="n">
        <f aca="false">SUMIFS('Line items'!I$2:I$25,'Line items'!$A$2:$A$25,$A18,'Line items'!$F$2:$F$25,$C18)</f>
        <v>86.5</v>
      </c>
      <c r="G18" s="10" t="n">
        <f aca="false">SUMIFS('Line items'!J$2:J$25,'Line items'!$A$2:$A$25,$A18,'Line items'!$F$2:$F$25,$C18)</f>
        <v>216.33</v>
      </c>
      <c r="H18" s="10" t="n">
        <f aca="false">SUMIFS('Line items'!K$2:K$25,'Line items'!$A$2:$A$25,$A18,'Line items'!$F$2:$F$25,$C18)</f>
        <v>9841</v>
      </c>
      <c r="I18" s="7" t="s">
        <v>22</v>
      </c>
      <c r="J18" s="7" t="s">
        <v>43</v>
      </c>
      <c r="K18" s="7" t="s">
        <v>43</v>
      </c>
      <c r="L18" s="7" t="s">
        <v>44</v>
      </c>
    </row>
    <row r="19" customFormat="false" ht="23.85" hidden="false" customHeight="false" outlineLevel="0" collapsed="false">
      <c r="A19" s="7" t="s">
        <v>39</v>
      </c>
      <c r="B19" s="7" t="s">
        <v>40</v>
      </c>
      <c r="C19" s="8" t="s">
        <v>45</v>
      </c>
      <c r="D19" s="7" t="s">
        <v>46</v>
      </c>
      <c r="E19" s="9" t="n">
        <f aca="false">SUMIFS('Line items'!H$2:H$25,'Line items'!$A$2:$A$25,$A19,'Line items'!$F$2:$F$25,$C19)</f>
        <v>92400</v>
      </c>
      <c r="F19" s="10" t="n">
        <f aca="false">SUMIFS('Line items'!I$2:I$25,'Line items'!$A$2:$A$25,$A19,'Line items'!$F$2:$F$25,$C19)</f>
        <v>8460.5</v>
      </c>
      <c r="G19" s="10" t="n">
        <f aca="false">SUMIFS('Line items'!J$2:J$25,'Line items'!$A$2:$A$25,$A19,'Line items'!$F$2:$F$25,$C19)</f>
        <v>8600.91</v>
      </c>
      <c r="H19" s="10" t="n">
        <f aca="false">SUMIFS('Line items'!K$2:K$25,'Line items'!$A$2:$A$25,$A19,'Line items'!$F$2:$F$25,$C19)</f>
        <v>12384.46</v>
      </c>
      <c r="I19" s="7" t="s">
        <v>22</v>
      </c>
      <c r="J19" s="7" t="s">
        <v>43</v>
      </c>
      <c r="K19" s="7" t="s">
        <v>43</v>
      </c>
      <c r="L19" s="7" t="s">
        <v>47</v>
      </c>
    </row>
    <row r="20" customFormat="false" ht="23.85" hidden="false" customHeight="false" outlineLevel="0" collapsed="false">
      <c r="A20" s="7" t="s">
        <v>39</v>
      </c>
      <c r="B20" s="7" t="s">
        <v>40</v>
      </c>
      <c r="C20" s="8" t="s">
        <v>48</v>
      </c>
      <c r="D20" s="7" t="s">
        <v>49</v>
      </c>
      <c r="E20" s="9" t="n">
        <f aca="false">SUMIFS('Line items'!H$2:H$25,'Line items'!$A$2:$A$25,$A20,'Line items'!$F$2:$F$25,$C20)</f>
        <v>85600</v>
      </c>
      <c r="F20" s="10" t="n">
        <f aca="false">SUMIFS('Line items'!I$2:I$25,'Line items'!$A$2:$A$25,$A20,'Line items'!$F$2:$F$25,$C20)</f>
        <v>45.9</v>
      </c>
      <c r="G20" s="10" t="n">
        <f aca="false">SUMIFS('Line items'!J$2:J$25,'Line items'!$A$2:$A$25,$A20,'Line items'!$F$2:$F$25,$C20)</f>
        <v>60</v>
      </c>
      <c r="H20" s="10" t="n">
        <f aca="false">SUMIFS('Line items'!K$2:K$25,'Line items'!$A$2:$A$25,$A20,'Line items'!$F$2:$F$25,$C20)</f>
        <v>10417.68</v>
      </c>
      <c r="I20" s="7" t="s">
        <v>22</v>
      </c>
      <c r="J20" s="7" t="s">
        <v>43</v>
      </c>
      <c r="K20" s="7" t="s">
        <v>43</v>
      </c>
      <c r="L20" s="7" t="s">
        <v>50</v>
      </c>
    </row>
    <row r="21" customFormat="false" ht="23.85" hidden="false" customHeight="false" outlineLevel="0" collapsed="false">
      <c r="A21" s="7" t="s">
        <v>39</v>
      </c>
      <c r="B21" s="7" t="s">
        <v>40</v>
      </c>
      <c r="C21" s="8" t="s">
        <v>51</v>
      </c>
      <c r="D21" s="7" t="s">
        <v>52</v>
      </c>
      <c r="E21" s="9" t="n">
        <f aca="false">SUMIFS('Line items'!H$2:H$25,'Line items'!$A$2:$A$25,$A21,'Line items'!$F$2:$F$25,$C21)</f>
        <v>9960</v>
      </c>
      <c r="F21" s="10" t="n">
        <f aca="false">SUMIFS('Line items'!I$2:I$25,'Line items'!$A$2:$A$25,$A21,'Line items'!$F$2:$F$25,$C21)</f>
        <v>103.09</v>
      </c>
      <c r="G21" s="10" t="n">
        <f aca="false">SUMIFS('Line items'!J$2:J$25,'Line items'!$A$2:$A$25,$A21,'Line items'!$F$2:$F$25,$C21)</f>
        <v>128</v>
      </c>
      <c r="H21" s="10" t="n">
        <f aca="false">SUMIFS('Line items'!K$2:K$25,'Line items'!$A$2:$A$25,$A21,'Line items'!$F$2:$F$25,$C21)</f>
        <v>1378.1</v>
      </c>
      <c r="I21" s="7" t="s">
        <v>22</v>
      </c>
      <c r="J21" s="7" t="s">
        <v>43</v>
      </c>
      <c r="K21" s="7" t="s">
        <v>43</v>
      </c>
      <c r="L21" s="7" t="s">
        <v>53</v>
      </c>
    </row>
    <row r="22" customFormat="false" ht="23.85" hidden="false" customHeight="false" outlineLevel="0" collapsed="false">
      <c r="A22" s="7" t="s">
        <v>39</v>
      </c>
      <c r="B22" s="7" t="s">
        <v>40</v>
      </c>
      <c r="C22" s="8" t="s">
        <v>54</v>
      </c>
      <c r="D22" s="7" t="s">
        <v>55</v>
      </c>
      <c r="E22" s="9" t="n">
        <f aca="false">SUMIFS('Line items'!H$2:H$25,'Line items'!$A$2:$A$25,$A22,'Line items'!$F$2:$F$25,$C22)</f>
        <v>210000</v>
      </c>
      <c r="F22" s="10" t="n">
        <f aca="false">SUMIFS('Line items'!I$2:I$25,'Line items'!$A$2:$A$25,$A22,'Line items'!$F$2:$F$25,$C22)</f>
        <v>30.24</v>
      </c>
      <c r="G22" s="10" t="n">
        <f aca="false">SUMIFS('Line items'!J$2:J$25,'Line items'!$A$2:$A$25,$A22,'Line items'!$F$2:$F$25,$C22)</f>
        <v>40</v>
      </c>
      <c r="H22" s="10" t="n">
        <f aca="false">SUMIFS('Line items'!K$2:K$25,'Line items'!$A$2:$A$25,$A22,'Line items'!$F$2:$F$25,$C22)</f>
        <v>8820</v>
      </c>
      <c r="I22" s="7" t="s">
        <v>22</v>
      </c>
      <c r="J22" s="7" t="s">
        <v>43</v>
      </c>
      <c r="K22" s="7" t="s">
        <v>43</v>
      </c>
      <c r="L22" s="7" t="s">
        <v>56</v>
      </c>
    </row>
    <row r="23" customFormat="false" ht="23.85" hidden="false" customHeight="false" outlineLevel="0" collapsed="false">
      <c r="A23" s="7" t="s">
        <v>39</v>
      </c>
      <c r="B23" s="7" t="s">
        <v>40</v>
      </c>
      <c r="C23" s="8" t="s">
        <v>57</v>
      </c>
      <c r="D23" s="7" t="s">
        <v>58</v>
      </c>
      <c r="E23" s="9" t="n">
        <f aca="false">SUMIFS('Line items'!H$2:H$25,'Line items'!$A$2:$A$25,$A23,'Line items'!$F$2:$F$25,$C23)</f>
        <v>600000</v>
      </c>
      <c r="F23" s="10" t="n">
        <f aca="false">SUMIFS('Line items'!I$2:I$25,'Line items'!$A$2:$A$25,$A23,'Line items'!$F$2:$F$25,$C23)</f>
        <v>300</v>
      </c>
      <c r="G23" s="10" t="n">
        <f aca="false">SUMIFS('Line items'!J$2:J$25,'Line items'!$A$2:$A$25,$A23,'Line items'!$F$2:$F$25,$C23)</f>
        <v>330</v>
      </c>
      <c r="H23" s="10" t="n">
        <f aca="false">SUMIFS('Line items'!K$2:K$25,'Line items'!$A$2:$A$25,$A23,'Line items'!$F$2:$F$25,$C23)</f>
        <v>9380</v>
      </c>
      <c r="I23" s="7" t="s">
        <v>22</v>
      </c>
      <c r="J23" s="7" t="s">
        <v>43</v>
      </c>
      <c r="K23" s="7" t="s">
        <v>43</v>
      </c>
      <c r="L23" s="7" t="s">
        <v>59</v>
      </c>
    </row>
    <row r="24" customFormat="false" ht="23.85" hidden="false" customHeight="false" outlineLevel="0" collapsed="false">
      <c r="A24" s="11" t="s">
        <v>39</v>
      </c>
      <c r="B24" s="11" t="s">
        <v>40</v>
      </c>
      <c r="C24" s="12" t="s">
        <v>60</v>
      </c>
      <c r="D24" s="11" t="s">
        <v>61</v>
      </c>
      <c r="E24" s="13" t="n">
        <f aca="false">SUMIFS('Line items'!H$2:H$25,'Line items'!$A$2:$A$25,$A24,'Line items'!$F$2:$F$25,$C24)</f>
        <v>210000</v>
      </c>
      <c r="F24" s="14" t="n">
        <f aca="false">SUMIFS('Line items'!I$2:I$25,'Line items'!$A$2:$A$25,$A24,'Line items'!$F$2:$F$25,$C24)</f>
        <v>312.3</v>
      </c>
      <c r="G24" s="14" t="n">
        <f aca="false">SUMIFS('Line items'!J$2:J$25,'Line items'!$A$2:$A$25,$A24,'Line items'!$F$2:$F$25,$C24)</f>
        <v>325.5</v>
      </c>
      <c r="H24" s="14" t="n">
        <f aca="false">SUMIFS('Line items'!K$2:K$25,'Line items'!$A$2:$A$25,$A24,'Line items'!$F$2:$F$25,$C24)</f>
        <v>13140</v>
      </c>
      <c r="I24" s="11" t="s">
        <v>22</v>
      </c>
      <c r="J24" s="15" t="s">
        <v>62</v>
      </c>
      <c r="K24" s="15" t="s">
        <v>62</v>
      </c>
      <c r="L24" s="11" t="s">
        <v>63</v>
      </c>
    </row>
    <row r="25" customFormat="false" ht="23.85" hidden="false" customHeight="false" outlineLevel="0" collapsed="false">
      <c r="A25" s="7" t="s">
        <v>39</v>
      </c>
      <c r="B25" s="7" t="s">
        <v>40</v>
      </c>
      <c r="C25" s="8" t="s">
        <v>64</v>
      </c>
      <c r="D25" s="7" t="s">
        <v>65</v>
      </c>
      <c r="E25" s="9" t="n">
        <f aca="false">SUMIFS('Line items'!H$2:H$25,'Line items'!$A$2:$A$25,$A25,'Line items'!$F$2:$F$25,$C25)</f>
        <v>51200</v>
      </c>
      <c r="F25" s="10" t="n">
        <f aca="false">SUMIFS('Line items'!I$2:I$25,'Line items'!$A$2:$A$25,$A25,'Line items'!$F$2:$F$25,$C25)</f>
        <v>235.52</v>
      </c>
      <c r="G25" s="10" t="n">
        <f aca="false">SUMIFS('Line items'!J$2:J$25,'Line items'!$A$2:$A$25,$A25,'Line items'!$F$2:$F$25,$C25)</f>
        <v>250</v>
      </c>
      <c r="H25" s="10" t="n">
        <f aca="false">SUMIFS('Line items'!K$2:K$25,'Line items'!$A$2:$A$25,$A25,'Line items'!$F$2:$F$25,$C25)</f>
        <v>8120.32</v>
      </c>
      <c r="I25" s="7" t="s">
        <v>22</v>
      </c>
      <c r="J25" s="7" t="s">
        <v>43</v>
      </c>
      <c r="K25" s="7" t="s">
        <v>43</v>
      </c>
      <c r="L25" s="7" t="s">
        <v>66</v>
      </c>
    </row>
    <row r="26" customFormat="false" ht="15" hidden="false" customHeight="false" outlineLevel="0" collapsed="false">
      <c r="A26" s="16"/>
      <c r="B26" s="16"/>
      <c r="C26" s="16"/>
      <c r="D26" s="17" t="s">
        <v>67</v>
      </c>
      <c r="E26" s="18" t="n">
        <f aca="false">SUM(E18:E25)</f>
        <v>1324160</v>
      </c>
      <c r="F26" s="19" t="n">
        <f aca="false">SUM(F18:F25)</f>
        <v>9574.05</v>
      </c>
      <c r="G26" s="19" t="n">
        <f aca="false">SUM(G18:G25)</f>
        <v>9950.74</v>
      </c>
      <c r="H26" s="19" t="n">
        <f aca="false">SUM(H18:H25)</f>
        <v>73481.56</v>
      </c>
      <c r="I26" s="16"/>
      <c r="J26" s="16"/>
      <c r="K26" s="16"/>
      <c r="L26" s="16"/>
    </row>
    <row r="27" customFormat="false" ht="23.85" hidden="false" customHeight="false" outlineLevel="0" collapsed="false">
      <c r="A27" s="7" t="s">
        <v>68</v>
      </c>
      <c r="B27" s="7" t="s">
        <v>69</v>
      </c>
      <c r="C27" s="8" t="s">
        <v>48</v>
      </c>
      <c r="D27" s="7" t="s">
        <v>70</v>
      </c>
      <c r="E27" s="9" t="n">
        <f aca="false">SUMIFS('Line items'!H$2:H$25,'Line items'!$A$2:$A$25,$A27,'Line items'!$F$2:$F$25,$C27)</f>
        <v>19152</v>
      </c>
      <c r="F27" s="10" t="n">
        <f aca="false">SUMIFS('Line items'!I$2:I$25,'Line items'!$A$2:$A$25,$A27,'Line items'!$F$2:$F$25,$C27)</f>
        <v>11299.68</v>
      </c>
      <c r="G27" s="10" t="n">
        <f aca="false">SUMIFS('Line items'!J$2:J$25,'Line items'!$A$2:$A$25,$A27,'Line items'!$F$2:$F$25,$C27)</f>
        <v>11688.8</v>
      </c>
      <c r="H27" s="10" t="n">
        <f aca="false">SUMIFS('Line items'!K$2:K$25,'Line items'!$A$2:$A$25,$A27,'Line items'!$F$2:$F$25,$C27)</f>
        <v>19918.08</v>
      </c>
      <c r="I27" s="7" t="s">
        <v>22</v>
      </c>
      <c r="J27" s="7" t="s">
        <v>43</v>
      </c>
      <c r="K27" s="7" t="s">
        <v>43</v>
      </c>
      <c r="L27" s="7" t="s">
        <v>50</v>
      </c>
    </row>
    <row r="28" customFormat="false" ht="23.85" hidden="false" customHeight="false" outlineLevel="0" collapsed="false">
      <c r="A28" s="7" t="s">
        <v>68</v>
      </c>
      <c r="B28" s="7" t="s">
        <v>69</v>
      </c>
      <c r="C28" s="8" t="s">
        <v>71</v>
      </c>
      <c r="D28" s="7" t="s">
        <v>72</v>
      </c>
      <c r="E28" s="9" t="n">
        <f aca="false">SUMIFS('Line items'!H$2:H$25,'Line items'!$A$2:$A$25,$A28,'Line items'!$F$2:$F$25,$C28)</f>
        <v>2016</v>
      </c>
      <c r="F28" s="10" t="n">
        <f aca="false">SUMIFS('Line items'!I$2:I$25,'Line items'!$A$2:$A$25,$A28,'Line items'!$F$2:$F$25,$C28)</f>
        <v>1149.12</v>
      </c>
      <c r="G28" s="10" t="n">
        <f aca="false">SUMIFS('Line items'!J$2:J$25,'Line items'!$A$2:$A$25,$A28,'Line items'!$F$2:$F$25,$C28)</f>
        <v>1219.04</v>
      </c>
      <c r="H28" s="10" t="n">
        <f aca="false">SUMIFS('Line items'!K$2:K$25,'Line items'!$A$2:$A$25,$A28,'Line items'!$F$2:$F$25,$C28)</f>
        <v>5140.8</v>
      </c>
      <c r="I28" s="7" t="s">
        <v>22</v>
      </c>
      <c r="J28" s="7" t="s">
        <v>43</v>
      </c>
      <c r="K28" s="7" t="s">
        <v>43</v>
      </c>
      <c r="L28" s="7" t="s">
        <v>73</v>
      </c>
    </row>
    <row r="29" customFormat="false" ht="15" hidden="false" customHeight="false" outlineLevel="0" collapsed="false">
      <c r="A29" s="16"/>
      <c r="B29" s="16"/>
      <c r="C29" s="16"/>
      <c r="D29" s="17" t="s">
        <v>74</v>
      </c>
      <c r="E29" s="18" t="n">
        <f aca="false">SUM(E27:E28)</f>
        <v>21168</v>
      </c>
      <c r="F29" s="19" t="n">
        <f aca="false">SUM(F27:F28)</f>
        <v>12448.8</v>
      </c>
      <c r="G29" s="19" t="n">
        <f aca="false">SUM(G27:G28)</f>
        <v>12907.84</v>
      </c>
      <c r="H29" s="19" t="n">
        <f aca="false">SUM(H27:H28)</f>
        <v>25058.88</v>
      </c>
      <c r="I29" s="16"/>
      <c r="J29" s="16"/>
      <c r="K29" s="16"/>
      <c r="L29" s="16"/>
    </row>
    <row r="30" customFormat="false" ht="23.85" hidden="false" customHeight="false" outlineLevel="0" collapsed="false">
      <c r="A30" s="7" t="s">
        <v>75</v>
      </c>
      <c r="B30" s="7" t="s">
        <v>76</v>
      </c>
      <c r="C30" s="8" t="s">
        <v>48</v>
      </c>
      <c r="D30" s="7" t="s">
        <v>77</v>
      </c>
      <c r="E30" s="9" t="n">
        <f aca="false">SUMIFS('Line items'!H$2:H$25,'Line items'!$A$2:$A$25,$A30,'Line items'!$F$2:$F$25,$C30)</f>
        <v>43760</v>
      </c>
      <c r="F30" s="10" t="n">
        <f aca="false">SUMIFS('Line items'!I$2:I$25,'Line items'!$A$2:$A$25,$A30,'Line items'!$F$2:$F$25,$C30)</f>
        <v>957</v>
      </c>
      <c r="G30" s="10" t="n">
        <f aca="false">SUMIFS('Line items'!J$2:J$25,'Line items'!$A$2:$A$25,$A30,'Line items'!$F$2:$F$25,$C30)</f>
        <v>1274.42</v>
      </c>
      <c r="H30" s="10" t="n">
        <f aca="false">SUMIFS('Line items'!K$2:K$25,'Line items'!$A$2:$A$25,$A30,'Line items'!$F$2:$F$25,$C30)</f>
        <v>20830.64</v>
      </c>
      <c r="I30" s="7" t="s">
        <v>22</v>
      </c>
      <c r="J30" s="7" t="s">
        <v>43</v>
      </c>
      <c r="K30" s="7" t="s">
        <v>43</v>
      </c>
      <c r="L30" s="7" t="s">
        <v>50</v>
      </c>
    </row>
    <row r="31" customFormat="false" ht="15" hidden="false" customHeight="false" outlineLevel="0" collapsed="false">
      <c r="A31" s="16"/>
      <c r="B31" s="16"/>
      <c r="C31" s="16"/>
      <c r="D31" s="17" t="s">
        <v>78</v>
      </c>
      <c r="E31" s="18" t="n">
        <f aca="false">SUM(E30:E30)</f>
        <v>43760</v>
      </c>
      <c r="F31" s="19" t="n">
        <f aca="false">SUM(F30:F30)</f>
        <v>957</v>
      </c>
      <c r="G31" s="19" t="n">
        <f aca="false">SUM(G30:G30)</f>
        <v>1274.42</v>
      </c>
      <c r="H31" s="19" t="n">
        <f aca="false">SUM(H30:H30)</f>
        <v>20830.64</v>
      </c>
      <c r="I31" s="16"/>
      <c r="J31" s="16"/>
      <c r="K31" s="16"/>
      <c r="L31" s="16"/>
    </row>
    <row r="32" customFormat="false" ht="15" hidden="false" customHeight="false" outlineLevel="0" collapsed="false">
      <c r="A32" s="20"/>
      <c r="B32" s="20"/>
      <c r="C32" s="20"/>
      <c r="D32" s="21" t="s">
        <v>79</v>
      </c>
      <c r="E32" s="22" t="n">
        <f aca="false">E26+E29+E31</f>
        <v>1389088</v>
      </c>
      <c r="F32" s="23" t="n">
        <f aca="false">F26+F29+F31</f>
        <v>22979.85</v>
      </c>
      <c r="G32" s="23" t="n">
        <f aca="false">G26+G29+G31</f>
        <v>24133</v>
      </c>
      <c r="H32" s="23" t="n">
        <f aca="false">H26+H29+H31</f>
        <v>119371.08</v>
      </c>
      <c r="I32" s="20"/>
      <c r="J32" s="20"/>
      <c r="K32" s="20"/>
      <c r="L32" s="20"/>
    </row>
    <row r="34" customFormat="false" ht="15" hidden="false" customHeight="false" outlineLevel="0" collapsed="false">
      <c r="A34" s="2" t="s">
        <v>80</v>
      </c>
      <c r="B34" s="2" t="s">
        <v>81</v>
      </c>
      <c r="C34" s="2" t="s">
        <v>82</v>
      </c>
      <c r="D34" s="2" t="s">
        <v>83</v>
      </c>
    </row>
    <row r="35" customFormat="false" ht="15" hidden="false" customHeight="false" outlineLevel="0" collapsed="false">
      <c r="A35" s="3" t="s">
        <v>84</v>
      </c>
      <c r="B35" s="24" t="n">
        <f aca="false">E32</f>
        <v>1389088</v>
      </c>
      <c r="C35" s="24" t="n">
        <v>1389088</v>
      </c>
      <c r="D35" s="24" t="n">
        <f aca="false">B35-C35</f>
        <v>0</v>
      </c>
    </row>
    <row r="36" customFormat="false" ht="15" hidden="false" customHeight="false" outlineLevel="0" collapsed="false">
      <c r="A36" s="3" t="s">
        <v>85</v>
      </c>
      <c r="B36" s="24" t="n">
        <f aca="false">F32</f>
        <v>22979.85</v>
      </c>
      <c r="C36" s="24" t="n">
        <v>22979.85</v>
      </c>
      <c r="D36" s="24" t="n">
        <f aca="false">B36-C36</f>
        <v>0</v>
      </c>
    </row>
    <row r="37" customFormat="false" ht="15" hidden="false" customHeight="false" outlineLevel="0" collapsed="false">
      <c r="A37" s="3" t="s">
        <v>86</v>
      </c>
      <c r="B37" s="24" t="n">
        <f aca="false">G32</f>
        <v>24133</v>
      </c>
      <c r="C37" s="24" t="n">
        <v>24133</v>
      </c>
      <c r="D37" s="24" t="n">
        <f aca="false">B37-C37</f>
        <v>0</v>
      </c>
    </row>
    <row r="38" customFormat="false" ht="15" hidden="false" customHeight="false" outlineLevel="0" collapsed="false">
      <c r="A38" s="3" t="s">
        <v>87</v>
      </c>
      <c r="B38" s="24" t="n">
        <f aca="false">H32</f>
        <v>119371.08</v>
      </c>
      <c r="C38" s="24" t="n">
        <v>119371.08</v>
      </c>
      <c r="D38" s="24" t="n">
        <f aca="false">B38-C38</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2" min="2" style="0" width="14"/>
    <col collapsed="false" customWidth="true" hidden="false" outlineLevel="0" max="3" min="3" style="0" width="7"/>
    <col collapsed="false" customWidth="true" hidden="false" outlineLevel="0" max="5" min="4" style="0" width="22"/>
    <col collapsed="false" customWidth="true" hidden="false" outlineLevel="0" max="6" min="6" style="0" width="13"/>
    <col collapsed="false" customWidth="true" hidden="false" outlineLevel="0" max="7" min="7" style="0" width="52"/>
    <col collapsed="false" customWidth="true" hidden="false" outlineLevel="0" max="9" min="8" style="0" width="13"/>
    <col collapsed="false" customWidth="true" hidden="false" outlineLevel="0" max="10" min="10" style="0" width="14"/>
    <col collapsed="false" customWidth="true" hidden="false" outlineLevel="0" max="11" min="11" style="0" width="16"/>
  </cols>
  <sheetData>
    <row r="1" customFormat="false" ht="23.85" hidden="false" customHeight="false" outlineLevel="0" collapsed="false">
      <c r="A1" s="25" t="s">
        <v>88</v>
      </c>
      <c r="B1" s="25" t="s">
        <v>89</v>
      </c>
      <c r="C1" s="25" t="s">
        <v>90</v>
      </c>
      <c r="D1" s="25" t="s">
        <v>91</v>
      </c>
      <c r="E1" s="25" t="s">
        <v>92</v>
      </c>
      <c r="F1" s="25" t="s">
        <v>93</v>
      </c>
      <c r="G1" s="25" t="s">
        <v>30</v>
      </c>
      <c r="H1" s="25" t="s">
        <v>94</v>
      </c>
      <c r="I1" s="25" t="s">
        <v>95</v>
      </c>
      <c r="J1" s="25" t="s">
        <v>96</v>
      </c>
      <c r="K1" s="25" t="s">
        <v>97</v>
      </c>
    </row>
    <row r="2" customFormat="false" ht="23.85" hidden="false" customHeight="false" outlineLevel="0" collapsed="false">
      <c r="A2" s="26" t="s">
        <v>39</v>
      </c>
      <c r="B2" s="26" t="s">
        <v>40</v>
      </c>
      <c r="C2" s="26" t="n">
        <v>1</v>
      </c>
      <c r="D2" s="26" t="s">
        <v>98</v>
      </c>
      <c r="E2" s="26" t="s">
        <v>99</v>
      </c>
      <c r="F2" s="27" t="s">
        <v>41</v>
      </c>
      <c r="G2" s="7" t="s">
        <v>42</v>
      </c>
      <c r="H2" s="28" t="n">
        <v>65000</v>
      </c>
      <c r="I2" s="29" t="n">
        <v>86.5</v>
      </c>
      <c r="J2" s="29" t="n">
        <v>216.33</v>
      </c>
      <c r="K2" s="29" t="n">
        <v>9841</v>
      </c>
    </row>
    <row r="3" customFormat="false" ht="15" hidden="false" customHeight="false" outlineLevel="0" collapsed="false">
      <c r="A3" s="26" t="s">
        <v>39</v>
      </c>
      <c r="B3" s="26" t="s">
        <v>40</v>
      </c>
      <c r="C3" s="26" t="n">
        <v>2</v>
      </c>
      <c r="D3" s="26" t="s">
        <v>100</v>
      </c>
      <c r="E3" s="26" t="s">
        <v>101</v>
      </c>
      <c r="F3" s="27" t="s">
        <v>45</v>
      </c>
      <c r="G3" s="7" t="s">
        <v>46</v>
      </c>
      <c r="H3" s="28" t="n">
        <v>35000</v>
      </c>
      <c r="I3" s="29" t="n">
        <v>2345</v>
      </c>
      <c r="J3" s="29" t="n">
        <v>2385</v>
      </c>
      <c r="K3" s="29" t="n">
        <v>3542</v>
      </c>
    </row>
    <row r="4" customFormat="false" ht="15" hidden="false" customHeight="false" outlineLevel="0" collapsed="false">
      <c r="A4" s="26" t="s">
        <v>39</v>
      </c>
      <c r="B4" s="26" t="s">
        <v>40</v>
      </c>
      <c r="C4" s="26" t="n">
        <v>3</v>
      </c>
      <c r="D4" s="26" t="s">
        <v>102</v>
      </c>
      <c r="E4" s="26" t="s">
        <v>101</v>
      </c>
      <c r="F4" s="27" t="s">
        <v>45</v>
      </c>
      <c r="G4" s="7" t="s">
        <v>46</v>
      </c>
      <c r="H4" s="28" t="n">
        <v>32400</v>
      </c>
      <c r="I4" s="29" t="n">
        <v>5103</v>
      </c>
      <c r="J4" s="29" t="n">
        <v>5183</v>
      </c>
      <c r="K4" s="29" t="n">
        <v>7464.96</v>
      </c>
    </row>
    <row r="5" customFormat="false" ht="15" hidden="false" customHeight="false" outlineLevel="0" collapsed="false">
      <c r="A5" s="26" t="s">
        <v>39</v>
      </c>
      <c r="B5" s="26" t="s">
        <v>40</v>
      </c>
      <c r="C5" s="26" t="n">
        <v>4</v>
      </c>
      <c r="D5" s="26" t="s">
        <v>103</v>
      </c>
      <c r="E5" s="26" t="s">
        <v>101</v>
      </c>
      <c r="F5" s="27" t="s">
        <v>45</v>
      </c>
      <c r="G5" s="7" t="s">
        <v>46</v>
      </c>
      <c r="H5" s="28" t="n">
        <v>25000</v>
      </c>
      <c r="I5" s="29" t="n">
        <v>1012.5</v>
      </c>
      <c r="J5" s="29" t="n">
        <v>1032.91</v>
      </c>
      <c r="K5" s="29" t="n">
        <v>1377.5</v>
      </c>
    </row>
    <row r="6" customFormat="false" ht="15" hidden="false" customHeight="false" outlineLevel="0" collapsed="false">
      <c r="A6" s="26" t="s">
        <v>39</v>
      </c>
      <c r="B6" s="26" t="s">
        <v>40</v>
      </c>
      <c r="C6" s="26" t="n">
        <v>5</v>
      </c>
      <c r="D6" s="26" t="s">
        <v>104</v>
      </c>
      <c r="E6" s="26" t="s">
        <v>105</v>
      </c>
      <c r="F6" s="27" t="s">
        <v>48</v>
      </c>
      <c r="G6" s="7" t="s">
        <v>106</v>
      </c>
      <c r="H6" s="28" t="n">
        <v>5600</v>
      </c>
      <c r="I6" s="29" t="n">
        <v>10.5</v>
      </c>
      <c r="J6" s="29" t="n">
        <v>15</v>
      </c>
      <c r="K6" s="29" t="n">
        <v>449.68</v>
      </c>
    </row>
    <row r="7" customFormat="false" ht="15" hidden="false" customHeight="false" outlineLevel="0" collapsed="false">
      <c r="A7" s="26" t="s">
        <v>39</v>
      </c>
      <c r="B7" s="26" t="s">
        <v>40</v>
      </c>
      <c r="C7" s="26" t="n">
        <v>6</v>
      </c>
      <c r="D7" s="26" t="s">
        <v>107</v>
      </c>
      <c r="E7" s="26" t="s">
        <v>105</v>
      </c>
      <c r="F7" s="27" t="s">
        <v>48</v>
      </c>
      <c r="G7" s="7" t="s">
        <v>106</v>
      </c>
      <c r="H7" s="28" t="n">
        <v>72000</v>
      </c>
      <c r="I7" s="29" t="n">
        <v>19.4</v>
      </c>
      <c r="J7" s="29" t="n">
        <v>25</v>
      </c>
      <c r="K7" s="29" t="n">
        <v>7041.6</v>
      </c>
    </row>
    <row r="8" customFormat="false" ht="15" hidden="false" customHeight="false" outlineLevel="0" collapsed="false">
      <c r="A8" s="26" t="s">
        <v>39</v>
      </c>
      <c r="B8" s="26" t="s">
        <v>40</v>
      </c>
      <c r="C8" s="26" t="n">
        <v>19</v>
      </c>
      <c r="D8" s="26" t="s">
        <v>108</v>
      </c>
      <c r="E8" s="26" t="s">
        <v>109</v>
      </c>
      <c r="F8" s="27" t="s">
        <v>48</v>
      </c>
      <c r="G8" s="7" t="s">
        <v>77</v>
      </c>
      <c r="H8" s="28" t="n">
        <v>8000</v>
      </c>
      <c r="I8" s="29" t="n">
        <v>16</v>
      </c>
      <c r="J8" s="29" t="n">
        <v>20</v>
      </c>
      <c r="K8" s="29" t="n">
        <v>2926.4</v>
      </c>
    </row>
    <row r="9" customFormat="false" ht="15" hidden="false" customHeight="false" outlineLevel="0" collapsed="false">
      <c r="A9" s="26" t="s">
        <v>39</v>
      </c>
      <c r="B9" s="26" t="s">
        <v>40</v>
      </c>
      <c r="C9" s="26" t="n">
        <v>7</v>
      </c>
      <c r="D9" s="26" t="s">
        <v>110</v>
      </c>
      <c r="E9" s="26" t="s">
        <v>111</v>
      </c>
      <c r="F9" s="27" t="s">
        <v>51</v>
      </c>
      <c r="G9" s="7" t="s">
        <v>112</v>
      </c>
      <c r="H9" s="28" t="n">
        <v>960</v>
      </c>
      <c r="I9" s="29" t="n">
        <v>7.2</v>
      </c>
      <c r="J9" s="29" t="n">
        <v>10</v>
      </c>
      <c r="K9" s="29" t="n">
        <v>100.8</v>
      </c>
    </row>
    <row r="10" customFormat="false" ht="15" hidden="false" customHeight="false" outlineLevel="0" collapsed="false">
      <c r="A10" s="26" t="s">
        <v>39</v>
      </c>
      <c r="B10" s="26" t="s">
        <v>40</v>
      </c>
      <c r="C10" s="26" t="n">
        <v>8</v>
      </c>
      <c r="D10" s="26" t="s">
        <v>113</v>
      </c>
      <c r="E10" s="26" t="s">
        <v>111</v>
      </c>
      <c r="F10" s="27" t="s">
        <v>51</v>
      </c>
      <c r="G10" s="7" t="s">
        <v>112</v>
      </c>
      <c r="H10" s="28" t="n">
        <v>2000</v>
      </c>
      <c r="I10" s="29" t="n">
        <v>15</v>
      </c>
      <c r="J10" s="29" t="n">
        <v>20</v>
      </c>
      <c r="K10" s="29" t="n">
        <v>75.8</v>
      </c>
    </row>
    <row r="11" customFormat="false" ht="15" hidden="false" customHeight="false" outlineLevel="0" collapsed="false">
      <c r="A11" s="26" t="s">
        <v>39</v>
      </c>
      <c r="B11" s="26" t="s">
        <v>40</v>
      </c>
      <c r="C11" s="26" t="n">
        <v>17</v>
      </c>
      <c r="D11" s="26" t="s">
        <v>114</v>
      </c>
      <c r="E11" s="26" t="s">
        <v>115</v>
      </c>
      <c r="F11" s="27" t="s">
        <v>51</v>
      </c>
      <c r="G11" s="7" t="s">
        <v>116</v>
      </c>
      <c r="H11" s="28" t="n">
        <v>5000</v>
      </c>
      <c r="I11" s="29" t="n">
        <v>57.78</v>
      </c>
      <c r="J11" s="29" t="n">
        <v>70</v>
      </c>
      <c r="K11" s="29" t="n">
        <v>899.5</v>
      </c>
    </row>
    <row r="12" customFormat="false" ht="15" hidden="false" customHeight="false" outlineLevel="0" collapsed="false">
      <c r="A12" s="26" t="s">
        <v>39</v>
      </c>
      <c r="B12" s="26" t="s">
        <v>40</v>
      </c>
      <c r="C12" s="26" t="n">
        <v>18</v>
      </c>
      <c r="D12" s="26" t="s">
        <v>117</v>
      </c>
      <c r="E12" s="26" t="s">
        <v>115</v>
      </c>
      <c r="F12" s="27" t="s">
        <v>51</v>
      </c>
      <c r="G12" s="7" t="s">
        <v>116</v>
      </c>
      <c r="H12" s="28" t="n">
        <v>2000</v>
      </c>
      <c r="I12" s="29" t="n">
        <v>23.11</v>
      </c>
      <c r="J12" s="29" t="n">
        <v>28</v>
      </c>
      <c r="K12" s="29" t="n">
        <v>302</v>
      </c>
    </row>
    <row r="13" customFormat="false" ht="15" hidden="false" customHeight="false" outlineLevel="0" collapsed="false">
      <c r="A13" s="26" t="s">
        <v>39</v>
      </c>
      <c r="B13" s="26" t="s">
        <v>40</v>
      </c>
      <c r="C13" s="26" t="n">
        <v>9</v>
      </c>
      <c r="D13" s="26" t="s">
        <v>118</v>
      </c>
      <c r="E13" s="26" t="s">
        <v>119</v>
      </c>
      <c r="F13" s="27" t="s">
        <v>54</v>
      </c>
      <c r="G13" s="7" t="s">
        <v>55</v>
      </c>
      <c r="H13" s="28" t="n">
        <v>210000</v>
      </c>
      <c r="I13" s="29" t="n">
        <v>30.24</v>
      </c>
      <c r="J13" s="29" t="n">
        <v>40</v>
      </c>
      <c r="K13" s="29" t="n">
        <v>8820</v>
      </c>
    </row>
    <row r="14" customFormat="false" ht="15" hidden="false" customHeight="false" outlineLevel="0" collapsed="false">
      <c r="A14" s="26" t="s">
        <v>39</v>
      </c>
      <c r="B14" s="26" t="s">
        <v>40</v>
      </c>
      <c r="C14" s="26" t="n">
        <v>10</v>
      </c>
      <c r="D14" s="26" t="s">
        <v>120</v>
      </c>
      <c r="E14" s="26" t="s">
        <v>121</v>
      </c>
      <c r="F14" s="27" t="s">
        <v>57</v>
      </c>
      <c r="G14" s="7" t="s">
        <v>58</v>
      </c>
      <c r="H14" s="28" t="n">
        <v>75000</v>
      </c>
      <c r="I14" s="29" t="n">
        <v>37.5</v>
      </c>
      <c r="J14" s="29" t="n">
        <v>40</v>
      </c>
      <c r="K14" s="29" t="n">
        <v>1612.5</v>
      </c>
    </row>
    <row r="15" customFormat="false" ht="15" hidden="false" customHeight="false" outlineLevel="0" collapsed="false">
      <c r="A15" s="26" t="s">
        <v>39</v>
      </c>
      <c r="B15" s="26" t="s">
        <v>40</v>
      </c>
      <c r="C15" s="26" t="n">
        <v>11</v>
      </c>
      <c r="D15" s="26" t="s">
        <v>122</v>
      </c>
      <c r="E15" s="26" t="s">
        <v>121</v>
      </c>
      <c r="F15" s="27" t="s">
        <v>57</v>
      </c>
      <c r="G15" s="7" t="s">
        <v>58</v>
      </c>
      <c r="H15" s="28" t="n">
        <v>125000</v>
      </c>
      <c r="I15" s="29" t="n">
        <v>62.5</v>
      </c>
      <c r="J15" s="29" t="n">
        <v>70</v>
      </c>
      <c r="K15" s="29" t="n">
        <v>2687.5</v>
      </c>
    </row>
    <row r="16" customFormat="false" ht="15" hidden="false" customHeight="false" outlineLevel="0" collapsed="false">
      <c r="A16" s="26" t="s">
        <v>39</v>
      </c>
      <c r="B16" s="26" t="s">
        <v>40</v>
      </c>
      <c r="C16" s="26" t="n">
        <v>12</v>
      </c>
      <c r="D16" s="26" t="s">
        <v>123</v>
      </c>
      <c r="E16" s="26" t="s">
        <v>121</v>
      </c>
      <c r="F16" s="27" t="s">
        <v>57</v>
      </c>
      <c r="G16" s="7" t="s">
        <v>58</v>
      </c>
      <c r="H16" s="28" t="n">
        <v>200000</v>
      </c>
      <c r="I16" s="29" t="n">
        <v>100</v>
      </c>
      <c r="J16" s="29" t="n">
        <v>110</v>
      </c>
      <c r="K16" s="29" t="n">
        <v>2540</v>
      </c>
    </row>
    <row r="17" customFormat="false" ht="15" hidden="false" customHeight="false" outlineLevel="0" collapsed="false">
      <c r="A17" s="26" t="s">
        <v>39</v>
      </c>
      <c r="B17" s="26" t="s">
        <v>40</v>
      </c>
      <c r="C17" s="26" t="n">
        <v>13</v>
      </c>
      <c r="D17" s="26" t="s">
        <v>124</v>
      </c>
      <c r="E17" s="26" t="s">
        <v>121</v>
      </c>
      <c r="F17" s="27" t="s">
        <v>57</v>
      </c>
      <c r="G17" s="7" t="s">
        <v>58</v>
      </c>
      <c r="H17" s="28" t="n">
        <v>200000</v>
      </c>
      <c r="I17" s="29" t="n">
        <v>100</v>
      </c>
      <c r="J17" s="29" t="n">
        <v>110</v>
      </c>
      <c r="K17" s="29" t="n">
        <v>2540</v>
      </c>
    </row>
    <row r="18" customFormat="false" ht="15" hidden="false" customHeight="false" outlineLevel="0" collapsed="false">
      <c r="A18" s="26" t="s">
        <v>39</v>
      </c>
      <c r="B18" s="26" t="s">
        <v>40</v>
      </c>
      <c r="C18" s="26" t="n">
        <v>14</v>
      </c>
      <c r="D18" s="26" t="s">
        <v>125</v>
      </c>
      <c r="E18" s="26" t="s">
        <v>126</v>
      </c>
      <c r="F18" s="27" t="s">
        <v>60</v>
      </c>
      <c r="G18" s="7" t="s">
        <v>61</v>
      </c>
      <c r="H18" s="28" t="n">
        <v>180000</v>
      </c>
      <c r="I18" s="29" t="n">
        <v>299.7</v>
      </c>
      <c r="J18" s="29" t="n">
        <v>310.5</v>
      </c>
      <c r="K18" s="29" t="n">
        <v>12600</v>
      </c>
    </row>
    <row r="19" customFormat="false" ht="15" hidden="false" customHeight="false" outlineLevel="0" collapsed="false">
      <c r="A19" s="26" t="s">
        <v>39</v>
      </c>
      <c r="B19" s="26" t="s">
        <v>40</v>
      </c>
      <c r="C19" s="26" t="n">
        <v>15</v>
      </c>
      <c r="D19" s="26" t="s">
        <v>127</v>
      </c>
      <c r="E19" s="26" t="s">
        <v>128</v>
      </c>
      <c r="F19" s="27" t="s">
        <v>60</v>
      </c>
      <c r="G19" s="7" t="s">
        <v>61</v>
      </c>
      <c r="H19" s="28" t="n">
        <v>30000</v>
      </c>
      <c r="I19" s="29" t="n">
        <v>12.6</v>
      </c>
      <c r="J19" s="29" t="n">
        <v>15</v>
      </c>
      <c r="K19" s="29" t="n">
        <v>540</v>
      </c>
    </row>
    <row r="20" customFormat="false" ht="15" hidden="false" customHeight="false" outlineLevel="0" collapsed="false">
      <c r="A20" s="26" t="s">
        <v>39</v>
      </c>
      <c r="B20" s="26" t="s">
        <v>40</v>
      </c>
      <c r="C20" s="26" t="n">
        <v>16</v>
      </c>
      <c r="D20" s="26" t="s">
        <v>129</v>
      </c>
      <c r="E20" s="26" t="s">
        <v>130</v>
      </c>
      <c r="F20" s="27" t="s">
        <v>64</v>
      </c>
      <c r="G20" s="7" t="s">
        <v>65</v>
      </c>
      <c r="H20" s="28" t="n">
        <v>51200</v>
      </c>
      <c r="I20" s="29" t="n">
        <v>235.52</v>
      </c>
      <c r="J20" s="29" t="n">
        <v>250</v>
      </c>
      <c r="K20" s="29" t="n">
        <v>8120.32</v>
      </c>
    </row>
    <row r="21" customFormat="false" ht="23.85" hidden="false" customHeight="false" outlineLevel="0" collapsed="false">
      <c r="A21" s="26" t="s">
        <v>68</v>
      </c>
      <c r="B21" s="26" t="s">
        <v>69</v>
      </c>
      <c r="C21" s="26" t="n">
        <v>1</v>
      </c>
      <c r="D21" s="26" t="s">
        <v>131</v>
      </c>
      <c r="E21" s="26" t="s">
        <v>132</v>
      </c>
      <c r="F21" s="27" t="s">
        <v>48</v>
      </c>
      <c r="G21" s="7" t="s">
        <v>70</v>
      </c>
      <c r="H21" s="28" t="n">
        <v>19152</v>
      </c>
      <c r="I21" s="29" t="n">
        <v>11299.68</v>
      </c>
      <c r="J21" s="29" t="n">
        <v>11688.8</v>
      </c>
      <c r="K21" s="29" t="n">
        <v>19918.08</v>
      </c>
    </row>
    <row r="22" customFormat="false" ht="15" hidden="false" customHeight="false" outlineLevel="0" collapsed="false">
      <c r="A22" s="26" t="s">
        <v>68</v>
      </c>
      <c r="B22" s="26" t="s">
        <v>69</v>
      </c>
      <c r="C22" s="26" t="n">
        <v>2</v>
      </c>
      <c r="D22" s="26" t="s">
        <v>133</v>
      </c>
      <c r="E22" s="26" t="s">
        <v>134</v>
      </c>
      <c r="F22" s="27" t="s">
        <v>71</v>
      </c>
      <c r="G22" s="7" t="s">
        <v>72</v>
      </c>
      <c r="H22" s="28" t="n">
        <v>2016</v>
      </c>
      <c r="I22" s="29" t="n">
        <v>1149.12</v>
      </c>
      <c r="J22" s="29" t="n">
        <v>1219.04</v>
      </c>
      <c r="K22" s="29" t="n">
        <v>5140.8</v>
      </c>
    </row>
    <row r="23" customFormat="false" ht="15" hidden="false" customHeight="false" outlineLevel="0" collapsed="false">
      <c r="A23" s="26" t="s">
        <v>75</v>
      </c>
      <c r="B23" s="26" t="s">
        <v>76</v>
      </c>
      <c r="C23" s="26" t="n">
        <v>1</v>
      </c>
      <c r="D23" s="26" t="s">
        <v>135</v>
      </c>
      <c r="E23" s="26" t="s">
        <v>109</v>
      </c>
      <c r="F23" s="27" t="s">
        <v>48</v>
      </c>
      <c r="G23" s="7" t="s">
        <v>77</v>
      </c>
      <c r="H23" s="28" t="n">
        <v>33600</v>
      </c>
      <c r="I23" s="29" t="n">
        <v>856.8</v>
      </c>
      <c r="J23" s="29" t="n">
        <v>1134</v>
      </c>
      <c r="K23" s="29" t="n">
        <v>16836.96</v>
      </c>
    </row>
    <row r="24" customFormat="false" ht="15" hidden="false" customHeight="false" outlineLevel="0" collapsed="false">
      <c r="A24" s="26" t="s">
        <v>75</v>
      </c>
      <c r="B24" s="26" t="s">
        <v>76</v>
      </c>
      <c r="C24" s="26" t="n">
        <v>2</v>
      </c>
      <c r="D24" s="26" t="s">
        <v>136</v>
      </c>
      <c r="E24" s="26" t="s">
        <v>109</v>
      </c>
      <c r="F24" s="27" t="s">
        <v>48</v>
      </c>
      <c r="G24" s="7" t="s">
        <v>77</v>
      </c>
      <c r="H24" s="28" t="n">
        <v>2160</v>
      </c>
      <c r="I24" s="29" t="n">
        <v>52.2</v>
      </c>
      <c r="J24" s="29" t="n">
        <v>84.12</v>
      </c>
      <c r="K24" s="29" t="n">
        <v>1280.88</v>
      </c>
    </row>
    <row r="25" customFormat="false" ht="15" hidden="false" customHeight="false" outlineLevel="0" collapsed="false">
      <c r="A25" s="26" t="s">
        <v>75</v>
      </c>
      <c r="B25" s="26" t="s">
        <v>76</v>
      </c>
      <c r="C25" s="26" t="n">
        <v>3</v>
      </c>
      <c r="D25" s="26" t="s">
        <v>137</v>
      </c>
      <c r="E25" s="26" t="s">
        <v>109</v>
      </c>
      <c r="F25" s="27" t="s">
        <v>48</v>
      </c>
      <c r="G25" s="7" t="s">
        <v>77</v>
      </c>
      <c r="H25" s="28" t="n">
        <v>8000</v>
      </c>
      <c r="I25" s="29" t="n">
        <v>48</v>
      </c>
      <c r="J25" s="29" t="n">
        <v>56.3</v>
      </c>
      <c r="K25" s="29" t="n">
        <v>2712.8</v>
      </c>
    </row>
    <row r="26" customFormat="false" ht="15" hidden="false" customHeight="false" outlineLevel="0" collapsed="false">
      <c r="A26" s="20"/>
      <c r="B26" s="20"/>
      <c r="C26" s="20"/>
      <c r="D26" s="20"/>
      <c r="E26" s="20"/>
      <c r="F26" s="20"/>
      <c r="G26" s="21" t="s">
        <v>138</v>
      </c>
      <c r="H26" s="22" t="n">
        <f aca="false">SUM(H2:H25)</f>
        <v>1389088</v>
      </c>
      <c r="I26" s="23" t="n">
        <f aca="false">SUM(I2:I25)</f>
        <v>22979.85</v>
      </c>
      <c r="J26" s="23" t="n">
        <f aca="false">SUM(J2:J25)</f>
        <v>24133</v>
      </c>
      <c r="K26" s="23" t="n">
        <f aca="false">SUM(K2:K25)</f>
        <v>119371.08</v>
      </c>
    </row>
  </sheetData>
  <autoFilter ref="A1:K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46"/>
    <col collapsed="false" customWidth="true" hidden="false" outlineLevel="0" max="3" min="3" style="0" width="118"/>
  </cols>
  <sheetData>
    <row r="1" customFormat="false" ht="16.15" hidden="false" customHeight="false" outlineLevel="0" collapsed="false">
      <c r="A1" s="1" t="s">
        <v>139</v>
      </c>
    </row>
    <row r="3" customFormat="false" ht="15" hidden="false" customHeight="false" outlineLevel="0" collapsed="false">
      <c r="A3" s="30" t="s">
        <v>140</v>
      </c>
      <c r="B3" s="30" t="s">
        <v>141</v>
      </c>
      <c r="C3" s="30" t="s">
        <v>142</v>
      </c>
    </row>
    <row r="4" customFormat="false" ht="57.75" hidden="false" customHeight="true" outlineLevel="0" collapsed="false">
      <c r="A4" s="15" t="s">
        <v>143</v>
      </c>
      <c r="B4" s="31" t="s">
        <v>144</v>
      </c>
      <c r="C4" s="11" t="s">
        <v>145</v>
      </c>
    </row>
    <row r="5" customFormat="false" ht="57.75" hidden="false" customHeight="true" outlineLevel="0" collapsed="false">
      <c r="A5" s="15" t="s">
        <v>143</v>
      </c>
      <c r="B5" s="31" t="s">
        <v>146</v>
      </c>
      <c r="C5" s="11" t="s">
        <v>147</v>
      </c>
    </row>
    <row r="6" customFormat="false" ht="57.75" hidden="false" customHeight="true" outlineLevel="0" collapsed="false">
      <c r="A6" s="15" t="s">
        <v>143</v>
      </c>
      <c r="B6" s="31" t="s">
        <v>148</v>
      </c>
      <c r="C6" s="11" t="s">
        <v>149</v>
      </c>
    </row>
    <row r="7" customFormat="false" ht="57.75" hidden="false" customHeight="true" outlineLevel="0" collapsed="false">
      <c r="A7" s="15" t="s">
        <v>143</v>
      </c>
      <c r="B7" s="31" t="s">
        <v>150</v>
      </c>
      <c r="C7" s="11" t="s">
        <v>151</v>
      </c>
    </row>
    <row r="8" customFormat="false" ht="57.75" hidden="false" customHeight="true" outlineLevel="0" collapsed="false">
      <c r="A8" s="32" t="s">
        <v>152</v>
      </c>
      <c r="B8" s="33" t="s">
        <v>153</v>
      </c>
      <c r="C8" s="32" t="s">
        <v>154</v>
      </c>
    </row>
    <row r="9" customFormat="false" ht="57.75" hidden="false" customHeight="true" outlineLevel="0" collapsed="false">
      <c r="A9" s="32" t="s">
        <v>152</v>
      </c>
      <c r="B9" s="33" t="s">
        <v>155</v>
      </c>
      <c r="C9" s="32" t="s">
        <v>156</v>
      </c>
    </row>
    <row r="10" customFormat="false" ht="57.75" hidden="false" customHeight="true" outlineLevel="0" collapsed="false">
      <c r="A10" s="32" t="s">
        <v>152</v>
      </c>
      <c r="B10" s="33" t="s">
        <v>157</v>
      </c>
      <c r="C10" s="32" t="s">
        <v>158</v>
      </c>
    </row>
    <row r="11" customFormat="false" ht="57.75" hidden="false" customHeight="true" outlineLevel="0" collapsed="false">
      <c r="A11" s="32" t="s">
        <v>152</v>
      </c>
      <c r="B11" s="33" t="s">
        <v>159</v>
      </c>
      <c r="C11" s="32" t="s">
        <v>160</v>
      </c>
    </row>
    <row r="12" customFormat="false" ht="57.75" hidden="false" customHeight="true" outlineLevel="0" collapsed="false">
      <c r="A12" s="32" t="s">
        <v>161</v>
      </c>
      <c r="B12" s="33" t="s">
        <v>162</v>
      </c>
      <c r="C12" s="32" t="s">
        <v>163</v>
      </c>
    </row>
    <row r="13" customFormat="false" ht="57.75" hidden="false" customHeight="true" outlineLevel="0" collapsed="false">
      <c r="A13" s="32" t="s">
        <v>161</v>
      </c>
      <c r="B13" s="33" t="s">
        <v>164</v>
      </c>
      <c r="C13" s="32" t="s">
        <v>165</v>
      </c>
    </row>
    <row r="14" customFormat="false" ht="57.75" hidden="false" customHeight="true" outlineLevel="0" collapsed="false">
      <c r="A14" s="32" t="s">
        <v>161</v>
      </c>
      <c r="B14" s="33" t="s">
        <v>166</v>
      </c>
      <c r="C14" s="32" t="s">
        <v>167</v>
      </c>
    </row>
    <row r="15" customFormat="false" ht="57.75" hidden="false" customHeight="true" outlineLevel="0" collapsed="false">
      <c r="A15" s="32" t="s">
        <v>161</v>
      </c>
      <c r="B15" s="33" t="s">
        <v>168</v>
      </c>
      <c r="C15" s="32" t="s">
        <v>169</v>
      </c>
    </row>
    <row r="16" customFormat="false" ht="57.75" hidden="false" customHeight="true" outlineLevel="0" collapsed="false">
      <c r="A16" s="32" t="s">
        <v>161</v>
      </c>
      <c r="B16" s="33" t="s">
        <v>170</v>
      </c>
      <c r="C16" s="32" t="s">
        <v>171</v>
      </c>
    </row>
    <row r="17" customFormat="false" ht="57.75" hidden="false" customHeight="true" outlineLevel="0" collapsed="false">
      <c r="A17" s="7" t="s">
        <v>172</v>
      </c>
      <c r="B17" s="7" t="s">
        <v>173</v>
      </c>
      <c r="C17" s="7" t="s">
        <v>174</v>
      </c>
    </row>
    <row r="18" customFormat="false" ht="57.75" hidden="false" customHeight="true" outlineLevel="0" collapsed="false">
      <c r="A18" s="7" t="s">
        <v>172</v>
      </c>
      <c r="B18" s="7" t="s">
        <v>175</v>
      </c>
      <c r="C18" s="7" t="s">
        <v>176</v>
      </c>
    </row>
    <row r="19" customFormat="false" ht="57.75" hidden="false" customHeight="true" outlineLevel="0" collapsed="false">
      <c r="A19" s="7" t="s">
        <v>177</v>
      </c>
      <c r="B19" s="7" t="s">
        <v>178</v>
      </c>
      <c r="C19" s="7" t="s">
        <v>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110"/>
  </cols>
  <sheetData>
    <row r="1" customFormat="false" ht="16.15" hidden="false" customHeight="false" outlineLevel="0" collapsed="false">
      <c r="A1" s="1" t="s">
        <v>180</v>
      </c>
    </row>
    <row r="3" customFormat="false" ht="15" hidden="false" customHeight="false" outlineLevel="0" collapsed="false">
      <c r="A3" s="2" t="s">
        <v>181</v>
      </c>
      <c r="B3" s="34" t="s">
        <v>182</v>
      </c>
    </row>
    <row r="4" customFormat="false" ht="15" hidden="false" customHeight="false" outlineLevel="0" collapsed="false">
      <c r="A4" s="3" t="s">
        <v>183</v>
      </c>
      <c r="B4" s="35" t="s">
        <v>184</v>
      </c>
    </row>
    <row r="5" customFormat="false" ht="15" hidden="false" customHeight="false" outlineLevel="0" collapsed="false">
      <c r="A5" s="3" t="s">
        <v>185</v>
      </c>
      <c r="B5" s="35" t="s">
        <v>186</v>
      </c>
    </row>
    <row r="6" customFormat="false" ht="15" hidden="false" customHeight="false" outlineLevel="0" collapsed="false">
      <c r="A6" s="3" t="s">
        <v>187</v>
      </c>
      <c r="B6" s="35" t="s">
        <v>188</v>
      </c>
    </row>
    <row r="7" customFormat="false" ht="15" hidden="false" customHeight="false" outlineLevel="0" collapsed="false">
      <c r="A7" s="3" t="s">
        <v>189</v>
      </c>
      <c r="B7" s="35" t="s">
        <v>190</v>
      </c>
    </row>
    <row r="8" customFormat="false" ht="15" hidden="false" customHeight="false" outlineLevel="0" collapsed="false">
      <c r="A8" s="3" t="s">
        <v>191</v>
      </c>
      <c r="B8" s="35" t="s">
        <v>192</v>
      </c>
    </row>
    <row r="9" customFormat="false" ht="15" hidden="false" customHeight="false" outlineLevel="0" collapsed="false">
      <c r="A9" s="3" t="s">
        <v>193</v>
      </c>
      <c r="B9" s="35" t="s">
        <v>194</v>
      </c>
    </row>
    <row r="10" customFormat="false" ht="15" hidden="false" customHeight="false" outlineLevel="0" collapsed="false">
      <c r="A10" s="3"/>
      <c r="B10" s="35"/>
    </row>
    <row r="11" customFormat="false" ht="45.75" hidden="false" customHeight="true" outlineLevel="0" collapsed="false">
      <c r="A11" s="36" t="s">
        <v>195</v>
      </c>
      <c r="B11" s="37"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2026-08-07T13:07:21Z</dcterms:created>
  <dc:creator>openpyxl</dc:creator>
  <dc:description/>
  <dc:language>en-US</dc:language>
  <cp:lastModifiedBy/>
  <dcterms:modified xsi:type="dcterms:W3CDTF">2026-08-07T13:07:21Z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