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HS Summary" sheetId="1" state="visible" r:id="rId3"/>
    <sheet name="Chybějící HS kódy" sheetId="2" state="visible" r:id="rId4"/>
    <sheet name="Line items" sheetId="3" state="visible" r:id="rId5"/>
    <sheet name="Poznámky &amp; flagy" sheetId="4" state="visible" r:id="rId6"/>
    <sheet name="Zdroje" sheetId="5" state="visible" r:id="rId7"/>
  </sheets>
  <definedNames>
    <definedName function="false" hidden="true" localSheetId="2" name="_xlnm._FilterDatabase" vbProcedure="false">'Line items'!$A$1:$L$25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<sst xmlns="http://schemas.openxmlformats.org/spreadsheetml/2006/main" count="408" uniqueCount="221">
  <si>
    <t xml:space="preserve">HS CODE SUMMARY – Sonavox Technology CZ s.r.o.</t>
  </si>
  <si>
    <t xml:space="preserve">Reference MW:</t>
  </si>
  <si>
    <t xml:space="preserve">CZ26011282 (Josef Šrejber – RAIL) | režim: volný oběh | celnice: A1 Ostrava | příjezd cca 34. týden</t>
  </si>
  <si>
    <t xml:space="preserve">Odesílatelé / Senders:</t>
  </si>
  <si>
    <t xml:space="preserve">3 – zásilka je členěna PRIMÁRNĚ dle odesílatele</t>
  </si>
  <si>
    <t xml:space="preserve">Příjemce / Consignee:</t>
  </si>
  <si>
    <t xml:space="preserve">Sonavox Technology CZ s.r.o., Lhotka nad Bečvou 93, 756 41 Lešná, Czech Republic</t>
  </si>
  <si>
    <t xml:space="preserve">FCR / HBL No.:</t>
  </si>
  <si>
    <t xml:space="preserve">TECGO26080029 (T.H.I. Group Ltd.), ref. ZIHWB260805FM022</t>
  </si>
  <si>
    <t xml:space="preserve">Nákladní list SMGS:</t>
  </si>
  <si>
    <t xml:space="preserve">38055706</t>
  </si>
  <si>
    <t xml:space="preserve">Kontejner / plomba:</t>
  </si>
  <si>
    <t xml:space="preserve">CIMU1716969 / 40HQ / plomba ZH176441</t>
  </si>
  <si>
    <t xml:space="preserve">Faktury:</t>
  </si>
  <si>
    <t xml:space="preserve">CZ20260725, CZ20260725-1, CZ20260725-2, vše ze dne 28.07.2026</t>
  </si>
  <si>
    <t xml:space="preserve">Trasa:</t>
  </si>
  <si>
    <t xml:space="preserve">Zhengzhou (Putian), Henan → Malaszewicze (PL) → Czech Republic – ŽELEZNIČNÍ přeprava</t>
  </si>
  <si>
    <t xml:space="preserve">Země původu:</t>
  </si>
  <si>
    <t xml:space="preserve">Čína (Suzhou, 35029)</t>
  </si>
  <si>
    <t xml:space="preserve">Měna:</t>
  </si>
  <si>
    <t xml:space="preserve">EUR</t>
  </si>
  <si>
    <t xml:space="preserve">INCOTERM:</t>
  </si>
  <si>
    <t xml:space="preserve">FOB (bez uvedeného přístavu/místa) – viz Poznámky</t>
  </si>
  <si>
    <t xml:space="preserve">Preferenční věta:</t>
  </si>
  <si>
    <t xml:space="preserve">NENALEZENA v žádném dokladu – viz list Poznámky</t>
  </si>
  <si>
    <t xml:space="preserve">Celkem kolí / objem:</t>
  </si>
  <si>
    <t xml:space="preserve">51 palet / 51,40 CBM / brutto 24 133 kg (souhlasí s FCR i SMGS)</t>
  </si>
  <si>
    <t xml:space="preserve">CHYBĚJÍCÍ HS KÓDY:</t>
  </si>
  <si>
    <t xml:space="preserve">2 položky bez kódu v podkladech (9 360,00 EUR) – viz list „Chybějící HS kódy“</t>
  </si>
  <si>
    <t xml:space="preserve">Odesílatel / Sender</t>
  </si>
  <si>
    <t xml:space="preserve">Faktura</t>
  </si>
  <si>
    <t xml:space="preserve">HS kód</t>
  </si>
  <si>
    <t xml:space="preserve">Popis zboží (CZ)</t>
  </si>
  <si>
    <t xml:space="preserve">Množství (ks)</t>
  </si>
  <si>
    <t xml:space="preserve">Čistá hmotnost (kg)</t>
  </si>
  <si>
    <t xml:space="preserve">Hrubá hmotnost (kg)</t>
  </si>
  <si>
    <t xml:space="preserve">Celní hodnota (EUR)</t>
  </si>
  <si>
    <t xml:space="preserve">Incoterm</t>
  </si>
  <si>
    <t xml:space="preserve">CBAM</t>
  </si>
  <si>
    <t xml:space="preserve">Antidumping</t>
  </si>
  <si>
    <t xml:space="preserve">Zdroj HS kódu / poznámka</t>
  </si>
  <si>
    <t xml:space="preserve">Suzhou Sonavox International Trading Co., Ltd</t>
  </si>
  <si>
    <t xml:space="preserve">CZ20260725</t>
  </si>
  <si>
    <t xml:space="preserve">8504500000</t>
  </si>
  <si>
    <t xml:space="preserve">Kmitací cívka – měděný drát (jednoduché vinutí) navinutý na papírovém válci (formeru)</t>
  </si>
  <si>
    <t xml:space="preserve">Ne</t>
  </si>
  <si>
    <t xml:space="preserve">Zařazení podloženo závaznou informací ZISZ 30-0292-2016.</t>
  </si>
  <si>
    <t xml:space="preserve">8518900000</t>
  </si>
  <si>
    <t xml:space="preserve">Ocelová deska (front plate) – součást autoreproduktoru; Středící membrána (spider) – naimpregnovaná textilie, součást autoreproduktoru; Membrána s vlnkou (cone) – membrána elektrodynamického reproduktoru; Kontakt / vývod (terminal) – část autoreproduktoru</t>
  </si>
  <si>
    <t xml:space="preserve">Části a součásti reproduktorů, DK 00 dle předchozích celních prohlášení.</t>
  </si>
  <si>
    <t xml:space="preserve">3926909790</t>
  </si>
  <si>
    <t xml:space="preserve">Plastové těsnění (gasket) – ostatní výrobky z plastů; Plastový kalibr (gauge) – montážní přípravek, ostatní výrobky z plastů</t>
  </si>
  <si>
    <t xml:space="preserve">Ostatní výrobky z plastů, DK 90 dle předchozího celního prohlášení.</t>
  </si>
  <si>
    <t xml:space="preserve">7318159519</t>
  </si>
  <si>
    <t xml:space="preserve">Matice / vložka (nut, insert) – závitové zboží ze železa nebo oceli</t>
  </si>
  <si>
    <t xml:space="preserve">ANO</t>
  </si>
  <si>
    <t xml:space="preserve">K OVĚŘENÍ</t>
  </si>
  <si>
    <t xml:space="preserve">CBAM platí i pro hliníkovou variantu (7616). Antidumping závisí na materiálu a druhu dílu – viz list Poznámky.</t>
  </si>
  <si>
    <t xml:space="preserve">7413000090</t>
  </si>
  <si>
    <t xml:space="preserve">Kabelový svazek – splétaná lanka z mědi, elektricky neizolovaná</t>
  </si>
  <si>
    <t xml:space="preserve">Splétaná lanka z mědi, neizolovaná, DK 90 dle předchozího celního prohlášení.</t>
  </si>
  <si>
    <t xml:space="preserve">CHYBÍ – VYŽÁDAT OD KLIENTA</t>
  </si>
  <si>
    <t xml:space="preserve">Vodotěsná membrána (dle faktury „Waterproof membrane“ – český popis není k dispozici)</t>
  </si>
  <si>
    <t xml:space="preserve">NENÍ V PODKLADECH – v e-mailu SONAVOX ani v předchozích celních prohlášeních tato položka není</t>
  </si>
  <si>
    <t xml:space="preserve">Pružná matice (dle faktury „Spring nut“ – český popis není k dispozici)</t>
  </si>
  <si>
    <t xml:space="preserve">Mezisoučet – Suzhou Sonavox International Trading Co., Ltd</t>
  </si>
  <si>
    <t xml:space="preserve">Suzhou Sonavox Electronics Co., Ltd</t>
  </si>
  <si>
    <t xml:space="preserve">CZ20260725-1</t>
  </si>
  <si>
    <t xml:space="preserve">Magnetický obvod (ceramics circle) – feritové jádro (nezmagnetované), součást autoreproduktoru</t>
  </si>
  <si>
    <t xml:space="preserve">8518210000</t>
  </si>
  <si>
    <t xml:space="preserve">Reproduktor (autoreproduktor), jediný v jedné skříni</t>
  </si>
  <si>
    <t xml:space="preserve">Kompletní autoreproduktor, jediný v jedné skříni.</t>
  </si>
  <si>
    <t xml:space="preserve">Mezisoučet – Suzhou Sonavox Electronics Co., Ltd</t>
  </si>
  <si>
    <t xml:space="preserve">Suzhou Yanlong Electronic Product Co., Ltd</t>
  </si>
  <si>
    <t xml:space="preserve">CZ20260725-2</t>
  </si>
  <si>
    <t xml:space="preserve">Membrána s vlnkou (cone) – membrána elektrodynamického reproduktoru</t>
  </si>
  <si>
    <t xml:space="preserve">Mezisoučet – Suzhou Yanlong Electronic Product Co., Ltd</t>
  </si>
  <si>
    <t xml:space="preserve">CELKEM ZÁSILKA / TOTAL SHIPMENT</t>
  </si>
  <si>
    <t xml:space="preserve">Kontrola / cross-check</t>
  </si>
  <si>
    <t xml:space="preserve">Ze souhrnu</t>
  </si>
  <si>
    <t xml:space="preserve">Z dokladů</t>
  </si>
  <si>
    <t xml:space="preserve">Rozdíl</t>
  </si>
  <si>
    <t xml:space="preserve">Množství celkem vs. součet faktur</t>
  </si>
  <si>
    <t xml:space="preserve">Čistá hmotnost celkem (kg)</t>
  </si>
  <si>
    <t xml:space="preserve">Hrubá hmotnost celkem (kg) vs. FCR/SMGS 24 133 kg</t>
  </si>
  <si>
    <t xml:space="preserve">Celní hodnota celkem (EUR) vs. součet faktur</t>
  </si>
  <si>
    <t xml:space="preserve">POLOŽKY BEZ HS KÓDU – NUTNO VYŽÁDAT OD KLIENTA</t>
  </si>
  <si>
    <t xml:space="preserve">Tyto položky nemají HS kód v žádném podkladu – ani v e-mailu „SONAVOX HS KODY“, ani v předchozích celních prohlášeních Sonavox. Kód nelze doplnit vlastním odvozením; musí ho poskytnout klient.</t>
  </si>
  <si>
    <t xml:space="preserve">Odesílatel</t>
  </si>
  <si>
    <t xml:space="preserve">Pol. č.</t>
  </si>
  <si>
    <t xml:space="preserve">Part Number</t>
  </si>
  <si>
    <t xml:space="preserve">Popis dle faktury (EN)</t>
  </si>
  <si>
    <t xml:space="preserve">Čistá hm. (kg)</t>
  </si>
  <si>
    <t xml:space="preserve">Hrubá hm. (kg)</t>
  </si>
  <si>
    <t xml:space="preserve">HS kód – DOPLNÍ KLIENT</t>
  </si>
  <si>
    <t xml:space="preserve">J2-10X002-0001-CZ</t>
  </si>
  <si>
    <t xml:space="preserve">Waterproof membrane</t>
  </si>
  <si>
    <t xml:space="preserve">029A-000004-CZ</t>
  </si>
  <si>
    <t xml:space="preserve">Spring nut</t>
  </si>
  <si>
    <t xml:space="preserve">CELKEM</t>
  </si>
  <si>
    <t xml:space="preserve">Sender</t>
  </si>
  <si>
    <t xml:space="preserve">Invoice No.</t>
  </si>
  <si>
    <t xml:space="preserve">Item</t>
  </si>
  <si>
    <t xml:space="preserve">Description of Goods (EN)</t>
  </si>
  <si>
    <t xml:space="preserve">Quantity (pcs)</t>
  </si>
  <si>
    <t xml:space="preserve">Net weight (kg)</t>
  </si>
  <si>
    <t xml:space="preserve">Gross weight (kg)</t>
  </si>
  <si>
    <t xml:space="preserve">Customs value (EUR)</t>
  </si>
  <si>
    <t xml:space="preserve">Zdroj HS kódu</t>
  </si>
  <si>
    <t xml:space="preserve">010-KD1622S-3.8A-CZ</t>
  </si>
  <si>
    <t xml:space="preserve">Voice coil</t>
  </si>
  <si>
    <t xml:space="preserve">e-mail SONAVOX HS KODY: „Voice Coil / Kmitací cívka – HS 85045000 00“ (ZISZ 30-0292-2016)</t>
  </si>
  <si>
    <t xml:space="preserve">040-62E4-CR-CZ</t>
  </si>
  <si>
    <t xml:space="preserve">Front plate</t>
  </si>
  <si>
    <t xml:space="preserve">Ocelová deska (front plate) – součást autoreproduktoru</t>
  </si>
  <si>
    <t xml:space="preserve">předchozí celní prohlášení Sonavox: „Front plate – deska“, CN 8518 90 00 DK 00 (POZOR: e-mail uvádí ...90 – rozpor)</t>
  </si>
  <si>
    <t xml:space="preserve">040-80I6-CRB-CZ</t>
  </si>
  <si>
    <t xml:space="preserve">040-54D3-CR-1-CZ</t>
  </si>
  <si>
    <t xml:space="preserve">021-100F00-9-CZ</t>
  </si>
  <si>
    <t xml:space="preserve">Spider</t>
  </si>
  <si>
    <t xml:space="preserve">Středící membrána (spider) – naimpregnovaná textilie, součást autoreproduktoru</t>
  </si>
  <si>
    <t xml:space="preserve">e-mail SONAVOX HS KODY + předchozí celní prohlášení: „Spider – 8518 9000 00“</t>
  </si>
  <si>
    <t xml:space="preserve">021-80E15-3-CZ</t>
  </si>
  <si>
    <t xml:space="preserve">140-35D14-44XP1-CZ</t>
  </si>
  <si>
    <t xml:space="preserve">Cone</t>
  </si>
  <si>
    <t xml:space="preserve">e-mail SONAVOX HS KODY + předchozí celní prohlášení: „Cone – HS 85189000 00“</t>
  </si>
  <si>
    <t xml:space="preserve">181-35113-1SN-CZ</t>
  </si>
  <si>
    <t xml:space="preserve">Terminal</t>
  </si>
  <si>
    <t xml:space="preserve">Kontakt / vývod (terminal) – část autoreproduktoru</t>
  </si>
  <si>
    <t xml:space="preserve">předchozí celní prohlášení Sonavox: „terminal – části reproduktorů“, CN 8518 90 00 DK 00</t>
  </si>
  <si>
    <t xml:space="preserve">181-35113-2SN-CZ</t>
  </si>
  <si>
    <t xml:space="preserve">181-40133-1SN-CZ</t>
  </si>
  <si>
    <t xml:space="preserve">181-40133-2SN-CZ</t>
  </si>
  <si>
    <t xml:space="preserve">142-630H10-15H-CZ</t>
  </si>
  <si>
    <t xml:space="preserve">Gasket</t>
  </si>
  <si>
    <t xml:space="preserve">Plastové těsnění (gasket) – ostatní výrobky z plastů</t>
  </si>
  <si>
    <t xml:space="preserve">předchozí celní prohlášení Sonavox: „Gassket – plastové těsnění“, CN 3926 90 97 DK 90</t>
  </si>
  <si>
    <t xml:space="preserve">142-40X25-25D-CZ</t>
  </si>
  <si>
    <t xml:space="preserve">JK-65425-01</t>
  </si>
  <si>
    <t xml:space="preserve">Gauge</t>
  </si>
  <si>
    <t xml:space="preserve">Plastový kalibr (gauge) – montážní přípravek, ostatní výrobky z plastů</t>
  </si>
  <si>
    <t xml:space="preserve">e-mail SONAVOX HS KODY + předchozí celní prohlášení: „Gauge – 3926 9097 90“</t>
  </si>
  <si>
    <t xml:space="preserve">JK-35113-01-CZ</t>
  </si>
  <si>
    <t xml:space="preserve">029-2513-AL-CZ</t>
  </si>
  <si>
    <t xml:space="preserve">Nut</t>
  </si>
  <si>
    <t xml:space="preserve">e-mail SONAVOX HS KODY: „Insert (nut) – 7318159519“ (POZOR: materiál dílu neověřen – viz Poznámky)</t>
  </si>
  <si>
    <t xml:space="preserve">008-XH-2Y-DK-6-CZ</t>
  </si>
  <si>
    <t xml:space="preserve">Harness</t>
  </si>
  <si>
    <t xml:space="preserve">předchozí celní prohlášení Sonavox: „harness – kabelový svazek“, CN 7413 00 00 DK 90</t>
  </si>
  <si>
    <t xml:space="preserve">212-8075-CZ</t>
  </si>
  <si>
    <t xml:space="preserve">Ceramics circle</t>
  </si>
  <si>
    <t xml:space="preserve">e-mail SONAVOX HS KODY: „CERAMICS CIRCLE / magnetický obvod – 8518900000“</t>
  </si>
  <si>
    <t xml:space="preserve">IM-50196-AUDICZ</t>
  </si>
  <si>
    <t xml:space="preserve">Car Speaker</t>
  </si>
  <si>
    <t xml:space="preserve">e-mail SONAVOX HS KODY + předchozí celní prohlášení: „SPEAKER / reproduktor – 8518210000“, CN 8518 21 00 DK 00</t>
  </si>
  <si>
    <t xml:space="preserve">140-80I27-42X-CZ</t>
  </si>
  <si>
    <t xml:space="preserve">140-80E30-58X-CZ</t>
  </si>
  <si>
    <t xml:space="preserve">140-40E17-72XC-CZ</t>
  </si>
  <si>
    <t xml:space="preserve">CELKEM / TOTAL</t>
  </si>
  <si>
    <t xml:space="preserve">POZNÁMKY, UPOZORNĚNÍ A NESROVNALOSTI</t>
  </si>
  <si>
    <t xml:space="preserve">Priorita</t>
  </si>
  <si>
    <t xml:space="preserve">Téma</t>
  </si>
  <si>
    <t xml:space="preserve">Popis</t>
  </si>
  <si>
    <t xml:space="preserve">KRITICKÉ</t>
  </si>
  <si>
    <t xml:space="preserve">Dvě položky bez HS kódu – nelze proclít</t>
  </si>
  <si>
    <t xml:space="preserve">Waterproof membrane J2-10X002-0001-CZ (210 000 ks, 8 820,00 EUR) a Spring nut 029A-000004-CZ (30 000 ks, 540,00 EUR), obě z faktury CZ20260725. Ani jedna není v e-mailu „SONAVOX HS KODY“ ani v předchozích celních prohlášeních. Kódy NEBYLY doplněny vlastním odvozením – musí je poskytnout klient. Detail na listu „Chybějící HS kódy“.</t>
  </si>
  <si>
    <t xml:space="preserve">Preferenční věta / preferenční původ (COO)</t>
  </si>
  <si>
    <t xml:space="preserve">V žádném z dodaných dokladů (3× faktura, 3× packing list, FCR TECGO26080029, nákladní list SMGS 38055706) NENÍ uvedena preferenční věta o původu zboží. Původ zboží = ČÍNA. EU nemá s Čínou dohodu o preferenčním obchodu, preferenční sazební zacházení tedy NELZE uplatnit a použije se plná celní sazba třetí země.</t>
  </si>
  <si>
    <t xml:space="preserve">Incoterm – chybí místo a termín neodpovídá druhu přepravy</t>
  </si>
  <si>
    <t xml:space="preserve">Všechny tři faktury i packing listy uvádějí pouze „Terms of Payment: FOB“ – BEZ přístavu / jmenovaného místa. Navíc FOB je dle Incoterms 2020 určen jen pro námořní a vnitrozemskou vodní přepravu, ale zásilka jde ŽELEZNICÍ (Zhengzhou/Putian → Malaszewicze → CZ); správný termín je FCA s uvedeným místem. FCR je „freight collect“, takže bez určení dodacího místa nelze spolehlivě určit, zda se do celní hodnoty připočítává dopravné do hranice EU.</t>
  </si>
  <si>
    <t xml:space="preserve">Antidumping u matic – závisí na materiálu i na druhu dílu</t>
  </si>
  <si>
    <t xml:space="preserve">Položka 14 (Nut, 029-2513-AL-CZ, 180 000 ks, 12 600,00 EUR) má dle e-mailu SONAVOX kód 7318 15 95 19. Tři možné scénáře: (a) HLINÍK → 7616 10 00, clo cca 6 %, BEZ antidumpingu; (b) OCELOVÁ MATICE → 7318 16, clo cca 3,7 %, BEZ antidumpingu; (c) OCELOVÝ ŠROUB / VLOŽKA → ex 7318 15 95, clo 3,7 % + ANTIDUMPING 22,1–86,5 %. Nař. (EU) 2022/191 se vztahuje na vruty, samořezné šrouby, ostatní šrouby a svorníky s hlavou a podložky (7318 12 90, 7318 14 91, 7318 14 99, 7318 15 58, 7318 15 68, 7318 15 82, 7318 15 88, ex 7318 15 95, ex 7318 21 00, ex 7318 22 00) – kód 7318 16 pro MATICE v seznamu NENÍ. Bez jména čínského výrobce se uplatní zbytková sazba 86,5 %. NUTNO ZJISTIT MATERIÁL, DRUH DÍLU A VÝROBCE.</t>
  </si>
  <si>
    <t xml:space="preserve">CBAM – platí u matic v každé variantě</t>
  </si>
  <si>
    <t xml:space="preserve">Položka 14 (180 000 ks, čistá hmotnost 299,70 kg) spadá do přílohy I nařízení CBAM bez ohledu na výsledek otázky materiálu – kapitola 73 (železo a ocel) i kapitola 76 (hliník) jsou v příloze I. Nutno zahrnout do čtvrtletního CBAM hlášení. Pokud bude Spring nut zařazen do stejné kapitoly, platí totéž i pro něj. Ostatní položky zásilky (kap. 39, 85) do CBAM nespadají.</t>
  </si>
  <si>
    <t xml:space="preserve">ROZPOR</t>
  </si>
  <si>
    <t xml:space="preserve">Front plate – e-mail a celní prohlášení se liší</t>
  </si>
  <si>
    <t xml:space="preserve">E-mail SONAVOX uvádí u „FRONT PLATE / ocelová deska“ kód 8518900090. Předchozí celní prohlášení Sonavox však deklaruje „Front plate – deska“ pod CN 8518 90 00 s DK 00. V souhrnu je použita varianta z celního prohlášení (8518 9000 00), protože jde o skutečně přijaté prohlášení. Přípony 40 / 90 / 99, které e-mail u 8518 90 00 používá, se v žádném z prohlášení nevyskytují – vždy je tam DK 00. POKUD MÁ PLATIT VARIANTA Z E-MAILU, JE NUTNO ŘÁDEK OPRAVIT.</t>
  </si>
  <si>
    <t xml:space="preserve">Terminal – e-mail a celní prohlášení se liší</t>
  </si>
  <si>
    <t xml:space="preserve">E-mail SONAVOX nemá řádek „Terminal“; nejbližší je „Pin, lug / kontakt – 74093900“. Předchozí celní prohlášení však deklaruje přímo „terminal – části reproduktorů“ pod CN 8518 90 00 DK 00. V souhrnu je použit kód z celního prohlášení, protože odpovídá názvu položky doslova.</t>
  </si>
  <si>
    <t xml:space="preserve">NESROVNALOST</t>
  </si>
  <si>
    <t xml:space="preserve">FCR uvádí jen jednoho odesílatele, zásilka je od tří prodávajících</t>
  </si>
  <si>
    <t xml:space="preserve">FCR TECGO26080029 uvádí jako shipper pouze SUZHOU SONAVOX ELECTRONICS CO., LTD, zboží však pochází od tří různých prodávajících dle tří samostatných faktur. Souhrn je proto členěn dle odesílatele.</t>
  </si>
  <si>
    <t xml:space="preserve">Popis zboží ve FCR neuvádí všechny položky</t>
  </si>
  <si>
    <t xml:space="preserve">FCR vyjmenovává: Speaker component, Speaker, Voice coil, Front plate, Gasket, Waterproof membrane, Terminal, Nut, Spring nut, Harness, Gauge, Cone. CHYBÍ SPIDER (77 600 ks) a CERAMICS CIRCLE (19 152 ks) – zřejmě zahrnuty pod obecné „Speaker component“.</t>
  </si>
  <si>
    <t xml:space="preserve">Nákladní list SMGS deklaruje celý kontejner pod jedním kódem</t>
  </si>
  <si>
    <t xml:space="preserve">SMGS 38055706 uvádí HS 851890 / 85189000 „Speaker component“ (+ HS 99020000) pro celý kontejner, ačkoli zboží spadá do kapitol 39, 73 a 85. Přepravní zjednodušení bez vlivu na celní zařazení, může však vyvolat dotaz celního úřadu.</t>
  </si>
  <si>
    <t xml:space="preserve">Rozdílná čísla bankovních účtů (CZ20260725)</t>
  </si>
  <si>
    <t xml:space="preserve">Packing list uvádí účet EUR 500158216108, faktura EUR 468960663282. Bez vlivu na celní řízení, ale před úhradou ověřit u dodavatele.</t>
  </si>
  <si>
    <t xml:space="preserve">ETD/ETA neodpovídá datu vypravení</t>
  </si>
  <si>
    <t xml:space="preserve">Packing list CZ20260725-2 uvádí ETD 29.07.2026 / ETA 29.08.2026; FCR byl vystaven 04.08.2026 a vlak má č. V.WB2026/08/05. U zbylých dvou sad dokladů jsou ETD/ETA prázdné.</t>
  </si>
  <si>
    <t xml:space="preserve">OK</t>
  </si>
  <si>
    <t xml:space="preserve">Faktury a packing listy spolu souhlasí</t>
  </si>
  <si>
    <t xml:space="preserve">Porovnáno po položkách: 19 / 2 / 3 řádků v obou dokladech každé sady, shodná čísla dílů, množství i popisy. Žádná položka není jen na faktuře nebo jen na packing listu.</t>
  </si>
  <si>
    <t xml:space="preserve">Kontrolní součty souhlasí</t>
  </si>
  <si>
    <t xml:space="preserve">Hrubá hmotnost 9 950,74 + 12 907,84 + 1 274,42 = 24 133,00 kg = FCR i SMGS. Kolí 12 + 23 + 16 = 51 palet. Objem 15,24 + 16,64 + 19,52 = 51,40 CBM = FCR. Množství i celní hodnota souhlasí s fakturami.</t>
  </si>
  <si>
    <t xml:space="preserve">Sleva / rabat</t>
  </si>
  <si>
    <t xml:space="preserve">V žádné faktuře není uvedena obchodní sleva ani rabat; součet položek = Sub Total. Poměrné rozpuštění slevy do celní hodnoty se neuplatňuje.</t>
  </si>
  <si>
    <t xml:space="preserve">INFO</t>
  </si>
  <si>
    <t xml:space="preserve">Kódy nebyly nikdy doplňovány vlastním odvozením</t>
  </si>
  <si>
    <t xml:space="preserve">Každý HS kód v tomto souhrnu je doslovně převzat z e-mailu „SONAVOX HS KODY“ nebo z předchozího celního prohlášení Sonavox; zdroj je uveden u každého řádku ve sloupci „Zdroj HS kódu“ a na listu Line items. Kde podklad chybí, zůstává kód prázdný. Platnost kódů nebyla ověřena přímo v databázi TARIC – doporučeno před podáním prohlášení zkontrolovat.</t>
  </si>
  <si>
    <t xml:space="preserve">ZDROJOVÉ DOKLADY</t>
  </si>
  <si>
    <t xml:space="preserve">Doklad</t>
  </si>
  <si>
    <t xml:space="preserve">Obsah / použití</t>
  </si>
  <si>
    <t xml:space="preserve">TRCZ20260725.xlsx (PL, INV)</t>
  </si>
  <si>
    <t xml:space="preserve">Faktura + packing list CZ20260725 – Suzhou Sonavox International Trading (19 položek)</t>
  </si>
  <si>
    <t xml:space="preserve">ELCZ202607251_...GCS.xlsx (2 soubory)</t>
  </si>
  <si>
    <t xml:space="preserve">Faktura + packing list CZ20260725-1 – Suzhou Sonavox Electronics (2 položky)</t>
  </si>
  <si>
    <t xml:space="preserve">YLCZ202607252.xlsx (PL, INV)</t>
  </si>
  <si>
    <t xml:space="preserve">Faktura + packing list CZ20260725-2 – Suzhou Yanlong Electronic Product (3 položky)</t>
  </si>
  <si>
    <t xml:space="preserve">HBL_TECGO26080029.pdf</t>
  </si>
  <si>
    <t xml:space="preserve">Forwarder's Cargo Receipt T.H.I. Group – trasa, kontejner, brutto, kolí, objem</t>
  </si>
  <si>
    <t xml:space="preserve">CIMU1716969.pdf</t>
  </si>
  <si>
    <t xml:space="preserve">Nákladní list SMGS 38055706 – železniční přeprava, plomba, hmotnosti, trasa</t>
  </si>
  <si>
    <t xml:space="preserve">Re_SONAVOX_HS_KODY.eml</t>
  </si>
  <si>
    <t xml:space="preserve">Referenční tabulka HS kódů s českými popisy (Ing. Michaela Ryan, Sonavox Technology CZ)</t>
  </si>
  <si>
    <t xml:space="preserve">Předchozí celní prohlášení Sonavox (2×)</t>
  </si>
  <si>
    <t xml:space="preserve">Položky dřívějších prohlášení na obdobné zásilky – zdroj kódů 8518 90 00 DK 00, 8518 21 00 DK 00, 7413 00 00 DK 90, 3926 90 97 DK 90</t>
  </si>
  <si>
    <t xml:space="preserve">E-mail Josef Šrejber, OR: CZ26011282</t>
  </si>
  <si>
    <t xml:space="preserve">Zadání k vyclení – reference, celnice A1 Ostrava, režim volný oběh, příjezd 34. týden</t>
  </si>
  <si>
    <t xml:space="preserve">PRAVIDLO</t>
  </si>
  <si>
    <t xml:space="preserve">HS kódy se v tomto souhrnu NEVYTVÁŘEJÍ vlastním odvozením. Použit je pouze kód doslovně uvedený v některém z výše uvedených podkladů; zdroj je zaznamenán u každého řádku. Položky bez podkladu zůstávají bez kódu a vyžadují se od klienta – list „Chybějící HS kódy“.</t>
  </si>
</sst>
</file>

<file path=xl/styles.xml><?xml version="1.0" encoding="utf-8"?>
<styleSheet xmlns="http://schemas.openxmlformats.org/spreadsheetml/2006/main">
  <numFmts count="4">
    <numFmt numFmtId="164" formatCode="General"/>
    <numFmt numFmtId="165" formatCode="@"/>
    <numFmt numFmtId="166" formatCode="#,##0"/>
    <numFmt numFmtId="167" formatCode="#,##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0"/>
      <name val="Arial"/>
      <family val="0"/>
      <charset val="1"/>
    </font>
    <font>
      <sz val="10"/>
      <name val="Arial"/>
      <family val="0"/>
      <charset val="1"/>
    </font>
    <font>
      <b val="true"/>
      <sz val="10"/>
      <color rgb="FFC00000"/>
      <name val="Arial"/>
      <family val="0"/>
      <charset val="1"/>
    </font>
    <font>
      <b val="true"/>
      <sz val="10"/>
      <color rgb="FFFFFFFF"/>
      <name val="Arial"/>
      <family val="0"/>
      <charset val="1"/>
    </font>
  </fonts>
  <fills count="8">
    <fill>
      <patternFill patternType="none"/>
    </fill>
    <fill>
      <patternFill patternType="gray125"/>
    </fill>
    <fill>
      <patternFill patternType="solid">
        <fgColor rgb="FFFFF2CC"/>
        <bgColor rgb="FFFCE4E4"/>
      </patternFill>
    </fill>
    <fill>
      <patternFill patternType="solid">
        <fgColor rgb="FF1F4E79"/>
        <bgColor rgb="FF003366"/>
      </patternFill>
    </fill>
    <fill>
      <patternFill patternType="solid">
        <fgColor rgb="FFFCE4E4"/>
        <bgColor rgb="FFF2F2F2"/>
      </patternFill>
    </fill>
    <fill>
      <patternFill patternType="solid">
        <fgColor rgb="FFDDEBF7"/>
        <bgColor rgb="FFF2F2F2"/>
      </patternFill>
    </fill>
    <fill>
      <patternFill patternType="solid">
        <fgColor rgb="FFF2F2F2"/>
        <bgColor rgb="FFDDEBF7"/>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5" fontId="7" fillId="4" borderId="1" xfId="0" applyFont="true" applyBorder="true" applyAlignment="true" applyProtection="false">
      <alignment horizontal="general" vertical="top" textRotation="0" wrapText="true" indent="0" shrinkToFit="false"/>
      <protection locked="true" hidden="false"/>
    </xf>
    <xf numFmtId="166" fontId="6" fillId="4" borderId="1" xfId="0" applyFont="true" applyBorder="true" applyAlignment="true" applyProtection="false">
      <alignment horizontal="general" vertical="top" textRotation="0" wrapText="true" indent="0" shrinkToFit="false"/>
      <protection locked="true" hidden="false"/>
    </xf>
    <xf numFmtId="167" fontId="6"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6" fontId="5" fillId="5" borderId="1" xfId="0" applyFont="true" applyBorder="true" applyAlignment="false" applyProtection="false">
      <alignment horizontal="general" vertical="bottom" textRotation="0" wrapText="false" indent="0" shrinkToFit="false"/>
      <protection locked="true" hidden="false"/>
    </xf>
    <xf numFmtId="167" fontId="5" fillId="5"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6" fontId="5" fillId="6" borderId="1" xfId="0" applyFont="true" applyBorder="true" applyAlignment="false" applyProtection="false">
      <alignment horizontal="general" vertical="bottom" textRotation="0" wrapText="false" indent="0" shrinkToFit="false"/>
      <protection locked="true" hidden="false"/>
    </xf>
    <xf numFmtId="167" fontId="5" fillId="6" borderId="1" xfId="0" applyFont="true" applyBorder="tru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6" fontId="5" fillId="6" borderId="0" xfId="0" applyFont="true" applyBorder="false" applyAlignment="false" applyProtection="false">
      <alignment horizontal="general" vertical="bottom" textRotation="0" wrapText="false" indent="0" shrinkToFit="false"/>
      <protection locked="true" hidden="false"/>
    </xf>
    <xf numFmtId="167" fontId="5" fillId="6"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9"/>
          <bgColor rgb="FF000000"/>
        </patternFill>
      </fill>
    </dxf>
    <dxf>
      <fill>
        <patternFill patternType="solid">
          <fgColor rgb="FFFCE4E4"/>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8" topLeftCell="A1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2" min="2" style="0" width="14"/>
    <col collapsed="false" customWidth="true" hidden="false" outlineLevel="0" max="3" min="3" style="0" width="24"/>
    <col collapsed="false" customWidth="true" hidden="false" outlineLevel="0" max="4" min="4" style="0" width="52"/>
    <col collapsed="false" customWidth="true" hidden="false" outlineLevel="0" max="5" min="5" style="0" width="13"/>
    <col collapsed="false" customWidth="true" hidden="false" outlineLevel="0" max="7" min="6" style="0" width="15"/>
    <col collapsed="false" customWidth="true" hidden="false" outlineLevel="0" max="8" min="8" style="0" width="16"/>
    <col collapsed="false" customWidth="true" hidden="false" outlineLevel="0" max="9" min="9" style="0" width="32"/>
    <col collapsed="false" customWidth="true" hidden="false" outlineLevel="0" max="10" min="10" style="0" width="11"/>
    <col collapsed="false" customWidth="true" hidden="false" outlineLevel="0" max="11" min="11" style="0" width="13"/>
    <col collapsed="false" customWidth="true" hidden="false" outlineLevel="0" max="12" min="12" style="0" width="62"/>
  </cols>
  <sheetData>
    <row r="1" customFormat="false" ht="16.15" hidden="false" customHeight="false" outlineLevel="0" collapsed="false">
      <c r="A1" s="1" t="s">
        <v>0</v>
      </c>
    </row>
    <row r="3" customFormat="false" ht="15" hidden="false" customHeight="false" outlineLevel="0" collapsed="false">
      <c r="A3" s="2" t="s">
        <v>1</v>
      </c>
      <c r="B3" s="3" t="s">
        <v>2</v>
      </c>
    </row>
    <row r="4" customFormat="false" ht="15" hidden="false" customHeight="false" outlineLevel="0" collapsed="false">
      <c r="A4" s="2" t="s">
        <v>3</v>
      </c>
      <c r="B4" s="3" t="s">
        <v>4</v>
      </c>
    </row>
    <row r="5" customFormat="false" ht="15" hidden="false" customHeight="false" outlineLevel="0" collapsed="false">
      <c r="A5" s="2" t="s">
        <v>5</v>
      </c>
      <c r="B5" s="3" t="s">
        <v>6</v>
      </c>
    </row>
    <row r="6" customFormat="false" ht="15" hidden="false" customHeight="false" outlineLevel="0" collapsed="false">
      <c r="A6" s="2" t="s">
        <v>7</v>
      </c>
      <c r="B6" s="3" t="s">
        <v>8</v>
      </c>
    </row>
    <row r="7" customFormat="false" ht="15" hidden="false" customHeight="false" outlineLevel="0" collapsed="false">
      <c r="A7" s="2" t="s">
        <v>9</v>
      </c>
      <c r="B7" s="3" t="s">
        <v>10</v>
      </c>
    </row>
    <row r="8" customFormat="false" ht="15" hidden="false" customHeight="false" outlineLevel="0" collapsed="false">
      <c r="A8" s="2" t="s">
        <v>11</v>
      </c>
      <c r="B8" s="3" t="s">
        <v>12</v>
      </c>
    </row>
    <row r="9" customFormat="false" ht="15" hidden="false" customHeight="false" outlineLevel="0" collapsed="false">
      <c r="A9" s="2" t="s">
        <v>13</v>
      </c>
      <c r="B9" s="3" t="s">
        <v>14</v>
      </c>
    </row>
    <row r="10" customFormat="false" ht="15" hidden="false" customHeight="false" outlineLevel="0" collapsed="false">
      <c r="A10" s="2" t="s">
        <v>15</v>
      </c>
      <c r="B10" s="3" t="s">
        <v>16</v>
      </c>
    </row>
    <row r="11" customFormat="false" ht="15" hidden="false" customHeight="false" outlineLevel="0" collapsed="false">
      <c r="A11" s="2" t="s">
        <v>17</v>
      </c>
      <c r="B11" s="3" t="s">
        <v>18</v>
      </c>
    </row>
    <row r="12" customFormat="false" ht="15" hidden="false" customHeight="false" outlineLevel="0" collapsed="false">
      <c r="A12" s="2" t="s">
        <v>19</v>
      </c>
      <c r="B12" s="3" t="s">
        <v>20</v>
      </c>
    </row>
    <row r="13" customFormat="false" ht="15" hidden="false" customHeight="false" outlineLevel="0" collapsed="false">
      <c r="A13" s="4" t="s">
        <v>21</v>
      </c>
      <c r="B13" s="5" t="s">
        <v>22</v>
      </c>
    </row>
    <row r="14" customFormat="false" ht="15" hidden="false" customHeight="false" outlineLevel="0" collapsed="false">
      <c r="A14" s="4" t="s">
        <v>23</v>
      </c>
      <c r="B14" s="5" t="s">
        <v>24</v>
      </c>
    </row>
    <row r="15" customFormat="false" ht="15" hidden="false" customHeight="false" outlineLevel="0" collapsed="false">
      <c r="A15" s="2" t="s">
        <v>25</v>
      </c>
      <c r="B15" s="3" t="s">
        <v>26</v>
      </c>
    </row>
    <row r="16" customFormat="false" ht="15" hidden="false" customHeight="false" outlineLevel="0" collapsed="false">
      <c r="A16" s="4" t="s">
        <v>27</v>
      </c>
      <c r="B16" s="5" t="s">
        <v>28</v>
      </c>
    </row>
    <row r="18" customFormat="false" ht="31.5" hidden="false" customHeight="true" outlineLevel="0" collapsed="false">
      <c r="A18" s="6" t="s">
        <v>29</v>
      </c>
      <c r="B18" s="6" t="s">
        <v>30</v>
      </c>
      <c r="C18" s="6" t="s">
        <v>31</v>
      </c>
      <c r="D18" s="6" t="s">
        <v>32</v>
      </c>
      <c r="E18" s="6" t="s">
        <v>33</v>
      </c>
      <c r="F18" s="6" t="s">
        <v>34</v>
      </c>
      <c r="G18" s="6" t="s">
        <v>35</v>
      </c>
      <c r="H18" s="6" t="s">
        <v>36</v>
      </c>
      <c r="I18" s="6" t="s">
        <v>37</v>
      </c>
      <c r="J18" s="6" t="s">
        <v>38</v>
      </c>
      <c r="K18" s="6" t="s">
        <v>39</v>
      </c>
      <c r="L18" s="6" t="s">
        <v>40</v>
      </c>
    </row>
    <row r="19" customFormat="false" ht="23.85" hidden="false" customHeight="false" outlineLevel="0" collapsed="false">
      <c r="A19" s="7" t="s">
        <v>41</v>
      </c>
      <c r="B19" s="7" t="s">
        <v>42</v>
      </c>
      <c r="C19" s="8" t="s">
        <v>43</v>
      </c>
      <c r="D19" s="7" t="s">
        <v>44</v>
      </c>
      <c r="E19" s="9" t="n">
        <f aca="false">SUMIFS('Line items'!H$2:H$25,'Line items'!$A$2:$A$25,$A19,'Line items'!$F$2:$F$25,$C19)</f>
        <v>65000</v>
      </c>
      <c r="F19" s="10" t="n">
        <f aca="false">SUMIFS('Line items'!I$2:I$25,'Line items'!$A$2:$A$25,$A19,'Line items'!$F$2:$F$25,$C19)</f>
        <v>86.5</v>
      </c>
      <c r="G19" s="10" t="n">
        <f aca="false">SUMIFS('Line items'!J$2:J$25,'Line items'!$A$2:$A$25,$A19,'Line items'!$F$2:$F$25,$C19)</f>
        <v>216.33</v>
      </c>
      <c r="H19" s="10" t="n">
        <f aca="false">SUMIFS('Line items'!K$2:K$25,'Line items'!$A$2:$A$25,$A19,'Line items'!$F$2:$F$25,$C19)</f>
        <v>9841</v>
      </c>
      <c r="I19" s="7" t="s">
        <v>22</v>
      </c>
      <c r="J19" s="7" t="s">
        <v>45</v>
      </c>
      <c r="K19" s="7" t="s">
        <v>45</v>
      </c>
      <c r="L19" s="7" t="s">
        <v>46</v>
      </c>
    </row>
    <row r="20" customFormat="false" ht="46.25" hidden="false" customHeight="false" outlineLevel="0" collapsed="false">
      <c r="A20" s="7" t="s">
        <v>41</v>
      </c>
      <c r="B20" s="7" t="s">
        <v>42</v>
      </c>
      <c r="C20" s="8" t="s">
        <v>47</v>
      </c>
      <c r="D20" s="7" t="s">
        <v>48</v>
      </c>
      <c r="E20" s="9" t="n">
        <f aca="false">SUMIFS('Line items'!H$2:H$25,'Line items'!$A$2:$A$25,$A20,'Line items'!$F$2:$F$25,$C20)</f>
        <v>778000</v>
      </c>
      <c r="F20" s="10" t="n">
        <f aca="false">SUMIFS('Line items'!I$2:I$25,'Line items'!$A$2:$A$25,$A20,'Line items'!$F$2:$F$25,$C20)</f>
        <v>8806.4</v>
      </c>
      <c r="G20" s="10" t="n">
        <f aca="false">SUMIFS('Line items'!J$2:J$25,'Line items'!$A$2:$A$25,$A20,'Line items'!$F$2:$F$25,$C20)</f>
        <v>8990.91</v>
      </c>
      <c r="H20" s="10" t="n">
        <f aca="false">SUMIFS('Line items'!K$2:K$25,'Line items'!$A$2:$A$25,$A20,'Line items'!$F$2:$F$25,$C20)</f>
        <v>32182.14</v>
      </c>
      <c r="I20" s="7" t="s">
        <v>22</v>
      </c>
      <c r="J20" s="7" t="s">
        <v>45</v>
      </c>
      <c r="K20" s="7" t="s">
        <v>45</v>
      </c>
      <c r="L20" s="7" t="s">
        <v>49</v>
      </c>
    </row>
    <row r="21" customFormat="false" ht="23.85" hidden="false" customHeight="false" outlineLevel="0" collapsed="false">
      <c r="A21" s="7" t="s">
        <v>41</v>
      </c>
      <c r="B21" s="7" t="s">
        <v>42</v>
      </c>
      <c r="C21" s="8" t="s">
        <v>50</v>
      </c>
      <c r="D21" s="7" t="s">
        <v>51</v>
      </c>
      <c r="E21" s="9" t="n">
        <f aca="false">SUMIFS('Line items'!H$2:H$25,'Line items'!$A$2:$A$25,$A21,'Line items'!$F$2:$F$25,$C21)</f>
        <v>9960</v>
      </c>
      <c r="F21" s="10" t="n">
        <f aca="false">SUMIFS('Line items'!I$2:I$25,'Line items'!$A$2:$A$25,$A21,'Line items'!$F$2:$F$25,$C21)</f>
        <v>103.09</v>
      </c>
      <c r="G21" s="10" t="n">
        <f aca="false">SUMIFS('Line items'!J$2:J$25,'Line items'!$A$2:$A$25,$A21,'Line items'!$F$2:$F$25,$C21)</f>
        <v>128</v>
      </c>
      <c r="H21" s="10" t="n">
        <f aca="false">SUMIFS('Line items'!K$2:K$25,'Line items'!$A$2:$A$25,$A21,'Line items'!$F$2:$F$25,$C21)</f>
        <v>1378.1</v>
      </c>
      <c r="I21" s="7" t="s">
        <v>22</v>
      </c>
      <c r="J21" s="7" t="s">
        <v>45</v>
      </c>
      <c r="K21" s="7" t="s">
        <v>45</v>
      </c>
      <c r="L21" s="7" t="s">
        <v>52</v>
      </c>
    </row>
    <row r="22" customFormat="false" ht="23.85" hidden="false" customHeight="false" outlineLevel="0" collapsed="false">
      <c r="A22" s="11" t="s">
        <v>41</v>
      </c>
      <c r="B22" s="11" t="s">
        <v>42</v>
      </c>
      <c r="C22" s="12" t="s">
        <v>53</v>
      </c>
      <c r="D22" s="11" t="s">
        <v>54</v>
      </c>
      <c r="E22" s="13" t="n">
        <f aca="false">SUMIFS('Line items'!H$2:H$25,'Line items'!$A$2:$A$25,$A22,'Line items'!$F$2:$F$25,$C22)</f>
        <v>180000</v>
      </c>
      <c r="F22" s="14" t="n">
        <f aca="false">SUMIFS('Line items'!I$2:I$25,'Line items'!$A$2:$A$25,$A22,'Line items'!$F$2:$F$25,$C22)</f>
        <v>299.7</v>
      </c>
      <c r="G22" s="14" t="n">
        <f aca="false">SUMIFS('Line items'!J$2:J$25,'Line items'!$A$2:$A$25,$A22,'Line items'!$F$2:$F$25,$C22)</f>
        <v>310.5</v>
      </c>
      <c r="H22" s="14" t="n">
        <f aca="false">SUMIFS('Line items'!K$2:K$25,'Line items'!$A$2:$A$25,$A22,'Line items'!$F$2:$F$25,$C22)</f>
        <v>12600</v>
      </c>
      <c r="I22" s="11" t="s">
        <v>22</v>
      </c>
      <c r="J22" s="15" t="s">
        <v>55</v>
      </c>
      <c r="K22" s="15" t="s">
        <v>56</v>
      </c>
      <c r="L22" s="11" t="s">
        <v>57</v>
      </c>
    </row>
    <row r="23" customFormat="false" ht="23.85" hidden="false" customHeight="false" outlineLevel="0" collapsed="false">
      <c r="A23" s="7" t="s">
        <v>41</v>
      </c>
      <c r="B23" s="7" t="s">
        <v>42</v>
      </c>
      <c r="C23" s="8" t="s">
        <v>58</v>
      </c>
      <c r="D23" s="7" t="s">
        <v>59</v>
      </c>
      <c r="E23" s="9" t="n">
        <f aca="false">SUMIFS('Line items'!H$2:H$25,'Line items'!$A$2:$A$25,$A23,'Line items'!$F$2:$F$25,$C23)</f>
        <v>51200</v>
      </c>
      <c r="F23" s="10" t="n">
        <f aca="false">SUMIFS('Line items'!I$2:I$25,'Line items'!$A$2:$A$25,$A23,'Line items'!$F$2:$F$25,$C23)</f>
        <v>235.52</v>
      </c>
      <c r="G23" s="10" t="n">
        <f aca="false">SUMIFS('Line items'!J$2:J$25,'Line items'!$A$2:$A$25,$A23,'Line items'!$F$2:$F$25,$C23)</f>
        <v>250</v>
      </c>
      <c r="H23" s="10" t="n">
        <f aca="false">SUMIFS('Line items'!K$2:K$25,'Line items'!$A$2:$A$25,$A23,'Line items'!$F$2:$F$25,$C23)</f>
        <v>8120.32</v>
      </c>
      <c r="I23" s="7" t="s">
        <v>22</v>
      </c>
      <c r="J23" s="7" t="s">
        <v>45</v>
      </c>
      <c r="K23" s="7" t="s">
        <v>45</v>
      </c>
      <c r="L23" s="7" t="s">
        <v>60</v>
      </c>
    </row>
    <row r="24" customFormat="false" ht="23.85" hidden="false" customHeight="false" outlineLevel="0" collapsed="false">
      <c r="A24" s="11" t="s">
        <v>41</v>
      </c>
      <c r="B24" s="11" t="s">
        <v>42</v>
      </c>
      <c r="C24" s="12" t="s">
        <v>61</v>
      </c>
      <c r="D24" s="11" t="s">
        <v>62</v>
      </c>
      <c r="E24" s="13" t="n">
        <f aca="false">SUMIFS('Line items'!H$2:H$25,'Line items'!$A$2:$A$25,$A24,'Line items'!$D$2:$D$25,"J2-10X002-0001-CZ")</f>
        <v>210000</v>
      </c>
      <c r="F24" s="14" t="n">
        <f aca="false">SUMIFS('Line items'!I$2:I$25,'Line items'!$A$2:$A$25,$A24,'Line items'!$D$2:$D$25,"J2-10X002-0001-CZ")</f>
        <v>30.24</v>
      </c>
      <c r="G24" s="14" t="n">
        <f aca="false">SUMIFS('Line items'!J$2:J$25,'Line items'!$A$2:$A$25,$A24,'Line items'!$D$2:$D$25,"J2-10X002-0001-CZ")</f>
        <v>40</v>
      </c>
      <c r="H24" s="14" t="n">
        <f aca="false">SUMIFS('Line items'!K$2:K$25,'Line items'!$A$2:$A$25,$A24,'Line items'!$D$2:$D$25,"J2-10X002-0001-CZ")</f>
        <v>8820</v>
      </c>
      <c r="I24" s="11" t="s">
        <v>22</v>
      </c>
      <c r="J24" s="15" t="s">
        <v>56</v>
      </c>
      <c r="K24" s="15" t="s">
        <v>56</v>
      </c>
      <c r="L24" s="11" t="s">
        <v>63</v>
      </c>
    </row>
    <row r="25" customFormat="false" ht="23.85" hidden="false" customHeight="false" outlineLevel="0" collapsed="false">
      <c r="A25" s="11" t="s">
        <v>41</v>
      </c>
      <c r="B25" s="11" t="s">
        <v>42</v>
      </c>
      <c r="C25" s="12" t="s">
        <v>61</v>
      </c>
      <c r="D25" s="11" t="s">
        <v>64</v>
      </c>
      <c r="E25" s="13" t="n">
        <f aca="false">SUMIFS('Line items'!H$2:H$25,'Line items'!$A$2:$A$25,$A25,'Line items'!$D$2:$D$25,"029A-000004-CZ")</f>
        <v>30000</v>
      </c>
      <c r="F25" s="14" t="n">
        <f aca="false">SUMIFS('Line items'!I$2:I$25,'Line items'!$A$2:$A$25,$A25,'Line items'!$D$2:$D$25,"029A-000004-CZ")</f>
        <v>12.6</v>
      </c>
      <c r="G25" s="14" t="n">
        <f aca="false">SUMIFS('Line items'!J$2:J$25,'Line items'!$A$2:$A$25,$A25,'Line items'!$D$2:$D$25,"029A-000004-CZ")</f>
        <v>15</v>
      </c>
      <c r="H25" s="14" t="n">
        <f aca="false">SUMIFS('Line items'!K$2:K$25,'Line items'!$A$2:$A$25,$A25,'Line items'!$D$2:$D$25,"029A-000004-CZ")</f>
        <v>540</v>
      </c>
      <c r="I25" s="11" t="s">
        <v>22</v>
      </c>
      <c r="J25" s="15" t="s">
        <v>56</v>
      </c>
      <c r="K25" s="15" t="s">
        <v>56</v>
      </c>
      <c r="L25" s="11" t="s">
        <v>63</v>
      </c>
    </row>
    <row r="26" customFormat="false" ht="15" hidden="false" customHeight="false" outlineLevel="0" collapsed="false">
      <c r="A26" s="16"/>
      <c r="B26" s="16"/>
      <c r="C26" s="16"/>
      <c r="D26" s="17" t="s">
        <v>65</v>
      </c>
      <c r="E26" s="18" t="n">
        <f aca="false">SUM(E19:E25)</f>
        <v>1324160</v>
      </c>
      <c r="F26" s="19" t="n">
        <f aca="false">SUM(F19:F25)</f>
        <v>9574.05</v>
      </c>
      <c r="G26" s="19" t="n">
        <f aca="false">SUM(G19:G25)</f>
        <v>9950.74</v>
      </c>
      <c r="H26" s="19" t="n">
        <f aca="false">SUM(H19:H25)</f>
        <v>73481.56</v>
      </c>
      <c r="I26" s="16"/>
      <c r="J26" s="16"/>
      <c r="K26" s="16"/>
      <c r="L26" s="16"/>
    </row>
    <row r="27" customFormat="false" ht="23.85" hidden="false" customHeight="false" outlineLevel="0" collapsed="false">
      <c r="A27" s="7" t="s">
        <v>66</v>
      </c>
      <c r="B27" s="7" t="s">
        <v>67</v>
      </c>
      <c r="C27" s="8" t="s">
        <v>47</v>
      </c>
      <c r="D27" s="7" t="s">
        <v>68</v>
      </c>
      <c r="E27" s="9" t="n">
        <f aca="false">SUMIFS('Line items'!H$2:H$25,'Line items'!$A$2:$A$25,$A27,'Line items'!$F$2:$F$25,$C27)</f>
        <v>19152</v>
      </c>
      <c r="F27" s="10" t="n">
        <f aca="false">SUMIFS('Line items'!I$2:I$25,'Line items'!$A$2:$A$25,$A27,'Line items'!$F$2:$F$25,$C27)</f>
        <v>11299.68</v>
      </c>
      <c r="G27" s="10" t="n">
        <f aca="false">SUMIFS('Line items'!J$2:J$25,'Line items'!$A$2:$A$25,$A27,'Line items'!$F$2:$F$25,$C27)</f>
        <v>11688.8</v>
      </c>
      <c r="H27" s="10" t="n">
        <f aca="false">SUMIFS('Line items'!K$2:K$25,'Line items'!$A$2:$A$25,$A27,'Line items'!$F$2:$F$25,$C27)</f>
        <v>19918.08</v>
      </c>
      <c r="I27" s="7" t="s">
        <v>22</v>
      </c>
      <c r="J27" s="7" t="s">
        <v>45</v>
      </c>
      <c r="K27" s="7" t="s">
        <v>45</v>
      </c>
      <c r="L27" s="7" t="s">
        <v>49</v>
      </c>
    </row>
    <row r="28" customFormat="false" ht="23.85" hidden="false" customHeight="false" outlineLevel="0" collapsed="false">
      <c r="A28" s="7" t="s">
        <v>66</v>
      </c>
      <c r="B28" s="7" t="s">
        <v>67</v>
      </c>
      <c r="C28" s="8" t="s">
        <v>69</v>
      </c>
      <c r="D28" s="7" t="s">
        <v>70</v>
      </c>
      <c r="E28" s="9" t="n">
        <f aca="false">SUMIFS('Line items'!H$2:H$25,'Line items'!$A$2:$A$25,$A28,'Line items'!$F$2:$F$25,$C28)</f>
        <v>2016</v>
      </c>
      <c r="F28" s="10" t="n">
        <f aca="false">SUMIFS('Line items'!I$2:I$25,'Line items'!$A$2:$A$25,$A28,'Line items'!$F$2:$F$25,$C28)</f>
        <v>1149.12</v>
      </c>
      <c r="G28" s="10" t="n">
        <f aca="false">SUMIFS('Line items'!J$2:J$25,'Line items'!$A$2:$A$25,$A28,'Line items'!$F$2:$F$25,$C28)</f>
        <v>1219.04</v>
      </c>
      <c r="H28" s="10" t="n">
        <f aca="false">SUMIFS('Line items'!K$2:K$25,'Line items'!$A$2:$A$25,$A28,'Line items'!$F$2:$F$25,$C28)</f>
        <v>5140.8</v>
      </c>
      <c r="I28" s="7" t="s">
        <v>22</v>
      </c>
      <c r="J28" s="7" t="s">
        <v>45</v>
      </c>
      <c r="K28" s="7" t="s">
        <v>45</v>
      </c>
      <c r="L28" s="7" t="s">
        <v>71</v>
      </c>
    </row>
    <row r="29" customFormat="false" ht="15" hidden="false" customHeight="false" outlineLevel="0" collapsed="false">
      <c r="A29" s="16"/>
      <c r="B29" s="16"/>
      <c r="C29" s="16"/>
      <c r="D29" s="17" t="s">
        <v>72</v>
      </c>
      <c r="E29" s="18" t="n">
        <f aca="false">SUM(E27:E28)</f>
        <v>21168</v>
      </c>
      <c r="F29" s="19" t="n">
        <f aca="false">SUM(F27:F28)</f>
        <v>12448.8</v>
      </c>
      <c r="G29" s="19" t="n">
        <f aca="false">SUM(G27:G28)</f>
        <v>12907.84</v>
      </c>
      <c r="H29" s="19" t="n">
        <f aca="false">SUM(H27:H28)</f>
        <v>25058.88</v>
      </c>
      <c r="I29" s="16"/>
      <c r="J29" s="16"/>
      <c r="K29" s="16"/>
      <c r="L29" s="16"/>
    </row>
    <row r="30" customFormat="false" ht="23.85" hidden="false" customHeight="false" outlineLevel="0" collapsed="false">
      <c r="A30" s="7" t="s">
        <v>73</v>
      </c>
      <c r="B30" s="7" t="s">
        <v>74</v>
      </c>
      <c r="C30" s="8" t="s">
        <v>47</v>
      </c>
      <c r="D30" s="7" t="s">
        <v>75</v>
      </c>
      <c r="E30" s="9" t="n">
        <f aca="false">SUMIFS('Line items'!H$2:H$25,'Line items'!$A$2:$A$25,$A30,'Line items'!$F$2:$F$25,$C30)</f>
        <v>43760</v>
      </c>
      <c r="F30" s="10" t="n">
        <f aca="false">SUMIFS('Line items'!I$2:I$25,'Line items'!$A$2:$A$25,$A30,'Line items'!$F$2:$F$25,$C30)</f>
        <v>957</v>
      </c>
      <c r="G30" s="10" t="n">
        <f aca="false">SUMIFS('Line items'!J$2:J$25,'Line items'!$A$2:$A$25,$A30,'Line items'!$F$2:$F$25,$C30)</f>
        <v>1274.42</v>
      </c>
      <c r="H30" s="10" t="n">
        <f aca="false">SUMIFS('Line items'!K$2:K$25,'Line items'!$A$2:$A$25,$A30,'Line items'!$F$2:$F$25,$C30)</f>
        <v>20830.64</v>
      </c>
      <c r="I30" s="7" t="s">
        <v>22</v>
      </c>
      <c r="J30" s="7" t="s">
        <v>45</v>
      </c>
      <c r="K30" s="7" t="s">
        <v>45</v>
      </c>
      <c r="L30" s="7" t="s">
        <v>49</v>
      </c>
    </row>
    <row r="31" customFormat="false" ht="15" hidden="false" customHeight="false" outlineLevel="0" collapsed="false">
      <c r="A31" s="16"/>
      <c r="B31" s="16"/>
      <c r="C31" s="16"/>
      <c r="D31" s="17" t="s">
        <v>76</v>
      </c>
      <c r="E31" s="18" t="n">
        <f aca="false">SUM(E30:E30)</f>
        <v>43760</v>
      </c>
      <c r="F31" s="19" t="n">
        <f aca="false">SUM(F30:F30)</f>
        <v>957</v>
      </c>
      <c r="G31" s="19" t="n">
        <f aca="false">SUM(G30:G30)</f>
        <v>1274.42</v>
      </c>
      <c r="H31" s="19" t="n">
        <f aca="false">SUM(H30:H30)</f>
        <v>20830.64</v>
      </c>
      <c r="I31" s="16"/>
      <c r="J31" s="16"/>
      <c r="K31" s="16"/>
      <c r="L31" s="16"/>
    </row>
    <row r="32" customFormat="false" ht="15" hidden="false" customHeight="false" outlineLevel="0" collapsed="false">
      <c r="A32" s="20"/>
      <c r="B32" s="20"/>
      <c r="C32" s="20"/>
      <c r="D32" s="21" t="s">
        <v>77</v>
      </c>
      <c r="E32" s="22" t="n">
        <f aca="false">E26+E29+E31</f>
        <v>1389088</v>
      </c>
      <c r="F32" s="23" t="n">
        <f aca="false">F26+F29+F31</f>
        <v>22979.85</v>
      </c>
      <c r="G32" s="23" t="n">
        <f aca="false">G26+G29+G31</f>
        <v>24133</v>
      </c>
      <c r="H32" s="23" t="n">
        <f aca="false">H26+H29+H31</f>
        <v>119371.08</v>
      </c>
      <c r="I32" s="20"/>
      <c r="J32" s="20"/>
      <c r="K32" s="20"/>
      <c r="L32" s="20"/>
    </row>
    <row r="34" customFormat="false" ht="15" hidden="false" customHeight="false" outlineLevel="0" collapsed="false">
      <c r="A34" s="2" t="s">
        <v>78</v>
      </c>
      <c r="B34" s="2" t="s">
        <v>79</v>
      </c>
      <c r="C34" s="2" t="s">
        <v>80</v>
      </c>
      <c r="D34" s="2" t="s">
        <v>81</v>
      </c>
    </row>
    <row r="35" customFormat="false" ht="15" hidden="false" customHeight="false" outlineLevel="0" collapsed="false">
      <c r="A35" s="3" t="s">
        <v>82</v>
      </c>
      <c r="B35" s="24" t="n">
        <f aca="false">E32</f>
        <v>1389088</v>
      </c>
      <c r="C35" s="24" t="n">
        <v>1389088</v>
      </c>
      <c r="D35" s="24" t="n">
        <f aca="false">B35-C35</f>
        <v>0</v>
      </c>
    </row>
    <row r="36" customFormat="false" ht="15" hidden="false" customHeight="false" outlineLevel="0" collapsed="false">
      <c r="A36" s="3" t="s">
        <v>83</v>
      </c>
      <c r="B36" s="24" t="n">
        <f aca="false">F32</f>
        <v>22979.85</v>
      </c>
      <c r="C36" s="24" t="n">
        <v>22979.85</v>
      </c>
      <c r="D36" s="24" t="n">
        <f aca="false">B36-C36</f>
        <v>0</v>
      </c>
    </row>
    <row r="37" customFormat="false" ht="15" hidden="false" customHeight="false" outlineLevel="0" collapsed="false">
      <c r="A37" s="3" t="s">
        <v>84</v>
      </c>
      <c r="B37" s="24" t="n">
        <f aca="false">G32</f>
        <v>24133</v>
      </c>
      <c r="C37" s="24" t="n">
        <v>24133</v>
      </c>
      <c r="D37" s="24" t="n">
        <f aca="false">B37-C37</f>
        <v>0</v>
      </c>
    </row>
    <row r="38" customFormat="false" ht="15" hidden="false" customHeight="false" outlineLevel="0" collapsed="false">
      <c r="A38" s="3" t="s">
        <v>85</v>
      </c>
      <c r="B38" s="24" t="n">
        <f aca="false">H32</f>
        <v>119371.08</v>
      </c>
      <c r="C38" s="24" t="n">
        <v>119371.08</v>
      </c>
      <c r="D38" s="24" t="n">
        <f aca="false">B38-C38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2" min="2" style="0" width="14"/>
    <col collapsed="false" customWidth="true" hidden="false" outlineLevel="0" max="3" min="3" style="0" width="8"/>
    <col collapsed="false" customWidth="true" hidden="false" outlineLevel="0" max="4" min="4" style="0" width="22"/>
    <col collapsed="false" customWidth="true" hidden="false" outlineLevel="0" max="5" min="5" style="0" width="26"/>
    <col collapsed="false" customWidth="true" hidden="false" outlineLevel="0" max="6" min="6" style="0" width="13"/>
    <col collapsed="false" customWidth="true" hidden="false" outlineLevel="0" max="8" min="7" style="0" width="14"/>
    <col collapsed="false" customWidth="true" hidden="false" outlineLevel="0" max="9" min="9" style="0" width="16"/>
    <col collapsed="false" customWidth="true" hidden="false" outlineLevel="0" max="10" min="10" style="0" width="24"/>
  </cols>
  <sheetData>
    <row r="1" customFormat="false" ht="16.15" hidden="false" customHeight="false" outlineLevel="0" collapsed="false">
      <c r="A1" s="1" t="s">
        <v>86</v>
      </c>
    </row>
    <row r="2" customFormat="false" ht="30" hidden="false" customHeight="true" outlineLevel="0" collapsed="false">
      <c r="A2" s="25" t="s">
        <v>87</v>
      </c>
      <c r="B2" s="25"/>
      <c r="C2" s="25"/>
      <c r="D2" s="25"/>
      <c r="E2" s="25"/>
      <c r="F2" s="25"/>
      <c r="G2" s="25"/>
      <c r="H2" s="25"/>
      <c r="I2" s="25"/>
    </row>
    <row r="4" customFormat="false" ht="31.5" hidden="false" customHeight="true" outlineLevel="0" collapsed="false">
      <c r="A4" s="6" t="s">
        <v>88</v>
      </c>
      <c r="B4" s="6" t="s">
        <v>30</v>
      </c>
      <c r="C4" s="6" t="s">
        <v>89</v>
      </c>
      <c r="D4" s="6" t="s">
        <v>90</v>
      </c>
      <c r="E4" s="6" t="s">
        <v>91</v>
      </c>
      <c r="F4" s="6" t="s">
        <v>33</v>
      </c>
      <c r="G4" s="6" t="s">
        <v>92</v>
      </c>
      <c r="H4" s="6" t="s">
        <v>93</v>
      </c>
      <c r="I4" s="6" t="s">
        <v>36</v>
      </c>
      <c r="J4" s="6" t="s">
        <v>94</v>
      </c>
    </row>
    <row r="5" customFormat="false" ht="15" hidden="false" customHeight="false" outlineLevel="0" collapsed="false">
      <c r="A5" s="7" t="s">
        <v>41</v>
      </c>
      <c r="B5" s="7" t="s">
        <v>42</v>
      </c>
      <c r="C5" s="7" t="n">
        <v>9</v>
      </c>
      <c r="D5" s="7" t="s">
        <v>95</v>
      </c>
      <c r="E5" s="7" t="s">
        <v>96</v>
      </c>
      <c r="F5" s="9" t="n">
        <v>210000</v>
      </c>
      <c r="G5" s="10" t="n">
        <v>30.24</v>
      </c>
      <c r="H5" s="10" t="n">
        <v>40</v>
      </c>
      <c r="I5" s="10" t="n">
        <v>8820</v>
      </c>
      <c r="J5" s="26"/>
    </row>
    <row r="6" customFormat="false" ht="15" hidden="false" customHeight="false" outlineLevel="0" collapsed="false">
      <c r="A6" s="7" t="s">
        <v>41</v>
      </c>
      <c r="B6" s="7" t="s">
        <v>42</v>
      </c>
      <c r="C6" s="7" t="n">
        <v>15</v>
      </c>
      <c r="D6" s="7" t="s">
        <v>97</v>
      </c>
      <c r="E6" s="7" t="s">
        <v>98</v>
      </c>
      <c r="F6" s="9" t="n">
        <v>30000</v>
      </c>
      <c r="G6" s="10" t="n">
        <v>12.6</v>
      </c>
      <c r="H6" s="10" t="n">
        <v>15</v>
      </c>
      <c r="I6" s="10" t="n">
        <v>540</v>
      </c>
      <c r="J6" s="26"/>
    </row>
    <row r="7" customFormat="false" ht="15" hidden="false" customHeight="false" outlineLevel="0" collapsed="false">
      <c r="E7" s="2" t="s">
        <v>99</v>
      </c>
      <c r="F7" s="27" t="n">
        <f aca="false">SUM(F5:F6)</f>
        <v>240000</v>
      </c>
      <c r="G7" s="28" t="n">
        <f aca="false">SUM(G5:G6)</f>
        <v>42.84</v>
      </c>
      <c r="H7" s="28" t="n">
        <f aca="false">SUM(H5:H6)</f>
        <v>55</v>
      </c>
      <c r="I7" s="28" t="n">
        <f aca="false">SUM(I5:I6)</f>
        <v>9360</v>
      </c>
    </row>
  </sheetData>
  <mergeCells count="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2" min="2" style="0" width="14"/>
    <col collapsed="false" customWidth="true" hidden="false" outlineLevel="0" max="3" min="3" style="0" width="7"/>
    <col collapsed="false" customWidth="true" hidden="false" outlineLevel="0" max="5" min="4" style="0" width="22"/>
    <col collapsed="false" customWidth="true" hidden="false" outlineLevel="0" max="6" min="6" style="0" width="24"/>
    <col collapsed="false" customWidth="true" hidden="false" outlineLevel="0" max="7" min="7" style="0" width="46"/>
    <col collapsed="false" customWidth="true" hidden="false" outlineLevel="0" max="9" min="8" style="0" width="13"/>
    <col collapsed="false" customWidth="true" hidden="false" outlineLevel="0" max="10" min="10" style="0" width="14"/>
    <col collapsed="false" customWidth="true" hidden="false" outlineLevel="0" max="11" min="11" style="0" width="15"/>
    <col collapsed="false" customWidth="true" hidden="false" outlineLevel="0" max="12" min="12" style="0" width="62"/>
  </cols>
  <sheetData>
    <row r="1" customFormat="false" ht="23.85" hidden="false" customHeight="false" outlineLevel="0" collapsed="false">
      <c r="A1" s="29" t="s">
        <v>100</v>
      </c>
      <c r="B1" s="29" t="s">
        <v>101</v>
      </c>
      <c r="C1" s="29" t="s">
        <v>102</v>
      </c>
      <c r="D1" s="29" t="s">
        <v>90</v>
      </c>
      <c r="E1" s="29" t="s">
        <v>103</v>
      </c>
      <c r="F1" s="29" t="s">
        <v>31</v>
      </c>
      <c r="G1" s="29" t="s">
        <v>32</v>
      </c>
      <c r="H1" s="29" t="s">
        <v>104</v>
      </c>
      <c r="I1" s="29" t="s">
        <v>105</v>
      </c>
      <c r="J1" s="29" t="s">
        <v>106</v>
      </c>
      <c r="K1" s="29" t="s">
        <v>107</v>
      </c>
      <c r="L1" s="29" t="s">
        <v>108</v>
      </c>
    </row>
    <row r="2" customFormat="false" ht="23.85" hidden="false" customHeight="false" outlineLevel="0" collapsed="false">
      <c r="A2" s="7" t="s">
        <v>41</v>
      </c>
      <c r="B2" s="7" t="s">
        <v>42</v>
      </c>
      <c r="C2" s="7" t="n">
        <v>1</v>
      </c>
      <c r="D2" s="7" t="s">
        <v>109</v>
      </c>
      <c r="E2" s="7" t="s">
        <v>110</v>
      </c>
      <c r="F2" s="8" t="s">
        <v>43</v>
      </c>
      <c r="G2" s="7" t="s">
        <v>44</v>
      </c>
      <c r="H2" s="9" t="n">
        <v>65000</v>
      </c>
      <c r="I2" s="10" t="n">
        <v>86.5</v>
      </c>
      <c r="J2" s="10" t="n">
        <v>216.33</v>
      </c>
      <c r="K2" s="10" t="n">
        <v>9841</v>
      </c>
      <c r="L2" s="7" t="s">
        <v>111</v>
      </c>
    </row>
    <row r="3" customFormat="false" ht="23.85" hidden="false" customHeight="false" outlineLevel="0" collapsed="false">
      <c r="A3" s="7" t="s">
        <v>41</v>
      </c>
      <c r="B3" s="7" t="s">
        <v>42</v>
      </c>
      <c r="C3" s="7" t="n">
        <v>2</v>
      </c>
      <c r="D3" s="7" t="s">
        <v>112</v>
      </c>
      <c r="E3" s="7" t="s">
        <v>113</v>
      </c>
      <c r="F3" s="8" t="s">
        <v>47</v>
      </c>
      <c r="G3" s="7" t="s">
        <v>114</v>
      </c>
      <c r="H3" s="9" t="n">
        <v>35000</v>
      </c>
      <c r="I3" s="10" t="n">
        <v>2345</v>
      </c>
      <c r="J3" s="10" t="n">
        <v>2385</v>
      </c>
      <c r="K3" s="10" t="n">
        <v>3542</v>
      </c>
      <c r="L3" s="7" t="s">
        <v>115</v>
      </c>
    </row>
    <row r="4" customFormat="false" ht="23.85" hidden="false" customHeight="false" outlineLevel="0" collapsed="false">
      <c r="A4" s="7" t="s">
        <v>41</v>
      </c>
      <c r="B4" s="7" t="s">
        <v>42</v>
      </c>
      <c r="C4" s="7" t="n">
        <v>3</v>
      </c>
      <c r="D4" s="7" t="s">
        <v>116</v>
      </c>
      <c r="E4" s="7" t="s">
        <v>113</v>
      </c>
      <c r="F4" s="8" t="s">
        <v>47</v>
      </c>
      <c r="G4" s="7" t="s">
        <v>114</v>
      </c>
      <c r="H4" s="9" t="n">
        <v>32400</v>
      </c>
      <c r="I4" s="10" t="n">
        <v>5103</v>
      </c>
      <c r="J4" s="10" t="n">
        <v>5183</v>
      </c>
      <c r="K4" s="10" t="n">
        <v>7464.96</v>
      </c>
      <c r="L4" s="7" t="s">
        <v>115</v>
      </c>
    </row>
    <row r="5" customFormat="false" ht="23.85" hidden="false" customHeight="false" outlineLevel="0" collapsed="false">
      <c r="A5" s="7" t="s">
        <v>41</v>
      </c>
      <c r="B5" s="7" t="s">
        <v>42</v>
      </c>
      <c r="C5" s="7" t="n">
        <v>4</v>
      </c>
      <c r="D5" s="7" t="s">
        <v>117</v>
      </c>
      <c r="E5" s="7" t="s">
        <v>113</v>
      </c>
      <c r="F5" s="8" t="s">
        <v>47</v>
      </c>
      <c r="G5" s="7" t="s">
        <v>114</v>
      </c>
      <c r="H5" s="9" t="n">
        <v>25000</v>
      </c>
      <c r="I5" s="10" t="n">
        <v>1012.5</v>
      </c>
      <c r="J5" s="10" t="n">
        <v>1032.91</v>
      </c>
      <c r="K5" s="10" t="n">
        <v>1377.5</v>
      </c>
      <c r="L5" s="7" t="s">
        <v>115</v>
      </c>
    </row>
    <row r="6" customFormat="false" ht="23.85" hidden="false" customHeight="false" outlineLevel="0" collapsed="false">
      <c r="A6" s="7" t="s">
        <v>41</v>
      </c>
      <c r="B6" s="7" t="s">
        <v>42</v>
      </c>
      <c r="C6" s="7" t="n">
        <v>5</v>
      </c>
      <c r="D6" s="7" t="s">
        <v>118</v>
      </c>
      <c r="E6" s="7" t="s">
        <v>119</v>
      </c>
      <c r="F6" s="8" t="s">
        <v>47</v>
      </c>
      <c r="G6" s="7" t="s">
        <v>120</v>
      </c>
      <c r="H6" s="9" t="n">
        <v>5600</v>
      </c>
      <c r="I6" s="10" t="n">
        <v>10.5</v>
      </c>
      <c r="J6" s="10" t="n">
        <v>15</v>
      </c>
      <c r="K6" s="10" t="n">
        <v>449.68</v>
      </c>
      <c r="L6" s="7" t="s">
        <v>121</v>
      </c>
    </row>
    <row r="7" customFormat="false" ht="23.85" hidden="false" customHeight="false" outlineLevel="0" collapsed="false">
      <c r="A7" s="7" t="s">
        <v>41</v>
      </c>
      <c r="B7" s="7" t="s">
        <v>42</v>
      </c>
      <c r="C7" s="7" t="n">
        <v>6</v>
      </c>
      <c r="D7" s="7" t="s">
        <v>122</v>
      </c>
      <c r="E7" s="7" t="s">
        <v>119</v>
      </c>
      <c r="F7" s="8" t="s">
        <v>47</v>
      </c>
      <c r="G7" s="7" t="s">
        <v>120</v>
      </c>
      <c r="H7" s="9" t="n">
        <v>72000</v>
      </c>
      <c r="I7" s="10" t="n">
        <v>19.4</v>
      </c>
      <c r="J7" s="10" t="n">
        <v>25</v>
      </c>
      <c r="K7" s="10" t="n">
        <v>7041.6</v>
      </c>
      <c r="L7" s="7" t="s">
        <v>121</v>
      </c>
    </row>
    <row r="8" customFormat="false" ht="23.85" hidden="false" customHeight="false" outlineLevel="0" collapsed="false">
      <c r="A8" s="7" t="s">
        <v>41</v>
      </c>
      <c r="B8" s="7" t="s">
        <v>42</v>
      </c>
      <c r="C8" s="7" t="n">
        <v>19</v>
      </c>
      <c r="D8" s="7" t="s">
        <v>123</v>
      </c>
      <c r="E8" s="7" t="s">
        <v>124</v>
      </c>
      <c r="F8" s="8" t="s">
        <v>47</v>
      </c>
      <c r="G8" s="7" t="s">
        <v>75</v>
      </c>
      <c r="H8" s="9" t="n">
        <v>8000</v>
      </c>
      <c r="I8" s="10" t="n">
        <v>16</v>
      </c>
      <c r="J8" s="10" t="n">
        <v>20</v>
      </c>
      <c r="K8" s="10" t="n">
        <v>2926.4</v>
      </c>
      <c r="L8" s="7" t="s">
        <v>125</v>
      </c>
    </row>
    <row r="9" customFormat="false" ht="15" hidden="false" customHeight="false" outlineLevel="0" collapsed="false">
      <c r="A9" s="7" t="s">
        <v>41</v>
      </c>
      <c r="B9" s="7" t="s">
        <v>42</v>
      </c>
      <c r="C9" s="7" t="n">
        <v>10</v>
      </c>
      <c r="D9" s="7" t="s">
        <v>126</v>
      </c>
      <c r="E9" s="7" t="s">
        <v>127</v>
      </c>
      <c r="F9" s="8" t="s">
        <v>47</v>
      </c>
      <c r="G9" s="7" t="s">
        <v>128</v>
      </c>
      <c r="H9" s="9" t="n">
        <v>75000</v>
      </c>
      <c r="I9" s="10" t="n">
        <v>37.5</v>
      </c>
      <c r="J9" s="10" t="n">
        <v>40</v>
      </c>
      <c r="K9" s="10" t="n">
        <v>1612.5</v>
      </c>
      <c r="L9" s="7" t="s">
        <v>129</v>
      </c>
    </row>
    <row r="10" customFormat="false" ht="15" hidden="false" customHeight="false" outlineLevel="0" collapsed="false">
      <c r="A10" s="7" t="s">
        <v>41</v>
      </c>
      <c r="B10" s="7" t="s">
        <v>42</v>
      </c>
      <c r="C10" s="7" t="n">
        <v>11</v>
      </c>
      <c r="D10" s="7" t="s">
        <v>130</v>
      </c>
      <c r="E10" s="7" t="s">
        <v>127</v>
      </c>
      <c r="F10" s="8" t="s">
        <v>47</v>
      </c>
      <c r="G10" s="7" t="s">
        <v>128</v>
      </c>
      <c r="H10" s="9" t="n">
        <v>125000</v>
      </c>
      <c r="I10" s="10" t="n">
        <v>62.5</v>
      </c>
      <c r="J10" s="10" t="n">
        <v>70</v>
      </c>
      <c r="K10" s="10" t="n">
        <v>2687.5</v>
      </c>
      <c r="L10" s="7" t="s">
        <v>129</v>
      </c>
    </row>
    <row r="11" customFormat="false" ht="15" hidden="false" customHeight="false" outlineLevel="0" collapsed="false">
      <c r="A11" s="7" t="s">
        <v>41</v>
      </c>
      <c r="B11" s="7" t="s">
        <v>42</v>
      </c>
      <c r="C11" s="7" t="n">
        <v>12</v>
      </c>
      <c r="D11" s="7" t="s">
        <v>131</v>
      </c>
      <c r="E11" s="7" t="s">
        <v>127</v>
      </c>
      <c r="F11" s="8" t="s">
        <v>47</v>
      </c>
      <c r="G11" s="7" t="s">
        <v>128</v>
      </c>
      <c r="H11" s="9" t="n">
        <v>200000</v>
      </c>
      <c r="I11" s="10" t="n">
        <v>100</v>
      </c>
      <c r="J11" s="10" t="n">
        <v>110</v>
      </c>
      <c r="K11" s="10" t="n">
        <v>2540</v>
      </c>
      <c r="L11" s="7" t="s">
        <v>129</v>
      </c>
    </row>
    <row r="12" customFormat="false" ht="15" hidden="false" customHeight="false" outlineLevel="0" collapsed="false">
      <c r="A12" s="7" t="s">
        <v>41</v>
      </c>
      <c r="B12" s="7" t="s">
        <v>42</v>
      </c>
      <c r="C12" s="7" t="n">
        <v>13</v>
      </c>
      <c r="D12" s="7" t="s">
        <v>132</v>
      </c>
      <c r="E12" s="7" t="s">
        <v>127</v>
      </c>
      <c r="F12" s="8" t="s">
        <v>47</v>
      </c>
      <c r="G12" s="7" t="s">
        <v>128</v>
      </c>
      <c r="H12" s="9" t="n">
        <v>200000</v>
      </c>
      <c r="I12" s="10" t="n">
        <v>100</v>
      </c>
      <c r="J12" s="10" t="n">
        <v>110</v>
      </c>
      <c r="K12" s="10" t="n">
        <v>2540</v>
      </c>
      <c r="L12" s="7" t="s">
        <v>129</v>
      </c>
    </row>
    <row r="13" customFormat="false" ht="15" hidden="false" customHeight="false" outlineLevel="0" collapsed="false">
      <c r="A13" s="7" t="s">
        <v>41</v>
      </c>
      <c r="B13" s="7" t="s">
        <v>42</v>
      </c>
      <c r="C13" s="7" t="n">
        <v>7</v>
      </c>
      <c r="D13" s="7" t="s">
        <v>133</v>
      </c>
      <c r="E13" s="7" t="s">
        <v>134</v>
      </c>
      <c r="F13" s="8" t="s">
        <v>50</v>
      </c>
      <c r="G13" s="7" t="s">
        <v>135</v>
      </c>
      <c r="H13" s="9" t="n">
        <v>960</v>
      </c>
      <c r="I13" s="10" t="n">
        <v>7.2</v>
      </c>
      <c r="J13" s="10" t="n">
        <v>10</v>
      </c>
      <c r="K13" s="10" t="n">
        <v>100.8</v>
      </c>
      <c r="L13" s="7" t="s">
        <v>136</v>
      </c>
    </row>
    <row r="14" customFormat="false" ht="15" hidden="false" customHeight="false" outlineLevel="0" collapsed="false">
      <c r="A14" s="7" t="s">
        <v>41</v>
      </c>
      <c r="B14" s="7" t="s">
        <v>42</v>
      </c>
      <c r="C14" s="7" t="n">
        <v>8</v>
      </c>
      <c r="D14" s="7" t="s">
        <v>137</v>
      </c>
      <c r="E14" s="7" t="s">
        <v>134</v>
      </c>
      <c r="F14" s="8" t="s">
        <v>50</v>
      </c>
      <c r="G14" s="7" t="s">
        <v>135</v>
      </c>
      <c r="H14" s="9" t="n">
        <v>2000</v>
      </c>
      <c r="I14" s="10" t="n">
        <v>15</v>
      </c>
      <c r="J14" s="10" t="n">
        <v>20</v>
      </c>
      <c r="K14" s="10" t="n">
        <v>75.8</v>
      </c>
      <c r="L14" s="7" t="s">
        <v>136</v>
      </c>
    </row>
    <row r="15" customFormat="false" ht="15" hidden="false" customHeight="false" outlineLevel="0" collapsed="false">
      <c r="A15" s="7" t="s">
        <v>41</v>
      </c>
      <c r="B15" s="7" t="s">
        <v>42</v>
      </c>
      <c r="C15" s="7" t="n">
        <v>17</v>
      </c>
      <c r="D15" s="7" t="s">
        <v>138</v>
      </c>
      <c r="E15" s="7" t="s">
        <v>139</v>
      </c>
      <c r="F15" s="8" t="s">
        <v>50</v>
      </c>
      <c r="G15" s="7" t="s">
        <v>140</v>
      </c>
      <c r="H15" s="9" t="n">
        <v>5000</v>
      </c>
      <c r="I15" s="10" t="n">
        <v>57.78</v>
      </c>
      <c r="J15" s="10" t="n">
        <v>70</v>
      </c>
      <c r="K15" s="10" t="n">
        <v>899.5</v>
      </c>
      <c r="L15" s="7" t="s">
        <v>141</v>
      </c>
    </row>
    <row r="16" customFormat="false" ht="15" hidden="false" customHeight="false" outlineLevel="0" collapsed="false">
      <c r="A16" s="7" t="s">
        <v>41</v>
      </c>
      <c r="B16" s="7" t="s">
        <v>42</v>
      </c>
      <c r="C16" s="7" t="n">
        <v>18</v>
      </c>
      <c r="D16" s="7" t="s">
        <v>142</v>
      </c>
      <c r="E16" s="7" t="s">
        <v>139</v>
      </c>
      <c r="F16" s="8" t="s">
        <v>50</v>
      </c>
      <c r="G16" s="7" t="s">
        <v>140</v>
      </c>
      <c r="H16" s="9" t="n">
        <v>2000</v>
      </c>
      <c r="I16" s="10" t="n">
        <v>23.11</v>
      </c>
      <c r="J16" s="10" t="n">
        <v>28</v>
      </c>
      <c r="K16" s="10" t="n">
        <v>302</v>
      </c>
      <c r="L16" s="7" t="s">
        <v>141</v>
      </c>
    </row>
    <row r="17" customFormat="false" ht="23.85" hidden="false" customHeight="false" outlineLevel="0" collapsed="false">
      <c r="A17" s="7" t="s">
        <v>41</v>
      </c>
      <c r="B17" s="7" t="s">
        <v>42</v>
      </c>
      <c r="C17" s="7" t="n">
        <v>14</v>
      </c>
      <c r="D17" s="7" t="s">
        <v>143</v>
      </c>
      <c r="E17" s="7" t="s">
        <v>144</v>
      </c>
      <c r="F17" s="8" t="s">
        <v>53</v>
      </c>
      <c r="G17" s="7" t="s">
        <v>54</v>
      </c>
      <c r="H17" s="9" t="n">
        <v>180000</v>
      </c>
      <c r="I17" s="10" t="n">
        <v>299.7</v>
      </c>
      <c r="J17" s="10" t="n">
        <v>310.5</v>
      </c>
      <c r="K17" s="10" t="n">
        <v>12600</v>
      </c>
      <c r="L17" s="7" t="s">
        <v>145</v>
      </c>
    </row>
    <row r="18" customFormat="false" ht="15" hidden="false" customHeight="false" outlineLevel="0" collapsed="false">
      <c r="A18" s="7" t="s">
        <v>41</v>
      </c>
      <c r="B18" s="7" t="s">
        <v>42</v>
      </c>
      <c r="C18" s="7" t="n">
        <v>16</v>
      </c>
      <c r="D18" s="7" t="s">
        <v>146</v>
      </c>
      <c r="E18" s="7" t="s">
        <v>147</v>
      </c>
      <c r="F18" s="8" t="s">
        <v>58</v>
      </c>
      <c r="G18" s="7" t="s">
        <v>59</v>
      </c>
      <c r="H18" s="9" t="n">
        <v>51200</v>
      </c>
      <c r="I18" s="10" t="n">
        <v>235.52</v>
      </c>
      <c r="J18" s="10" t="n">
        <v>250</v>
      </c>
      <c r="K18" s="10" t="n">
        <v>8120.32</v>
      </c>
      <c r="L18" s="7" t="s">
        <v>148</v>
      </c>
    </row>
    <row r="19" customFormat="false" ht="23.85" hidden="false" customHeight="false" outlineLevel="0" collapsed="false">
      <c r="A19" s="11" t="s">
        <v>41</v>
      </c>
      <c r="B19" s="11" t="s">
        <v>42</v>
      </c>
      <c r="C19" s="11" t="n">
        <v>9</v>
      </c>
      <c r="D19" s="11" t="s">
        <v>95</v>
      </c>
      <c r="E19" s="11" t="s">
        <v>96</v>
      </c>
      <c r="F19" s="12" t="s">
        <v>61</v>
      </c>
      <c r="G19" s="11" t="s">
        <v>62</v>
      </c>
      <c r="H19" s="13" t="n">
        <v>210000</v>
      </c>
      <c r="I19" s="14" t="n">
        <v>30.24</v>
      </c>
      <c r="J19" s="14" t="n">
        <v>40</v>
      </c>
      <c r="K19" s="14" t="n">
        <v>8820</v>
      </c>
      <c r="L19" s="11" t="s">
        <v>63</v>
      </c>
    </row>
    <row r="20" customFormat="false" ht="23.85" hidden="false" customHeight="false" outlineLevel="0" collapsed="false">
      <c r="A20" s="11" t="s">
        <v>41</v>
      </c>
      <c r="B20" s="11" t="s">
        <v>42</v>
      </c>
      <c r="C20" s="11" t="n">
        <v>15</v>
      </c>
      <c r="D20" s="11" t="s">
        <v>97</v>
      </c>
      <c r="E20" s="11" t="s">
        <v>98</v>
      </c>
      <c r="F20" s="12" t="s">
        <v>61</v>
      </c>
      <c r="G20" s="11" t="s">
        <v>64</v>
      </c>
      <c r="H20" s="13" t="n">
        <v>30000</v>
      </c>
      <c r="I20" s="14" t="n">
        <v>12.6</v>
      </c>
      <c r="J20" s="14" t="n">
        <v>15</v>
      </c>
      <c r="K20" s="14" t="n">
        <v>540</v>
      </c>
      <c r="L20" s="11" t="s">
        <v>63</v>
      </c>
    </row>
    <row r="21" customFormat="false" ht="23.85" hidden="false" customHeight="false" outlineLevel="0" collapsed="false">
      <c r="A21" s="7" t="s">
        <v>66</v>
      </c>
      <c r="B21" s="7" t="s">
        <v>67</v>
      </c>
      <c r="C21" s="7" t="n">
        <v>1</v>
      </c>
      <c r="D21" s="7" t="s">
        <v>149</v>
      </c>
      <c r="E21" s="7" t="s">
        <v>150</v>
      </c>
      <c r="F21" s="8" t="s">
        <v>47</v>
      </c>
      <c r="G21" s="7" t="s">
        <v>68</v>
      </c>
      <c r="H21" s="9" t="n">
        <v>19152</v>
      </c>
      <c r="I21" s="10" t="n">
        <v>11299.68</v>
      </c>
      <c r="J21" s="10" t="n">
        <v>11688.8</v>
      </c>
      <c r="K21" s="10" t="n">
        <v>19918.08</v>
      </c>
      <c r="L21" s="7" t="s">
        <v>151</v>
      </c>
    </row>
    <row r="22" customFormat="false" ht="23.85" hidden="false" customHeight="false" outlineLevel="0" collapsed="false">
      <c r="A22" s="7" t="s">
        <v>66</v>
      </c>
      <c r="B22" s="7" t="s">
        <v>67</v>
      </c>
      <c r="C22" s="7" t="n">
        <v>2</v>
      </c>
      <c r="D22" s="7" t="s">
        <v>152</v>
      </c>
      <c r="E22" s="7" t="s">
        <v>153</v>
      </c>
      <c r="F22" s="8" t="s">
        <v>69</v>
      </c>
      <c r="G22" s="7" t="s">
        <v>70</v>
      </c>
      <c r="H22" s="9" t="n">
        <v>2016</v>
      </c>
      <c r="I22" s="10" t="n">
        <v>1149.12</v>
      </c>
      <c r="J22" s="10" t="n">
        <v>1219.04</v>
      </c>
      <c r="K22" s="10" t="n">
        <v>5140.8</v>
      </c>
      <c r="L22" s="7" t="s">
        <v>154</v>
      </c>
    </row>
    <row r="23" customFormat="false" ht="23.85" hidden="false" customHeight="false" outlineLevel="0" collapsed="false">
      <c r="A23" s="7" t="s">
        <v>73</v>
      </c>
      <c r="B23" s="7" t="s">
        <v>74</v>
      </c>
      <c r="C23" s="7" t="n">
        <v>1</v>
      </c>
      <c r="D23" s="7" t="s">
        <v>155</v>
      </c>
      <c r="E23" s="7" t="s">
        <v>124</v>
      </c>
      <c r="F23" s="8" t="s">
        <v>47</v>
      </c>
      <c r="G23" s="7" t="s">
        <v>75</v>
      </c>
      <c r="H23" s="9" t="n">
        <v>33600</v>
      </c>
      <c r="I23" s="10" t="n">
        <v>856.8</v>
      </c>
      <c r="J23" s="10" t="n">
        <v>1134</v>
      </c>
      <c r="K23" s="10" t="n">
        <v>16836.96</v>
      </c>
      <c r="L23" s="7" t="s">
        <v>125</v>
      </c>
    </row>
    <row r="24" customFormat="false" ht="23.85" hidden="false" customHeight="false" outlineLevel="0" collapsed="false">
      <c r="A24" s="7" t="s">
        <v>73</v>
      </c>
      <c r="B24" s="7" t="s">
        <v>74</v>
      </c>
      <c r="C24" s="7" t="n">
        <v>2</v>
      </c>
      <c r="D24" s="7" t="s">
        <v>156</v>
      </c>
      <c r="E24" s="7" t="s">
        <v>124</v>
      </c>
      <c r="F24" s="8" t="s">
        <v>47</v>
      </c>
      <c r="G24" s="7" t="s">
        <v>75</v>
      </c>
      <c r="H24" s="9" t="n">
        <v>2160</v>
      </c>
      <c r="I24" s="10" t="n">
        <v>52.2</v>
      </c>
      <c r="J24" s="10" t="n">
        <v>84.12</v>
      </c>
      <c r="K24" s="10" t="n">
        <v>1280.88</v>
      </c>
      <c r="L24" s="7" t="s">
        <v>125</v>
      </c>
    </row>
    <row r="25" customFormat="false" ht="23.85" hidden="false" customHeight="false" outlineLevel="0" collapsed="false">
      <c r="A25" s="7" t="s">
        <v>73</v>
      </c>
      <c r="B25" s="7" t="s">
        <v>74</v>
      </c>
      <c r="C25" s="7" t="n">
        <v>3</v>
      </c>
      <c r="D25" s="7" t="s">
        <v>157</v>
      </c>
      <c r="E25" s="7" t="s">
        <v>124</v>
      </c>
      <c r="F25" s="8" t="s">
        <v>47</v>
      </c>
      <c r="G25" s="7" t="s">
        <v>75</v>
      </c>
      <c r="H25" s="9" t="n">
        <v>8000</v>
      </c>
      <c r="I25" s="10" t="n">
        <v>48</v>
      </c>
      <c r="J25" s="10" t="n">
        <v>56.3</v>
      </c>
      <c r="K25" s="10" t="n">
        <v>2712.8</v>
      </c>
      <c r="L25" s="7" t="s">
        <v>125</v>
      </c>
    </row>
    <row r="26" customFormat="false" ht="15" hidden="false" customHeight="false" outlineLevel="0" collapsed="false">
      <c r="A26" s="20"/>
      <c r="B26" s="20"/>
      <c r="C26" s="20"/>
      <c r="D26" s="20"/>
      <c r="E26" s="20"/>
      <c r="F26" s="20"/>
      <c r="G26" s="21" t="s">
        <v>158</v>
      </c>
      <c r="H26" s="22" t="n">
        <f aca="false">SUM(H2:H25)</f>
        <v>1389088</v>
      </c>
      <c r="I26" s="23" t="n">
        <f aca="false">SUM(I2:I25)</f>
        <v>22979.85</v>
      </c>
      <c r="J26" s="23" t="n">
        <f aca="false">SUM(J2:J25)</f>
        <v>24133</v>
      </c>
      <c r="K26" s="23" t="n">
        <f aca="false">SUM(K2:K25)</f>
        <v>119371.08</v>
      </c>
      <c r="L26" s="20"/>
    </row>
  </sheetData>
  <autoFilter ref="A1:L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46"/>
    <col collapsed="false" customWidth="true" hidden="false" outlineLevel="0" max="3" min="3" style="0" width="118"/>
  </cols>
  <sheetData>
    <row r="1" customFormat="false" ht="16.15" hidden="false" customHeight="false" outlineLevel="0" collapsed="false">
      <c r="A1" s="1" t="s">
        <v>159</v>
      </c>
    </row>
    <row r="3" customFormat="false" ht="15" hidden="false" customHeight="false" outlineLevel="0" collapsed="false">
      <c r="A3" s="30" t="s">
        <v>160</v>
      </c>
      <c r="B3" s="30" t="s">
        <v>161</v>
      </c>
      <c r="C3" s="30" t="s">
        <v>162</v>
      </c>
    </row>
    <row r="4" customFormat="false" ht="61.5" hidden="false" customHeight="true" outlineLevel="0" collapsed="false">
      <c r="A4" s="15" t="s">
        <v>163</v>
      </c>
      <c r="B4" s="31" t="s">
        <v>164</v>
      </c>
      <c r="C4" s="11" t="s">
        <v>165</v>
      </c>
    </row>
    <row r="5" customFormat="false" ht="61.5" hidden="false" customHeight="true" outlineLevel="0" collapsed="false">
      <c r="A5" s="15" t="s">
        <v>163</v>
      </c>
      <c r="B5" s="31" t="s">
        <v>166</v>
      </c>
      <c r="C5" s="11" t="s">
        <v>167</v>
      </c>
    </row>
    <row r="6" customFormat="false" ht="61.5" hidden="false" customHeight="true" outlineLevel="0" collapsed="false">
      <c r="A6" s="15" t="s">
        <v>163</v>
      </c>
      <c r="B6" s="31" t="s">
        <v>168</v>
      </c>
      <c r="C6" s="11" t="s">
        <v>169</v>
      </c>
    </row>
    <row r="7" customFormat="false" ht="61.5" hidden="false" customHeight="true" outlineLevel="0" collapsed="false">
      <c r="A7" s="15" t="s">
        <v>163</v>
      </c>
      <c r="B7" s="31" t="s">
        <v>170</v>
      </c>
      <c r="C7" s="11" t="s">
        <v>171</v>
      </c>
    </row>
    <row r="8" customFormat="false" ht="61.5" hidden="false" customHeight="true" outlineLevel="0" collapsed="false">
      <c r="A8" s="15" t="s">
        <v>163</v>
      </c>
      <c r="B8" s="31" t="s">
        <v>172</v>
      </c>
      <c r="C8" s="11" t="s">
        <v>173</v>
      </c>
    </row>
    <row r="9" customFormat="false" ht="61.5" hidden="false" customHeight="true" outlineLevel="0" collapsed="false">
      <c r="A9" s="32" t="s">
        <v>174</v>
      </c>
      <c r="B9" s="33" t="s">
        <v>175</v>
      </c>
      <c r="C9" s="32" t="s">
        <v>176</v>
      </c>
    </row>
    <row r="10" customFormat="false" ht="61.5" hidden="false" customHeight="true" outlineLevel="0" collapsed="false">
      <c r="A10" s="32" t="s">
        <v>174</v>
      </c>
      <c r="B10" s="33" t="s">
        <v>177</v>
      </c>
      <c r="C10" s="32" t="s">
        <v>178</v>
      </c>
    </row>
    <row r="11" customFormat="false" ht="61.5" hidden="false" customHeight="true" outlineLevel="0" collapsed="false">
      <c r="A11" s="32" t="s">
        <v>179</v>
      </c>
      <c r="B11" s="33" t="s">
        <v>180</v>
      </c>
      <c r="C11" s="32" t="s">
        <v>181</v>
      </c>
    </row>
    <row r="12" customFormat="false" ht="61.5" hidden="false" customHeight="true" outlineLevel="0" collapsed="false">
      <c r="A12" s="32" t="s">
        <v>179</v>
      </c>
      <c r="B12" s="33" t="s">
        <v>182</v>
      </c>
      <c r="C12" s="32" t="s">
        <v>183</v>
      </c>
    </row>
    <row r="13" customFormat="false" ht="61.5" hidden="false" customHeight="true" outlineLevel="0" collapsed="false">
      <c r="A13" s="32" t="s">
        <v>179</v>
      </c>
      <c r="B13" s="33" t="s">
        <v>184</v>
      </c>
      <c r="C13" s="32" t="s">
        <v>185</v>
      </c>
    </row>
    <row r="14" customFormat="false" ht="61.5" hidden="false" customHeight="true" outlineLevel="0" collapsed="false">
      <c r="A14" s="32" t="s">
        <v>179</v>
      </c>
      <c r="B14" s="33" t="s">
        <v>186</v>
      </c>
      <c r="C14" s="32" t="s">
        <v>187</v>
      </c>
    </row>
    <row r="15" customFormat="false" ht="61.5" hidden="false" customHeight="true" outlineLevel="0" collapsed="false">
      <c r="A15" s="32" t="s">
        <v>179</v>
      </c>
      <c r="B15" s="33" t="s">
        <v>188</v>
      </c>
      <c r="C15" s="32" t="s">
        <v>189</v>
      </c>
    </row>
    <row r="16" customFormat="false" ht="61.5" hidden="false" customHeight="true" outlineLevel="0" collapsed="false">
      <c r="A16" s="7" t="s">
        <v>190</v>
      </c>
      <c r="B16" s="7" t="s">
        <v>191</v>
      </c>
      <c r="C16" s="7" t="s">
        <v>192</v>
      </c>
    </row>
    <row r="17" customFormat="false" ht="61.5" hidden="false" customHeight="true" outlineLevel="0" collapsed="false">
      <c r="A17" s="7" t="s">
        <v>190</v>
      </c>
      <c r="B17" s="7" t="s">
        <v>193</v>
      </c>
      <c r="C17" s="7" t="s">
        <v>194</v>
      </c>
    </row>
    <row r="18" customFormat="false" ht="61.5" hidden="false" customHeight="true" outlineLevel="0" collapsed="false">
      <c r="A18" s="7" t="s">
        <v>190</v>
      </c>
      <c r="B18" s="7" t="s">
        <v>195</v>
      </c>
      <c r="C18" s="7" t="s">
        <v>196</v>
      </c>
    </row>
    <row r="19" customFormat="false" ht="61.5" hidden="false" customHeight="true" outlineLevel="0" collapsed="false">
      <c r="A19" s="7" t="s">
        <v>197</v>
      </c>
      <c r="B19" s="7" t="s">
        <v>198</v>
      </c>
      <c r="C19" s="7" t="s">
        <v>199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12"/>
  </cols>
  <sheetData>
    <row r="1" customFormat="false" ht="16.15" hidden="false" customHeight="false" outlineLevel="0" collapsed="false">
      <c r="A1" s="1" t="s">
        <v>200</v>
      </c>
    </row>
    <row r="3" customFormat="false" ht="15" hidden="false" customHeight="false" outlineLevel="0" collapsed="false">
      <c r="A3" s="2" t="s">
        <v>201</v>
      </c>
      <c r="B3" s="34" t="s">
        <v>202</v>
      </c>
    </row>
    <row r="4" customFormat="false" ht="15" hidden="false" customHeight="false" outlineLevel="0" collapsed="false">
      <c r="A4" s="3" t="s">
        <v>203</v>
      </c>
      <c r="B4" s="35" t="s">
        <v>204</v>
      </c>
    </row>
    <row r="5" customFormat="false" ht="15" hidden="false" customHeight="false" outlineLevel="0" collapsed="false">
      <c r="A5" s="3" t="s">
        <v>205</v>
      </c>
      <c r="B5" s="35" t="s">
        <v>206</v>
      </c>
    </row>
    <row r="6" customFormat="false" ht="15" hidden="false" customHeight="false" outlineLevel="0" collapsed="false">
      <c r="A6" s="3" t="s">
        <v>207</v>
      </c>
      <c r="B6" s="35" t="s">
        <v>208</v>
      </c>
    </row>
    <row r="7" customFormat="false" ht="15" hidden="false" customHeight="false" outlineLevel="0" collapsed="false">
      <c r="A7" s="3" t="s">
        <v>209</v>
      </c>
      <c r="B7" s="35" t="s">
        <v>210</v>
      </c>
    </row>
    <row r="8" customFormat="false" ht="15" hidden="false" customHeight="false" outlineLevel="0" collapsed="false">
      <c r="A8" s="3" t="s">
        <v>211</v>
      </c>
      <c r="B8" s="35" t="s">
        <v>212</v>
      </c>
    </row>
    <row r="9" customFormat="false" ht="15" hidden="false" customHeight="false" outlineLevel="0" collapsed="false">
      <c r="A9" s="3" t="s">
        <v>213</v>
      </c>
      <c r="B9" s="35" t="s">
        <v>214</v>
      </c>
    </row>
    <row r="10" customFormat="false" ht="15" hidden="false" customHeight="false" outlineLevel="0" collapsed="false">
      <c r="A10" s="3" t="s">
        <v>215</v>
      </c>
      <c r="B10" s="35" t="s">
        <v>216</v>
      </c>
    </row>
    <row r="11" customFormat="false" ht="15" hidden="false" customHeight="false" outlineLevel="0" collapsed="false">
      <c r="A11" s="3" t="s">
        <v>217</v>
      </c>
      <c r="B11" s="35" t="s">
        <v>218</v>
      </c>
    </row>
    <row r="12" customFormat="false" ht="15" hidden="false" customHeight="false" outlineLevel="0" collapsed="false">
      <c r="A12" s="3"/>
      <c r="B12" s="35"/>
    </row>
    <row r="13" customFormat="false" ht="45.75" hidden="false" customHeight="true" outlineLevel="0" collapsed="false">
      <c r="A13" s="36" t="s">
        <v>219</v>
      </c>
      <c r="B13" s="37" t="s">
        <v>220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2026-08-11T08:15:39Z</dcterms:created>
  <dc:creator>openpyxl</dc:creator>
  <dc:description/>
  <dc:language>en-US</dc:language>
  <cp:lastModifiedBy/>
  <dcterms:modified xsi:type="dcterms:W3CDTF">2026-08-11T08:15:39Z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