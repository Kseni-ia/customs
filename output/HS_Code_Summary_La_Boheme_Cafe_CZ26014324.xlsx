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" sheetId="2" state="visible" r:id="rId2"/>
    <sheet xmlns:r="http://schemas.openxmlformats.org/officeDocument/2006/relationships" name="Kontroly a poznámky" sheetId="3" state="visible" r:id="rId3"/>
  </sheets>
  <definedNames>
    <definedName name="_xlnm._FilterDatabase" localSheetId="1" hidden="1">'Položky'!$A$1:$N$109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5" borderId="1" pivotButton="0" quotePrefix="0" xfId="0"/>
    <xf numFmtId="0" fontId="0" fillId="4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14" customWidth="1" min="4" max="4"/>
    <col width="11" customWidth="1" min="5" max="5"/>
    <col width="12" customWidth="1" min="6" max="6"/>
    <col width="12" customWidth="1" min="7" max="7"/>
    <col width="14" customWidth="1" min="8" max="8"/>
    <col width="26" customWidth="1" min="9" max="9"/>
    <col width="34" customWidth="1" min="10" max="10"/>
    <col width="14" customWidth="1" min="11" max="11"/>
    <col width="60" customWidth="1" min="12" max="12"/>
  </cols>
  <sheetData>
    <row r="1">
      <c r="A1" s="1" t="inlineStr">
        <is>
          <t>HS CODE SUMMARY – La Boheme Cafe – job CZ26014324</t>
        </is>
      </c>
    </row>
    <row r="2">
      <c r="A2" s="2" t="inlineStr">
        <is>
          <t>Klient / příjemce (CZ)</t>
        </is>
      </c>
      <c r="B2" t="inlineStr">
        <is>
          <t>La Boheme Cafe s.r.o., Petrinska 572/14, 150 00 Praha – IČO 27378705, DIČ CZ27378705 (místo dodání: Wolkerova 465, 749 01 Vítkov)</t>
        </is>
      </c>
    </row>
    <row r="3">
      <c r="A3" s="2" t="inlineStr">
        <is>
          <t>Odesílatel</t>
        </is>
      </c>
      <c r="B3" t="inlineStr">
        <is>
          <t>Harney &amp; Sons Fine Teas, 5723 Route 22, Millerton NY 12546, USA</t>
        </is>
      </c>
    </row>
    <row r="4">
      <c r="A4" s="2" t="inlineStr">
        <is>
          <t>Job / reference</t>
        </is>
      </c>
      <c r="B4" t="inlineStr">
        <is>
          <t>CZ26014324 / ASV202608130071</t>
        </is>
      </c>
    </row>
    <row r="5">
      <c r="A5" s="2" t="inlineStr">
        <is>
          <t>Přeprava</t>
        </is>
      </c>
      <c r="B5" t="inlineStr">
        <is>
          <t>HBL ESHI00218927 (eShipping LLC), 1×40HC SEGU4832625, plomba UL-9046492, SFL MAUI 640E, New York → Hamburg (on board 09-Oct-26), FREIGHT COLLECT; ETA 30/10 Česká Třebová</t>
        </is>
      </c>
    </row>
    <row r="6">
      <c r="A6" s="2" t="inlineStr">
        <is>
          <t>Incoterm</t>
        </is>
      </c>
      <c r="B6" s="3" t="inlineStr">
        <is>
          <t>⚠️ NEUVEDEN na fakturách ani B/L – nutno potvrdit (termín + místo). B/L = freight collect → přepravu platí příjemce.</t>
        </is>
      </c>
    </row>
    <row r="7">
      <c r="A7" s="2" t="inlineStr">
        <is>
          <t>Doprava</t>
        </is>
      </c>
      <c r="B7" t="inlineStr">
        <is>
          <t>USD 5 040 (dle e-mailu A. Nedvídková) – do celní hodnoty jen část do hranice EU (Hamburg); potřeba rozpad Hamburg vs. Česká Třebová.</t>
        </is>
      </c>
    </row>
    <row r="8">
      <c r="A8" s="2" t="inlineStr">
        <is>
          <t>Faktury (USD, „Invoice Total“)</t>
        </is>
      </c>
      <c r="B8" t="inlineStr">
        <is>
          <t>113328452 = 108 117,00 | 113328140 = 22 339,30 | 113328454 = 3 939,60 | 113328455 = 7 192,80 | CELKEM 141 588,70</t>
        </is>
      </c>
    </row>
    <row r="9">
      <c r="A9" s="2" t="inlineStr">
        <is>
          <t>Hmotnost dle B/L</t>
        </is>
      </c>
      <c r="B9" t="inlineStr">
        <is>
          <t>5 379,6 kg brutto, 20 palet (souhrn položek níže = 4 916,99 kg bez palet a bez adventních kalendářů)</t>
        </is>
      </c>
    </row>
    <row r="11">
      <c r="A11" s="4" t="inlineStr">
        <is>
          <t>Odesílatel</t>
        </is>
      </c>
      <c r="B11" s="4" t="inlineStr">
        <is>
          <t>HS kód</t>
        </is>
      </c>
      <c r="C11" s="4" t="inlineStr">
        <is>
          <t>Popis zboží (CZ – dle klienta)</t>
        </is>
      </c>
      <c r="D11" s="4" t="inlineStr">
        <is>
          <t>Počet balení / kartonů (dle faktury)</t>
        </is>
      </c>
      <c r="E11" s="4" t="inlineStr">
        <is>
          <t>Množství (ks)</t>
        </is>
      </c>
      <c r="F11" s="4" t="inlineStr">
        <is>
          <t>Čistá hmotnost (kg)</t>
        </is>
      </c>
      <c r="G11" s="4" t="inlineStr">
        <is>
          <t>Hrubá hmotnost (kg)</t>
        </is>
      </c>
      <c r="H11" s="4" t="inlineStr">
        <is>
          <t>Hodnota USD (Total)</t>
        </is>
      </c>
      <c r="I11" s="4" t="inlineStr">
        <is>
          <t>Původ HS kódu</t>
        </is>
      </c>
      <c r="J11" s="4" t="inlineStr">
        <is>
          <t>CHED-D / TRACES</t>
        </is>
      </c>
      <c r="K11" s="4" t="inlineStr">
        <is>
          <t>CBAM / Antidumping</t>
        </is>
      </c>
      <c r="L11" s="4" t="inlineStr">
        <is>
          <t>Poznámka</t>
        </is>
      </c>
    </row>
    <row r="12">
      <c r="A12" s="5" t="inlineStr">
        <is>
          <t>Harney &amp; Sons Fine Teas</t>
        </is>
      </c>
      <c r="B12" s="5" t="inlineStr">
        <is>
          <t>0902300000</t>
        </is>
      </c>
      <c r="C12" s="5" t="inlineStr">
        <is>
          <t>Černý čaj + zelené a bílé čaje částečně fermentované</t>
        </is>
      </c>
      <c r="D12" s="5" t="n">
        <v>3836</v>
      </c>
      <c r="E12" s="5" t="n">
        <v>15761</v>
      </c>
      <c r="F12" s="5" t="n">
        <v>1066.17</v>
      </c>
      <c r="G12" s="5" t="n">
        <v>3113.3</v>
      </c>
      <c r="H12" s="5" t="n">
        <v>81847.3</v>
      </c>
      <c r="I12" s="5" t="inlineStr">
        <is>
          <t>Zdrojová data klienta</t>
        </is>
      </c>
      <c r="J12" s="6" t="inlineStr">
        <is>
          <t>⚠️ CHED-D (TRACES) – čaj z Číny, nař. 2019/1793 příl. I (pesticidy, 20 %): 33 položek, NW 430.9 kg, USD 37,703.90</t>
        </is>
      </c>
      <c r="K12" s="5" t="inlineStr">
        <is>
          <t>Ne / Ne</t>
        </is>
      </c>
      <c r="L12" s="5" t="inlineStr"/>
    </row>
    <row r="13">
      <c r="A13" s="5" t="inlineStr">
        <is>
          <t>Harney &amp; Sons Fine Teas</t>
        </is>
      </c>
      <c r="B13" s="5" t="inlineStr">
        <is>
          <t>0902100000</t>
        </is>
      </c>
      <c r="C13" s="5" t="inlineStr">
        <is>
          <t>Zelený čaj (nefermentovaný)</t>
        </is>
      </c>
      <c r="D13" s="5" t="n">
        <v>1372</v>
      </c>
      <c r="E13" s="5" t="n">
        <v>5844</v>
      </c>
      <c r="F13" s="5" t="n">
        <v>348.246</v>
      </c>
      <c r="G13" s="5" t="n">
        <v>1035.826</v>
      </c>
      <c r="H13" s="5" t="n">
        <v>36629.1</v>
      </c>
      <c r="I13" s="5" t="inlineStr">
        <is>
          <t>Zdrojová data klienta</t>
        </is>
      </c>
      <c r="J13" s="6" t="inlineStr">
        <is>
          <t>⚠️ CHED-D (TRACES) – čaj z Číny, nař. 2019/1793 příl. I (pesticidy, 20 %): 21 položek, NW 264.5 kg, USD 26,813.30</t>
        </is>
      </c>
      <c r="K13" s="5" t="inlineStr">
        <is>
          <t>Ne / Ne</t>
        </is>
      </c>
      <c r="L13" s="5" t="inlineStr"/>
    </row>
    <row r="14">
      <c r="A14" s="5" t="inlineStr">
        <is>
          <t>Harney &amp; Sons Fine Teas</t>
        </is>
      </c>
      <c r="B14" s="5" t="inlineStr">
        <is>
          <t>1211908690</t>
        </is>
      </c>
      <c r="C14" s="5" t="inlineStr">
        <is>
          <t>Bylinné čaje - jednodruhové</t>
        </is>
      </c>
      <c r="D14" s="5" t="n">
        <v>424</v>
      </c>
      <c r="E14" s="5" t="n">
        <v>1938</v>
      </c>
      <c r="F14" s="5" t="n">
        <v>71.364</v>
      </c>
      <c r="G14" s="5" t="n">
        <v>303.504</v>
      </c>
      <c r="H14" s="5" t="n">
        <v>9733</v>
      </c>
      <c r="I14" s="5" t="inlineStr">
        <is>
          <t>Zdrojová data klienta</t>
        </is>
      </c>
      <c r="J14" s="5" t="inlineStr">
        <is>
          <t>Ne (není čaj 0902 z Číny)</t>
        </is>
      </c>
      <c r="K14" s="5" t="inlineStr">
        <is>
          <t>Ne / Ne</t>
        </is>
      </c>
      <c r="L14" s="5" t="inlineStr"/>
    </row>
    <row r="15">
      <c r="A15" s="5" t="inlineStr">
        <is>
          <t>Harney &amp; Sons Fine Teas</t>
        </is>
      </c>
      <c r="B15" s="5" t="inlineStr">
        <is>
          <t>2106909260</t>
        </is>
      </c>
      <c r="C15" s="5" t="inlineStr">
        <is>
          <t>Bylinné čaje - směs více druhů bylin</t>
        </is>
      </c>
      <c r="D15" s="5" t="n">
        <v>228</v>
      </c>
      <c r="E15" s="5" t="n">
        <v>1128</v>
      </c>
      <c r="F15" s="5" t="n">
        <v>45.12</v>
      </c>
      <c r="G15" s="5" t="n">
        <v>178.14</v>
      </c>
      <c r="H15" s="5" t="n">
        <v>5011.2</v>
      </c>
      <c r="I15" s="5" t="inlineStr">
        <is>
          <t>Zdrojová data klienta</t>
        </is>
      </c>
      <c r="J15" s="5" t="inlineStr">
        <is>
          <t>Ne (není čaj 0902 z Číny)</t>
        </is>
      </c>
      <c r="K15" s="5" t="inlineStr">
        <is>
          <t>Ne / Ne</t>
        </is>
      </c>
      <c r="L15" s="5" t="inlineStr"/>
    </row>
    <row r="16">
      <c r="A16" s="5" t="inlineStr">
        <is>
          <t>Harney &amp; Sons Fine Teas</t>
        </is>
      </c>
      <c r="B16" s="5" t="inlineStr">
        <is>
          <t>2106909849</t>
        </is>
      </c>
      <c r="C16" s="5" t="inlineStr">
        <is>
          <t>Ovocné čaje, bylinné čaje s obsahem ovoce - obsah cukru od 5 do 30 %</t>
        </is>
      </c>
      <c r="D16" s="5" t="n">
        <v>265</v>
      </c>
      <c r="E16" s="5" t="n">
        <v>1135</v>
      </c>
      <c r="F16" s="5" t="n">
        <v>96.956</v>
      </c>
      <c r="G16" s="5" t="n">
        <v>238.716</v>
      </c>
      <c r="H16" s="5" t="n">
        <v>6230.1</v>
      </c>
      <c r="I16" s="5" t="inlineStr">
        <is>
          <t>Zdrojová data klienta</t>
        </is>
      </c>
      <c r="J16" s="5" t="inlineStr">
        <is>
          <t>Ne (není čaj 0902 z Číny)</t>
        </is>
      </c>
      <c r="K16" s="5" t="inlineStr">
        <is>
          <t>Ne / Ne</t>
        </is>
      </c>
      <c r="L16" s="5" t="inlineStr"/>
    </row>
    <row r="17">
      <c r="A17" s="5" t="inlineStr">
        <is>
          <t>Harney &amp; Sons Fine Teas</t>
        </is>
      </c>
      <c r="B17" s="7" t="inlineStr">
        <is>
          <t>4819500000 (klient) → návrh 0902300000</t>
        </is>
      </c>
      <c r="C17" s="5" t="inlineStr">
        <is>
          <t>kazeta na čaje</t>
        </is>
      </c>
      <c r="D17" s="5" t="n">
        <v>50</v>
      </c>
      <c r="E17" s="5" t="n">
        <v>50</v>
      </c>
      <c r="F17" s="6" t="n">
        <v>47.5</v>
      </c>
      <c r="G17" s="6" t="n">
        <v>47.5</v>
      </c>
      <c r="H17" s="5" t="n">
        <v>900</v>
      </c>
      <c r="I17" s="7" t="inlineStr">
        <is>
          <t>Klient uvedl 4819500000, ale není si jistý → přezkoumáno CCT/VPV KN</t>
        </is>
      </c>
      <c r="J17" s="6" t="inlineStr">
        <is>
          <t>⚠️ Pokud obsahuje čaj z Číny → CHED-D (obsah neznámý)</t>
        </is>
      </c>
      <c r="K17" s="5" t="inlineStr">
        <is>
          <t>Ne / Ne</t>
        </is>
      </c>
      <c r="L17" s="6" t="inlineStr">
        <is>
          <t>45-7032-G10 PLUM + 45-7032-G11 SIENNA „8 Slot Filled Sachet Chest“ (25+25 ks à USD 18). Plněná kazeta = zboží (čaj) + obal → VPV 5a/5b, VPV 3b → zařadit podle čaje, NE jako prázdný obal 4819. Návrh 0902300000 (0 %) jen pokud převažuje černý čaj – NUTNO doložit složení. Hmotnost 0,95 kg/ks je odhad klienta (NW = GW).</t>
        </is>
      </c>
    </row>
    <row r="18">
      <c r="A18" s="5" t="inlineStr">
        <is>
          <t>Harney &amp; Sons Fine Teas</t>
        </is>
      </c>
      <c r="B18" s="7" t="inlineStr">
        <is>
          <t>— (chybí) → návrh 0902300000</t>
        </is>
      </c>
      <c r="C18" s="5" t="inlineStr">
        <is>
          <t>adventní kalendář</t>
        </is>
      </c>
      <c r="D18" s="5" t="n">
        <v>80</v>
      </c>
      <c r="E18" s="5" t="n">
        <v>0</v>
      </c>
      <c r="F18" s="6" t="n"/>
      <c r="G18" s="6" t="n"/>
      <c r="H18" s="5" t="n">
        <v>1238</v>
      </c>
      <c r="I18" s="7" t="inlineStr">
        <is>
          <t>⚠️ CCT/VPV KN tariff rule (HS nebyl dodán)</t>
        </is>
      </c>
      <c r="J18" s="6" t="inlineStr">
        <is>
          <t>⚠️ Pokud obsahuje čaj z Číny → CHED-D (obsah neznámý)</t>
        </is>
      </c>
      <c r="K18" s="5" t="inlineStr">
        <is>
          <t>Ne / Ne</t>
        </is>
      </c>
      <c r="L18" s="6" t="inlineStr">
        <is>
          <t>45-7002-G56 „RED Advent Calendar – Harney &amp; Sons 2026“ (80 ks à USD 15,475). Kartonový kalendář s čajovými sáčky → karton = obal (VPV 5b) → zařadit podle čaje. Návrh 0902300000 (0 %) podmíněně – druhy čajů neznámé. ⚠️ HMOTNOST CHYBÍ (NW i GW).</t>
        </is>
      </c>
    </row>
    <row r="19">
      <c r="A19" s="2" t="inlineStr">
        <is>
          <t>CELKEM</t>
        </is>
      </c>
      <c r="D19" s="8" t="n">
        <v>6255</v>
      </c>
      <c r="E19" s="8" t="n">
        <v>25856</v>
      </c>
      <c r="F19" s="8" t="n">
        <v>1675.356</v>
      </c>
      <c r="G19" s="8" t="n">
        <v>4916.986</v>
      </c>
      <c r="H19" s="8" t="n">
        <v>141588.7</v>
      </c>
    </row>
    <row r="21">
      <c r="A21" s="2" t="inlineStr">
        <is>
          <t>Legenda:</t>
        </is>
      </c>
    </row>
    <row r="22">
      <c r="A22" s="3" t="inlineStr"/>
      <c r="B22" t="inlineStr">
        <is>
          <t>ČERVENÁ – chybí údaj / HS kód odvozen nebo zpochybněn – nutné potvrzení</t>
        </is>
      </c>
    </row>
    <row r="23">
      <c r="A23" s="9" t="inlineStr"/>
      <c r="B23" t="inlineStr">
        <is>
          <t>ŽLUTÁ – CHED-D (SVD) v TRACES / odhad hmotnosti</t>
        </is>
      </c>
    </row>
    <row r="24">
      <c r="A24" t="inlineStr"/>
      <c r="B24" t="inlineStr">
        <is>
          <t>Popis = popis klienta (list CUSTOM / sloupec „Popis“ zdrojového souboru), doslovně.</t>
        </is>
      </c>
    </row>
    <row r="25">
      <c r="A25" t="inlineStr"/>
      <c r="B25" t="inlineStr">
        <is>
          <t>Hodnota = součet řádků faktur; souhrn = „Invoice Total“ všech 4 faktur (141 588,70 USD). Faktury neobsahují slevu (Discount 0 %).</t>
        </is>
      </c>
    </row>
    <row r="26">
      <c r="A26" t="inlineStr"/>
      <c r="B26" t="inlineStr">
        <is>
          <t>Čistá/hrubá hmotnost = zdrojový soubor klienta (bez palet). B/L brutto 5 379,6 kg vč. 20 palet.</t>
        </is>
      </c>
    </row>
  </sheetData>
  <mergeCells count="13">
    <mergeCell ref="B4:L4"/>
    <mergeCell ref="B26:L26"/>
    <mergeCell ref="B6:L6"/>
    <mergeCell ref="B7:L7"/>
    <mergeCell ref="B25:L25"/>
    <mergeCell ref="B3:L3"/>
    <mergeCell ref="B2:L2"/>
    <mergeCell ref="B5:L5"/>
    <mergeCell ref="B24:L24"/>
    <mergeCell ref="B22:L22"/>
    <mergeCell ref="B23:L23"/>
    <mergeCell ref="B9:L9"/>
    <mergeCell ref="B8:L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8" customWidth="1" min="4" max="4"/>
    <col width="40" customWidth="1" min="5" max="5"/>
    <col width="60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60" customWidth="1" min="14" max="14"/>
  </cols>
  <sheetData>
    <row r="1">
      <c r="A1" s="4" t="inlineStr">
        <is>
          <t>Faktura</t>
        </is>
      </c>
      <c r="B1" s="4" t="inlineStr">
        <is>
          <t>SKU</t>
        </is>
      </c>
      <c r="C1" s="4" t="inlineStr">
        <is>
          <t>H&amp;S Item</t>
        </is>
      </c>
      <c r="D1" s="4" t="inlineStr">
        <is>
          <t>LOT</t>
        </is>
      </c>
      <c r="E1" s="4" t="inlineStr">
        <is>
          <t>Popis (EN)</t>
        </is>
      </c>
      <c r="F1" s="4" t="inlineStr">
        <is>
          <t>Popis (CZ – klient)</t>
        </is>
      </c>
      <c r="G1" s="4" t="inlineStr">
        <is>
          <t>HS kód</t>
        </is>
      </c>
      <c r="H1" s="4" t="inlineStr">
        <is>
          <t>Balení (faktura)</t>
        </is>
      </c>
      <c r="I1" s="4" t="inlineStr">
        <is>
          <t>ks</t>
        </is>
      </c>
      <c r="J1" s="4" t="inlineStr">
        <is>
          <t>NW (kg)</t>
        </is>
      </c>
      <c r="K1" s="4" t="inlineStr">
        <is>
          <t>GW (kg)</t>
        </is>
      </c>
      <c r="L1" s="4" t="inlineStr">
        <is>
          <t>Hodnota USD</t>
        </is>
      </c>
      <c r="M1" s="4" t="inlineStr">
        <is>
          <t>Čaj z Číny? (klient)</t>
        </is>
      </c>
      <c r="N1" s="4" t="inlineStr">
        <is>
          <t>Původ surovin (klient)</t>
        </is>
      </c>
    </row>
    <row r="2">
      <c r="A2" s="10" t="inlineStr">
        <is>
          <t>113328452</t>
        </is>
      </c>
      <c r="B2" s="10" t="inlineStr">
        <is>
          <t>41643</t>
        </is>
      </c>
      <c r="C2" s="10" t="inlineStr">
        <is>
          <t>32-0001</t>
        </is>
      </c>
      <c r="D2" s="10" t="inlineStr">
        <is>
          <t>26225</t>
        </is>
      </c>
      <c r="E2" s="10" t="inlineStr">
        <is>
          <t>16 oz , Hot Cinnamon Spice</t>
        </is>
      </c>
      <c r="F2" s="10" t="inlineStr">
        <is>
          <t>Směs černých čajů, tří druhů skořice, pomerančové kůry a sladkých hřebíčků.</t>
        </is>
      </c>
      <c r="G2" s="10" t="inlineStr">
        <is>
          <t>0902300000</t>
        </is>
      </c>
      <c r="H2" s="10" t="n">
        <v>100</v>
      </c>
      <c r="I2" s="10" t="n">
        <v>100</v>
      </c>
      <c r="J2" s="10" t="n">
        <v>45.36</v>
      </c>
      <c r="K2" s="10" t="n">
        <v>49.36</v>
      </c>
      <c r="L2" s="10" t="n">
        <v>1430</v>
      </c>
      <c r="M2" s="10" t="inlineStr">
        <is>
          <t>no</t>
        </is>
      </c>
      <c r="N2" s="10" t="inlineStr">
        <is>
          <t>Tea from Mozambique</t>
        </is>
      </c>
    </row>
    <row r="3">
      <c r="A3" s="10" t="inlineStr">
        <is>
          <t>113328452</t>
        </is>
      </c>
      <c r="B3" s="10" t="inlineStr">
        <is>
          <t>41632</t>
        </is>
      </c>
      <c r="C3" s="10" t="inlineStr">
        <is>
          <t>32-1221</t>
        </is>
      </c>
      <c r="D3" s="10" t="inlineStr">
        <is>
          <t>26225</t>
        </is>
      </c>
      <c r="E3" s="10" t="inlineStr">
        <is>
          <t>16 oz , Matcha Culinary Grade</t>
        </is>
      </c>
      <c r="F3" s="10" t="inlineStr">
        <is>
          <t>Zelený čaj</t>
        </is>
      </c>
      <c r="G3" s="10" t="inlineStr">
        <is>
          <t>0902100000</t>
        </is>
      </c>
      <c r="H3" s="10" t="n">
        <v>25</v>
      </c>
      <c r="I3" s="10" t="n">
        <v>25</v>
      </c>
      <c r="J3" s="10" t="n">
        <v>11.34</v>
      </c>
      <c r="K3" s="10" t="n">
        <v>12.34</v>
      </c>
      <c r="L3" s="10" t="n">
        <v>845</v>
      </c>
      <c r="M3" s="10" t="inlineStr">
        <is>
          <t>no</t>
        </is>
      </c>
      <c r="N3" s="10" t="inlineStr">
        <is>
          <t>100% tea from Japan</t>
        </is>
      </c>
    </row>
    <row r="4">
      <c r="A4" s="10" t="inlineStr">
        <is>
          <t>113328452</t>
        </is>
      </c>
      <c r="B4" s="10" t="inlineStr">
        <is>
          <t>41731</t>
        </is>
      </c>
      <c r="C4" s="10" t="inlineStr">
        <is>
          <t>32-0944</t>
        </is>
      </c>
      <c r="D4" s="10" t="inlineStr">
        <is>
          <t>26169</t>
        </is>
      </c>
      <c r="E4" s="10" t="inlineStr">
        <is>
          <t xml:space="preserve">16 oz , Tropical Green </t>
        </is>
      </c>
      <c r="F4" s="10" t="inlineStr">
        <is>
          <t>Zelený čaj, příchuť ananasu. Obsahuje umělá aromata.</t>
        </is>
      </c>
      <c r="G4" s="10" t="inlineStr">
        <is>
          <t>0902100000</t>
        </is>
      </c>
      <c r="H4" s="10" t="n">
        <v>25</v>
      </c>
      <c r="I4" s="10" t="n">
        <v>25</v>
      </c>
      <c r="J4" s="10" t="n">
        <v>11.34</v>
      </c>
      <c r="K4" s="10" t="n">
        <v>12.34</v>
      </c>
      <c r="L4" s="10" t="n">
        <v>322.5</v>
      </c>
      <c r="M4" s="11" t="inlineStr">
        <is>
          <t>CHINA</t>
        </is>
      </c>
      <c r="N4" s="10" t="inlineStr">
        <is>
          <t xml:space="preserve">97% green tea from China, 3% hawaiian flavor from Germany </t>
        </is>
      </c>
    </row>
    <row r="5">
      <c r="A5" s="10" t="inlineStr">
        <is>
          <t>113328452</t>
        </is>
      </c>
      <c r="B5" s="10" t="inlineStr">
        <is>
          <t>41705</t>
        </is>
      </c>
      <c r="C5" s="10" t="inlineStr">
        <is>
          <t>32-1784</t>
        </is>
      </c>
      <c r="D5" s="10" t="inlineStr">
        <is>
          <t>26253</t>
        </is>
      </c>
      <c r="E5" s="10" t="inlineStr">
        <is>
          <t>16 oz , White Vanilla Grapefruit</t>
        </is>
      </c>
      <c r="F5" s="10" t="inlineStr">
        <is>
          <t>Bílý čaj, aroma vanilky, aroma grapefruitu.</t>
        </is>
      </c>
      <c r="G5" s="10" t="inlineStr">
        <is>
          <t>0902100000</t>
        </is>
      </c>
      <c r="H5" s="10" t="n">
        <v>25</v>
      </c>
      <c r="I5" s="10" t="n">
        <v>25</v>
      </c>
      <c r="J5" s="10" t="n">
        <v>11.34</v>
      </c>
      <c r="K5" s="10" t="n">
        <v>12.34</v>
      </c>
      <c r="L5" s="10" t="n">
        <v>562.5</v>
      </c>
      <c r="M5" s="11" t="inlineStr">
        <is>
          <t>CHINA</t>
        </is>
      </c>
      <c r="N5" s="10" t="inlineStr">
        <is>
          <t>100% tea from China, other ingredients</t>
        </is>
      </c>
    </row>
    <row r="6">
      <c r="A6" s="10" t="inlineStr">
        <is>
          <t>113328452</t>
        </is>
      </c>
      <c r="B6" s="10" t="inlineStr">
        <is>
          <t>31643</t>
        </is>
      </c>
      <c r="C6" s="10" t="inlineStr">
        <is>
          <t>07-0522</t>
        </is>
      </c>
      <c r="D6" s="10" t="inlineStr">
        <is>
          <t>26182</t>
        </is>
      </c>
      <c r="E6" s="10" t="inlineStr">
        <is>
          <t xml:space="preserve">4x20ct Celebration Tea </t>
        </is>
      </c>
      <c r="F6" s="10" t="inlineStr">
        <is>
          <t>Směs černého čaje, meruňky, lískových oříšků, skořice a chrpy</t>
        </is>
      </c>
      <c r="G6" s="10" t="inlineStr">
        <is>
          <t>0902300000</t>
        </is>
      </c>
      <c r="H6" s="10" t="n">
        <v>45</v>
      </c>
      <c r="I6" s="10" t="n">
        <v>180</v>
      </c>
      <c r="J6" s="10" t="n">
        <v>7.2</v>
      </c>
      <c r="K6" s="10" t="n">
        <v>37.35</v>
      </c>
      <c r="L6" s="10" t="n">
        <v>846</v>
      </c>
      <c r="M6" s="11" t="inlineStr">
        <is>
          <t>CHINA</t>
        </is>
      </c>
      <c r="N6" s="10" t="inlineStr">
        <is>
          <t>89.6% black tea from China, 3% apricot from Turkey, 1.5% cornflowers from Albania, 5.9% flavor from US</t>
        </is>
      </c>
    </row>
    <row r="7">
      <c r="A7" s="10" t="inlineStr">
        <is>
          <t>113328452</t>
        </is>
      </c>
      <c r="B7" s="10" t="inlineStr">
        <is>
          <t>31644</t>
        </is>
      </c>
      <c r="C7" s="10" t="inlineStr">
        <is>
          <t>07-0521</t>
        </is>
      </c>
      <c r="D7" s="10" t="inlineStr">
        <is>
          <t>26171</t>
        </is>
      </c>
      <c r="E7" s="10" t="inlineStr">
        <is>
          <t>HT 4x20ct CRANBERRY AUTUMN Sachets</t>
        </is>
      </c>
      <c r="F7" s="10" t="inlineStr">
        <is>
          <t>Černý čaj smíchaný s kousky brusinek, pomeranče a ibišku.</t>
        </is>
      </c>
      <c r="G7" s="10" t="inlineStr">
        <is>
          <t>0902300000</t>
        </is>
      </c>
      <c r="H7" s="10" t="n">
        <v>30</v>
      </c>
      <c r="I7" s="10" t="n">
        <v>120</v>
      </c>
      <c r="J7" s="10" t="n">
        <v>4.8</v>
      </c>
      <c r="K7" s="10" t="n">
        <v>22.8</v>
      </c>
      <c r="L7" s="10" t="n">
        <v>564</v>
      </c>
      <c r="M7" s="11" t="inlineStr">
        <is>
          <t>CHINA</t>
        </is>
      </c>
      <c r="N7" s="10" t="inlineStr">
        <is>
          <t>87.5% Black tea (China), 4.75% natural cranberry flavor (USA), 3.8% cranberry pieces (USA), 3.8% hibiscus (Nigeria), 0.1% orange pieces (Spain), 0.05% natural orange flavor (USA)</t>
        </is>
      </c>
    </row>
    <row r="8">
      <c r="A8" s="10" t="inlineStr">
        <is>
          <t>113328452</t>
        </is>
      </c>
      <c r="B8" s="10" t="inlineStr">
        <is>
          <t>31751</t>
        </is>
      </c>
      <c r="C8" s="10" t="inlineStr">
        <is>
          <t>07-0543</t>
        </is>
      </c>
      <c r="D8" s="10" t="inlineStr">
        <is>
          <t>26203</t>
        </is>
      </c>
      <c r="E8" s="10" t="inlineStr">
        <is>
          <t xml:space="preserve">HT 4 X 20ct GINGERBREAD FESTIVAL </t>
        </is>
      </c>
      <c r="F8" s="10" t="inlineStr">
        <is>
          <t>Černý čaj, kořen zázvoru, skořice, melasové aroma, vanilkové aroma, hřebíček. Obsahuje přírodní aroma.</t>
        </is>
      </c>
      <c r="G8" s="10" t="inlineStr">
        <is>
          <t>0902300000</t>
        </is>
      </c>
      <c r="H8" s="10" t="n">
        <v>60</v>
      </c>
      <c r="I8" s="10" t="n">
        <v>240</v>
      </c>
      <c r="J8" s="10" t="n">
        <v>9.6</v>
      </c>
      <c r="K8" s="10" t="n">
        <v>46.8</v>
      </c>
      <c r="L8" s="10" t="n">
        <v>1128</v>
      </c>
      <c r="M8" s="11" t="inlineStr">
        <is>
          <t>CHINA</t>
        </is>
      </c>
      <c r="N8" s="10" t="inlineStr">
        <is>
          <t>83% black tea from China, 8.8% ginger root from Peru, 2.2% ground cloves from Indonesia, 3% ground cinnamon from Vietnam, 3% flavor from US</t>
        </is>
      </c>
    </row>
    <row r="9">
      <c r="A9" s="10" t="inlineStr">
        <is>
          <t>113328452</t>
        </is>
      </c>
      <c r="B9" s="10" t="inlineStr">
        <is>
          <t>31614</t>
        </is>
      </c>
      <c r="C9" s="10" t="inlineStr">
        <is>
          <t>07-0532</t>
        </is>
      </c>
      <c r="D9" s="10" t="inlineStr">
        <is>
          <t>26203</t>
        </is>
      </c>
      <c r="E9" s="10" t="inlineStr">
        <is>
          <t>HT 4x20ct Holiday (Seasonal) Sachets</t>
        </is>
      </c>
      <c r="F9" s="10" t="inlineStr">
        <is>
          <t>Černý čaj, hřebíček, mandlové aroma, pomerančové aroma, vanilkové aroma, světlice barvířská, tři druhy skořice, kousky pomeranče. Obsahuje přírodní aroma.</t>
        </is>
      </c>
      <c r="G9" s="10" t="inlineStr">
        <is>
          <t>0902300000</t>
        </is>
      </c>
      <c r="H9" s="10" t="n">
        <v>150</v>
      </c>
      <c r="I9" s="10" t="n">
        <v>600</v>
      </c>
      <c r="J9" s="10" t="n">
        <v>24</v>
      </c>
      <c r="K9" s="10" t="n">
        <v>114</v>
      </c>
      <c r="L9" s="10" t="n">
        <v>2820</v>
      </c>
      <c r="M9" s="11" t="inlineStr">
        <is>
          <t>CHINA</t>
        </is>
      </c>
      <c r="N9" s="10" t="inlineStr">
        <is>
          <t xml:space="preserve">88.5% black tea from China, 3% orange peel from Spain, 3% safflowers from China, 1.5% cloves from Indonesia, 4% flavor from US </t>
        </is>
      </c>
    </row>
    <row r="10">
      <c r="A10" s="10" t="inlineStr">
        <is>
          <t>113328452</t>
        </is>
      </c>
      <c r="B10" s="10" t="inlineStr">
        <is>
          <t>90648</t>
        </is>
      </c>
      <c r="C10" s="10" t="inlineStr">
        <is>
          <t>07-0950</t>
        </is>
      </c>
      <c r="D10" s="10" t="inlineStr">
        <is>
          <t>26203</t>
        </is>
      </c>
      <c r="E10" s="10" t="inlineStr">
        <is>
          <t>4x20ct Jane´s Garden</t>
        </is>
      </c>
      <c r="F10" s="10" t="inlineStr">
        <is>
          <t>Zelený čaj, okvětní lístky růží, příchuť granátového jablka.</t>
        </is>
      </c>
      <c r="G10" s="10" t="inlineStr">
        <is>
          <t>0902100000</t>
        </is>
      </c>
      <c r="H10" s="10" t="n">
        <v>15</v>
      </c>
      <c r="I10" s="10" t="n">
        <v>60</v>
      </c>
      <c r="J10" s="10" t="n">
        <v>2.64</v>
      </c>
      <c r="K10" s="10" t="n">
        <v>12.69</v>
      </c>
      <c r="L10" s="10" t="n">
        <v>300</v>
      </c>
      <c r="M10" s="11" t="inlineStr">
        <is>
          <t>CHINA</t>
        </is>
      </c>
      <c r="N10" s="10" t="inlineStr">
        <is>
          <t xml:space="preserve">92.5% green from China, 2% rose petals from Pakistan, 5.5% flavors from US </t>
        </is>
      </c>
    </row>
    <row r="11">
      <c r="A11" s="10" t="inlineStr">
        <is>
          <t>113328452</t>
        </is>
      </c>
      <c r="B11" s="10" t="inlineStr">
        <is>
          <t>70421</t>
        </is>
      </c>
      <c r="C11" s="10" t="inlineStr">
        <is>
          <t>07-0421-W</t>
        </is>
      </c>
      <c r="D11" s="10" t="inlineStr">
        <is>
          <t>26111</t>
        </is>
      </c>
      <c r="E11" s="10" t="inlineStr">
        <is>
          <t>20ct Williamsburg Earl Grey</t>
        </is>
      </c>
      <c r="F11" s="10" t="inlineStr">
        <is>
          <t>Černý čaj, čaj oolong, přírodní bergamotový olej.</t>
        </is>
      </c>
      <c r="G11" s="10" t="inlineStr">
        <is>
          <t>0902300000</t>
        </is>
      </c>
      <c r="H11" s="10" t="n">
        <v>30</v>
      </c>
      <c r="I11" s="10" t="n">
        <v>120</v>
      </c>
      <c r="J11" s="10" t="n">
        <v>5.52</v>
      </c>
      <c r="K11" s="10" t="n">
        <v>24.12</v>
      </c>
      <c r="L11" s="10" t="n">
        <v>657</v>
      </c>
      <c r="M11" s="11" t="inlineStr">
        <is>
          <t>CHINA</t>
        </is>
      </c>
      <c r="N11" s="10" t="inlineStr">
        <is>
          <t xml:space="preserve">46% black tea from China, 19% black tea from India, 19% Sri Lanka, 15% Taiwan, 1% bergamot oil from Italy </t>
        </is>
      </c>
    </row>
    <row r="12">
      <c r="A12" s="10" t="inlineStr">
        <is>
          <t>113328452</t>
        </is>
      </c>
      <c r="B12" s="10" t="inlineStr">
        <is>
          <t>35496</t>
        </is>
      </c>
      <c r="C12" s="10" t="inlineStr">
        <is>
          <t>03-0943-1</t>
        </is>
      </c>
      <c r="D12" s="10" t="inlineStr">
        <is>
          <t>26215</t>
        </is>
      </c>
      <c r="E12" s="10" t="inlineStr">
        <is>
          <t>HRP 4x30ct BLUEBERRY GREEN Sachets</t>
        </is>
      </c>
      <c r="F12" s="10" t="inlineStr">
        <is>
          <t>Zelený čaj, citronová tráva, borůvky, chrpa, aroma borůvek, aroma vanilky.</t>
        </is>
      </c>
      <c r="G12" s="10" t="inlineStr">
        <is>
          <t>0902100000</t>
        </is>
      </c>
      <c r="H12" s="10" t="n">
        <v>48</v>
      </c>
      <c r="I12" s="10" t="n">
        <v>192</v>
      </c>
      <c r="J12" s="10" t="n">
        <v>14.4</v>
      </c>
      <c r="K12" s="10" t="n">
        <v>45.36</v>
      </c>
      <c r="L12" s="10" t="n">
        <v>1267.2</v>
      </c>
      <c r="M12" s="11" t="inlineStr">
        <is>
          <t>CHINA</t>
        </is>
      </c>
      <c r="N12" s="10" t="inlineStr">
        <is>
          <t xml:space="preserve">86% green tea (China), 4% lemongrass (Egypt), 3% blueberry pieces (US,) 2% cornflowers (Albania), 5% flavors (US) </t>
        </is>
      </c>
    </row>
    <row r="13">
      <c r="A13" s="10" t="inlineStr">
        <is>
          <t>113328452</t>
        </is>
      </c>
      <c r="B13" s="10" t="inlineStr">
        <is>
          <t>35627</t>
        </is>
      </c>
      <c r="C13" s="10" t="inlineStr">
        <is>
          <t>03-0522</t>
        </is>
      </c>
      <c r="D13" s="10" t="inlineStr">
        <is>
          <t>26232</t>
        </is>
      </c>
      <c r="E13" s="10" t="inlineStr">
        <is>
          <t xml:space="preserve">HRP 4 x30ct CELEBRATION </t>
        </is>
      </c>
      <c r="F13" s="10" t="inlineStr">
        <is>
          <t>Směs černého čaje, meruněk, lískových oříšků, skořice a chrp.</t>
        </is>
      </c>
      <c r="G13" s="10" t="inlineStr">
        <is>
          <t>0902300000</t>
        </is>
      </c>
      <c r="H13" s="10" t="n">
        <v>72</v>
      </c>
      <c r="I13" s="10" t="n">
        <v>288</v>
      </c>
      <c r="J13" s="10" t="n">
        <v>21.6</v>
      </c>
      <c r="K13" s="10" t="n">
        <v>68.04000000000001</v>
      </c>
      <c r="L13" s="10" t="n">
        <v>1684.8</v>
      </c>
      <c r="M13" s="11" t="inlineStr">
        <is>
          <t>CHINA</t>
        </is>
      </c>
      <c r="N13" s="10" t="inlineStr">
        <is>
          <t>89.6% black tea from China, 3% apricot from Turkey, 1.5% cornflowers from Albania, 5.9% flavor from US</t>
        </is>
      </c>
    </row>
    <row r="14">
      <c r="A14" s="10" t="inlineStr">
        <is>
          <t>113328452</t>
        </is>
      </c>
      <c r="B14" s="10" t="inlineStr">
        <is>
          <t>30574</t>
        </is>
      </c>
      <c r="C14" s="10" t="inlineStr">
        <is>
          <t>03-0574</t>
        </is>
      </c>
      <c r="D14" s="10" t="inlineStr">
        <is>
          <t>26193</t>
        </is>
      </c>
      <c r="E14" s="10" t="inlineStr">
        <is>
          <t>30ct COOKIE AND CREAM</t>
        </is>
      </c>
      <c r="F14" s="10" t="inlineStr">
        <is>
          <t>Černý čaj, kousky kakaa, příchuť máslového sušenky, příchuť vanilky, příchuť čokolády. Obsahuje přírodní příchutě.</t>
        </is>
      </c>
      <c r="G14" s="10" t="inlineStr">
        <is>
          <t>0902300000</t>
        </is>
      </c>
      <c r="H14" s="10" t="n">
        <v>24</v>
      </c>
      <c r="I14" s="10" t="n">
        <v>96</v>
      </c>
      <c r="J14" s="10" t="n">
        <v>6.336</v>
      </c>
      <c r="K14" s="10" t="n">
        <v>23.256</v>
      </c>
      <c r="L14" s="10" t="n">
        <v>633.6</v>
      </c>
      <c r="M14" s="10" t="inlineStr">
        <is>
          <t>no</t>
        </is>
      </c>
      <c r="N14" s="12" t="inlineStr">
        <is>
          <t>???</t>
        </is>
      </c>
    </row>
    <row r="15">
      <c r="A15" s="10" t="inlineStr">
        <is>
          <t>113328452</t>
        </is>
      </c>
      <c r="B15" s="10" t="inlineStr">
        <is>
          <t>30521</t>
        </is>
      </c>
      <c r="C15" s="10" t="inlineStr">
        <is>
          <t>03-0521-1</t>
        </is>
      </c>
      <c r="D15" s="10" t="inlineStr">
        <is>
          <t>26190</t>
        </is>
      </c>
      <c r="E15" s="10" t="inlineStr">
        <is>
          <t>30ct CRANBERRY AUTUMN Sachets</t>
        </is>
      </c>
      <c r="F15" s="10" t="inlineStr">
        <is>
          <t>Černý čaj, přírodní brusinkové aroma, kousky brusinek, ibišek, kousky pomeranče, přírodní pomerančové aroma.</t>
        </is>
      </c>
      <c r="G15" s="10" t="inlineStr">
        <is>
          <t>0902300000</t>
        </is>
      </c>
      <c r="H15" s="10" t="n">
        <v>24</v>
      </c>
      <c r="I15" s="10" t="n">
        <v>96</v>
      </c>
      <c r="J15" s="10" t="n">
        <v>7.2</v>
      </c>
      <c r="K15" s="10" t="n">
        <v>22.68</v>
      </c>
      <c r="L15" s="10" t="n">
        <v>633.6</v>
      </c>
      <c r="M15" s="11" t="inlineStr">
        <is>
          <t>CHINA</t>
        </is>
      </c>
      <c r="N15" s="10" t="inlineStr">
        <is>
          <t>87.5% Black Tea (China), 4.75% cranberry flavor (USA), 3.8% cranberry pieces (USA), 3.8% hibiscus (Nigeria), 0.1% orange peel (Spain), 0.05% orange flavor (USA). Contains natural flavors.</t>
        </is>
      </c>
    </row>
    <row r="16">
      <c r="A16" s="10" t="inlineStr">
        <is>
          <t>113328452</t>
        </is>
      </c>
      <c r="B16" s="10" t="inlineStr">
        <is>
          <t>35999</t>
        </is>
      </c>
      <c r="C16" s="10" t="inlineStr">
        <is>
          <t>03-0560</t>
        </is>
      </c>
      <c r="D16" s="10" t="inlineStr">
        <is>
          <t>26161</t>
        </is>
      </c>
      <c r="E16" s="10" t="inlineStr">
        <is>
          <t>30ct Nutcracker</t>
        </is>
      </c>
      <c r="F16" s="10" t="inlineStr">
        <is>
          <t>Černý čaj, čokoládová příchuť, vanilková příchuť, mandlová příchuť, lískooříšková příchuť, kousky meruněk, meruňková příchuť, okvětní lístky měsíčku lékařského. Obsahuje přírodní příchutě, neobsahuje ořechy.</t>
        </is>
      </c>
      <c r="G16" s="10" t="inlineStr">
        <is>
          <t>0902300000</t>
        </is>
      </c>
      <c r="H16" s="10" t="n">
        <v>96</v>
      </c>
      <c r="I16" s="10" t="n">
        <v>384</v>
      </c>
      <c r="J16" s="10" t="n">
        <v>28.8</v>
      </c>
      <c r="K16" s="10" t="n">
        <v>96.48</v>
      </c>
      <c r="L16" s="10" t="n">
        <v>2246.4</v>
      </c>
      <c r="M16" s="11" t="inlineStr">
        <is>
          <t>CHINA</t>
        </is>
      </c>
      <c r="N16" s="10" t="inlineStr">
        <is>
          <t>89,75% Black Tea from China, 2% Marigold (Egypt), 2,6% Apricot (Turkey), 5.56% flavor (USA)</t>
        </is>
      </c>
    </row>
    <row r="17">
      <c r="A17" s="10" t="inlineStr">
        <is>
          <t>113328452</t>
        </is>
      </c>
      <c r="B17" s="10" t="inlineStr">
        <is>
          <t>35447</t>
        </is>
      </c>
      <c r="C17" s="10" t="inlineStr">
        <is>
          <t>03-1785</t>
        </is>
      </c>
      <c r="D17" s="10" t="inlineStr">
        <is>
          <t>26253</t>
        </is>
      </c>
      <c r="E17" s="10" t="inlineStr">
        <is>
          <t>HRP 4x30ct White Christmas (Seasonal)</t>
        </is>
      </c>
      <c r="F17" s="10" t="inlineStr">
        <is>
          <t>Bílý čaj, kardamom, heřmánek, mandlová příchuť, vanilková příchuť a kardamomová příchuť. Obsahuje přírodní příchutě.</t>
        </is>
      </c>
      <c r="G17" s="10" t="inlineStr">
        <is>
          <t>0902100000</t>
        </is>
      </c>
      <c r="H17" s="10" t="n">
        <v>48</v>
      </c>
      <c r="I17" s="10" t="n">
        <v>192</v>
      </c>
      <c r="J17" s="10" t="n">
        <v>14.4</v>
      </c>
      <c r="K17" s="10" t="n">
        <v>45.36</v>
      </c>
      <c r="L17" s="10" t="n">
        <v>1123.2</v>
      </c>
      <c r="M17" s="11" t="inlineStr">
        <is>
          <t>CHINA</t>
        </is>
      </c>
      <c r="N17" s="10" t="inlineStr">
        <is>
          <t xml:space="preserve">91.5% white tea from China, 2% cardamon from Guatemala, 2.0% Chamomile Rome from France, 4.5% flavor from US </t>
        </is>
      </c>
    </row>
    <row r="18">
      <c r="A18" s="10" t="inlineStr">
        <is>
          <t>113328452</t>
        </is>
      </c>
      <c r="B18" s="10" t="inlineStr">
        <is>
          <t>46403</t>
        </is>
      </c>
      <c r="C18" s="10" t="inlineStr">
        <is>
          <t>38-0421</t>
        </is>
      </c>
      <c r="D18" s="10" t="inlineStr">
        <is>
          <t>26217</t>
        </is>
      </c>
      <c r="E18" s="10" t="inlineStr">
        <is>
          <t>6x4oz, Earl Grey</t>
        </is>
      </c>
      <c r="F18" s="10" t="inlineStr">
        <is>
          <t>Černý čaj, bílý čaj, bergamotový olej.</t>
        </is>
      </c>
      <c r="G18" s="10" t="inlineStr">
        <is>
          <t>0902300000</t>
        </is>
      </c>
      <c r="H18" s="10" t="n">
        <v>20</v>
      </c>
      <c r="I18" s="10" t="n">
        <v>120</v>
      </c>
      <c r="J18" s="10" t="n">
        <v>13.608</v>
      </c>
      <c r="K18" s="10" t="n">
        <v>26.368</v>
      </c>
      <c r="L18" s="10" t="n">
        <v>600</v>
      </c>
      <c r="M18" s="11" t="inlineStr">
        <is>
          <t>CHINA</t>
        </is>
      </c>
      <c r="N18" s="10" t="inlineStr">
        <is>
          <t xml:space="preserve">46% black tea from China, 19% black tea from India, 19% Sri Lanka, 15% Taiwan, 1% bergamot oil from Italy </t>
        </is>
      </c>
    </row>
    <row r="19">
      <c r="A19" s="10" t="inlineStr">
        <is>
          <t>113328452</t>
        </is>
      </c>
      <c r="B19" s="10" t="inlineStr">
        <is>
          <t>46433</t>
        </is>
      </c>
      <c r="C19" s="10" t="inlineStr">
        <is>
          <t>38-0001</t>
        </is>
      </c>
      <c r="D19" s="10" t="inlineStr">
        <is>
          <t>26215</t>
        </is>
      </c>
      <c r="E19" s="10" t="inlineStr">
        <is>
          <t>6x4oz, HOT CINNAMON SPICE</t>
        </is>
      </c>
      <c r="F19" s="10" t="inlineStr">
        <is>
          <t>Směs černých čajů, tří druhů skořice, pomerančové kůry a sladkých hřebíčků.</t>
        </is>
      </c>
      <c r="G19" s="10" t="inlineStr">
        <is>
          <t>0902300000</t>
        </is>
      </c>
      <c r="H19" s="10" t="n">
        <v>25</v>
      </c>
      <c r="I19" s="10" t="n">
        <v>150</v>
      </c>
      <c r="J19" s="10" t="n">
        <v>17.01</v>
      </c>
      <c r="K19" s="10" t="n">
        <v>32.96</v>
      </c>
      <c r="L19" s="10" t="n">
        <v>695</v>
      </c>
      <c r="M19" s="10" t="inlineStr">
        <is>
          <t>no</t>
        </is>
      </c>
      <c r="N19" s="10" t="inlineStr">
        <is>
          <t>Tea from Mozambique</t>
        </is>
      </c>
    </row>
    <row r="20">
      <c r="A20" s="10" t="inlineStr">
        <is>
          <t>113328452</t>
        </is>
      </c>
      <c r="B20" s="10" t="inlineStr">
        <is>
          <t>16116</t>
        </is>
      </c>
      <c r="C20" s="10" t="inlineStr">
        <is>
          <t>16-0023</t>
        </is>
      </c>
      <c r="D20" s="10" t="inlineStr">
        <is>
          <t>26196</t>
        </is>
      </c>
      <c r="E20" s="10" t="inlineStr">
        <is>
          <t>6x50ct ENGLISH BREAKFAST Teabags</t>
        </is>
      </c>
      <c r="F20" s="10" t="inlineStr">
        <is>
          <t>100% čínský černý čaj Keemun.</t>
        </is>
      </c>
      <c r="G20" s="10" t="inlineStr">
        <is>
          <t>0902300000</t>
        </is>
      </c>
      <c r="H20" s="10" t="n">
        <v>96</v>
      </c>
      <c r="I20" s="10" t="n">
        <v>576</v>
      </c>
      <c r="J20" s="10" t="n">
        <v>51.84</v>
      </c>
      <c r="K20" s="10" t="n">
        <v>133.44</v>
      </c>
      <c r="L20" s="10" t="n">
        <v>3024</v>
      </c>
      <c r="M20" s="11" t="inlineStr">
        <is>
          <t>CHINA</t>
        </is>
      </c>
      <c r="N20" s="10" t="inlineStr">
        <is>
          <t>100% black tea from China</t>
        </is>
      </c>
    </row>
    <row r="21">
      <c r="A21" s="10" t="inlineStr">
        <is>
          <t>113328452</t>
        </is>
      </c>
      <c r="B21" s="10" t="inlineStr">
        <is>
          <t>50506</t>
        </is>
      </c>
      <c r="C21" s="10" t="inlineStr">
        <is>
          <t>21-0441-1</t>
        </is>
      </c>
      <c r="D21" s="10" t="inlineStr">
        <is>
          <t>26237</t>
        </is>
      </c>
      <c r="E21" s="10" t="inlineStr">
        <is>
          <t>50ct Sachet EARL GREY SUPREME</t>
        </is>
      </c>
      <c r="F21" s="10" t="inlineStr">
        <is>
          <t>Černý čaj, bílý čaj, bergamotový olej</t>
        </is>
      </c>
      <c r="G21" s="10" t="inlineStr">
        <is>
          <t>0902300000</t>
        </is>
      </c>
      <c r="H21" s="10" t="n">
        <v>100</v>
      </c>
      <c r="I21" s="10" t="n">
        <v>100</v>
      </c>
      <c r="J21" s="10" t="n">
        <v>10</v>
      </c>
      <c r="K21" s="10" t="n">
        <v>18.5</v>
      </c>
      <c r="L21" s="10" t="n">
        <v>1050</v>
      </c>
      <c r="M21" s="11" t="inlineStr">
        <is>
          <t>CHINA</t>
        </is>
      </c>
      <c r="N21" s="10" t="inlineStr">
        <is>
          <t xml:space="preserve">28% black tea from China, 26% black tea from Sri Lanka, 25% black tea from Taiwan, 19.5% black tea from India, 1.5% bergamot oil from Italy </t>
        </is>
      </c>
    </row>
    <row r="22">
      <c r="A22" s="10" t="inlineStr">
        <is>
          <t>113328452</t>
        </is>
      </c>
      <c r="B22" s="10" t="inlineStr">
        <is>
          <t>16110</t>
        </is>
      </c>
      <c r="C22" s="10" t="inlineStr">
        <is>
          <t>16-0002</t>
        </is>
      </c>
      <c r="D22" s="10" t="inlineStr">
        <is>
          <t>26244</t>
        </is>
      </c>
      <c r="E22" s="10" t="inlineStr">
        <is>
          <t>6x50ct HOT CINNAMON SPICE Teabags</t>
        </is>
      </c>
      <c r="F22" s="10" t="inlineStr">
        <is>
          <t>Směs černých čajů, tří druhů skořice, pomerančové kůry a sladkých hřebíčků.</t>
        </is>
      </c>
      <c r="G22" s="10" t="inlineStr">
        <is>
          <t>0902300000</t>
        </is>
      </c>
      <c r="H22" s="10" t="n">
        <v>216</v>
      </c>
      <c r="I22" s="10" t="n">
        <v>1296</v>
      </c>
      <c r="J22" s="10" t="n">
        <v>116.64</v>
      </c>
      <c r="K22" s="10" t="n">
        <v>300.24</v>
      </c>
      <c r="L22" s="10" t="n">
        <v>6804</v>
      </c>
      <c r="M22" s="10" t="inlineStr">
        <is>
          <t>no</t>
        </is>
      </c>
      <c r="N22" s="10" t="inlineStr">
        <is>
          <t>Tea from Mozambique</t>
        </is>
      </c>
    </row>
    <row r="23">
      <c r="A23" s="10" t="inlineStr">
        <is>
          <t>113328452</t>
        </is>
      </c>
      <c r="B23" s="10" t="inlineStr">
        <is>
          <t>16122</t>
        </is>
      </c>
      <c r="C23" s="10" t="inlineStr">
        <is>
          <t>16-1435</t>
        </is>
      </c>
      <c r="D23" s="10" t="inlineStr">
        <is>
          <t>26200</t>
        </is>
      </c>
      <c r="E23" s="10" t="inlineStr">
        <is>
          <t>6x50ct RASPBERRY HERBAL Teabags</t>
        </is>
      </c>
      <c r="F23" s="10" t="inlineStr">
        <is>
          <t>Šípky, ibišek, pomerančová kůra, aroma malin, jablko, citronová kůra, máta peprná,</t>
        </is>
      </c>
      <c r="G23" s="10" t="inlineStr">
        <is>
          <t>2106909849</t>
        </is>
      </c>
      <c r="H23" s="10" t="n">
        <v>96</v>
      </c>
      <c r="I23" s="10" t="n">
        <v>576</v>
      </c>
      <c r="J23" s="10" t="n">
        <v>51.84</v>
      </c>
      <c r="K23" s="10" t="n">
        <v>133.44</v>
      </c>
      <c r="L23" s="10" t="n">
        <v>3024</v>
      </c>
      <c r="M23" s="10" t="inlineStr">
        <is>
          <t>no</t>
        </is>
      </c>
      <c r="N23" s="10" t="inlineStr">
        <is>
          <t>fruit/herbal or blend</t>
        </is>
      </c>
    </row>
    <row r="24">
      <c r="A24" s="10" t="inlineStr">
        <is>
          <t>113328452</t>
        </is>
      </c>
      <c r="B24" s="10" t="inlineStr">
        <is>
          <t>50546</t>
        </is>
      </c>
      <c r="C24" s="10" t="inlineStr">
        <is>
          <t>20-0521</t>
        </is>
      </c>
      <c r="D24" s="10" t="inlineStr">
        <is>
          <t>26223</t>
        </is>
      </c>
      <c r="E24" s="10" t="inlineStr">
        <is>
          <t>50ct Cranberry Autumn</t>
        </is>
      </c>
      <c r="F24" s="10" t="inlineStr">
        <is>
          <t>Černý čaj smíchaný s kousky brusinek, pomeranče a ibišku.</t>
        </is>
      </c>
      <c r="G24" s="10" t="inlineStr">
        <is>
          <t>0902300000</t>
        </is>
      </c>
      <c r="H24" s="10" t="n">
        <v>25</v>
      </c>
      <c r="I24" s="10" t="n">
        <v>25</v>
      </c>
      <c r="J24" s="10" t="n">
        <v>2.875</v>
      </c>
      <c r="K24" s="10" t="n">
        <v>5</v>
      </c>
      <c r="L24" s="10" t="n">
        <v>262.5</v>
      </c>
      <c r="M24" s="11" t="inlineStr">
        <is>
          <t>CHINA</t>
        </is>
      </c>
      <c r="N24" s="10" t="inlineStr">
        <is>
          <t>87.5% Black tea (China), 4.75% natural cranberry flavor (USA), 3.8% cranberry pieces (USA), 3.8% hibiscus (Nigeria), 0.1% orange pieces (Spain), 0.05% natural orange flavor (USA)</t>
        </is>
      </c>
    </row>
    <row r="25">
      <c r="A25" s="10" t="inlineStr">
        <is>
          <t>113328452</t>
        </is>
      </c>
      <c r="B25" s="10" t="inlineStr">
        <is>
          <t>50501</t>
        </is>
      </c>
      <c r="C25" s="10" t="inlineStr">
        <is>
          <t>20-0021</t>
        </is>
      </c>
      <c r="D25" s="10" t="inlineStr">
        <is>
          <t>26211</t>
        </is>
      </c>
      <c r="E25" s="10" t="inlineStr">
        <is>
          <t>50ct Sachet English Breakfast</t>
        </is>
      </c>
      <c r="F25" s="10" t="inlineStr">
        <is>
          <t>100% čínský černý čaj Keemum</t>
        </is>
      </c>
      <c r="G25" s="10" t="inlineStr">
        <is>
          <t>0902300000</t>
        </is>
      </c>
      <c r="H25" s="10" t="n">
        <v>50</v>
      </c>
      <c r="I25" s="10" t="n">
        <v>50</v>
      </c>
      <c r="J25" s="10" t="n">
        <v>5</v>
      </c>
      <c r="K25" s="10" t="n">
        <v>9.25</v>
      </c>
      <c r="L25" s="10" t="n">
        <v>450</v>
      </c>
      <c r="M25" s="11" t="inlineStr">
        <is>
          <t>CHINA</t>
        </is>
      </c>
      <c r="N25" s="10" t="inlineStr">
        <is>
          <t>100% black tea from China</t>
        </is>
      </c>
    </row>
    <row r="26">
      <c r="A26" s="10" t="inlineStr">
        <is>
          <t>113328452</t>
        </is>
      </c>
      <c r="B26" s="10" t="inlineStr">
        <is>
          <t>51010</t>
        </is>
      </c>
      <c r="C26" s="10" t="inlineStr">
        <is>
          <t>20-0541</t>
        </is>
      </c>
      <c r="D26" s="10" t="inlineStr">
        <is>
          <t>26207</t>
        </is>
      </c>
      <c r="E26" s="10" t="inlineStr">
        <is>
          <t xml:space="preserve">50ct Hot Apple Spice </t>
        </is>
      </c>
      <c r="F26" s="10" t="inlineStr">
        <is>
          <t>Černý čaj, pomerančová kůra, aroma skořice, mletá skořice, kousky jablek, aroma jablek, kousky skořice, mleté hřebíčky. Obsahuje přírodní aroma.</t>
        </is>
      </c>
      <c r="G26" s="10" t="inlineStr">
        <is>
          <t>0902300000</t>
        </is>
      </c>
      <c r="H26" s="10" t="n">
        <v>25</v>
      </c>
      <c r="I26" s="10" t="n">
        <v>25</v>
      </c>
      <c r="J26" s="10" t="n">
        <v>2.5</v>
      </c>
      <c r="K26" s="10" t="n">
        <v>4.625</v>
      </c>
      <c r="L26" s="10" t="n">
        <v>245</v>
      </c>
      <c r="M26" s="11" t="inlineStr">
        <is>
          <t>CHINA</t>
        </is>
      </c>
      <c r="N26" s="10" t="inlineStr">
        <is>
          <t xml:space="preserve">62.75% black tea (China), 18% orange peel (Spain), 5% cinnamon (Vietnam), 1% cloves (Indonesia), 13.25% apples from (US) </t>
        </is>
      </c>
    </row>
    <row r="27">
      <c r="A27" s="10" t="inlineStr">
        <is>
          <t>113328452</t>
        </is>
      </c>
      <c r="B27" s="10" t="inlineStr">
        <is>
          <t>50513</t>
        </is>
      </c>
      <c r="C27" s="10" t="inlineStr">
        <is>
          <t>20-0001</t>
        </is>
      </c>
      <c r="D27" s="10" t="inlineStr">
        <is>
          <t>26208</t>
        </is>
      </c>
      <c r="E27" s="10" t="inlineStr">
        <is>
          <t>50ct Sachet HOT CINNAMON SPICE/SUNSET</t>
        </is>
      </c>
      <c r="F27" s="10" t="inlineStr">
        <is>
          <t>Směs černých čajů, tří druhů skořice, pomerančové kůry a sladkých hřebíčků.</t>
        </is>
      </c>
      <c r="G27" s="10" t="inlineStr">
        <is>
          <t>0902300000</t>
        </is>
      </c>
      <c r="H27" s="10" t="n">
        <v>225</v>
      </c>
      <c r="I27" s="10" t="n">
        <v>225</v>
      </c>
      <c r="J27" s="10" t="n">
        <v>22.5</v>
      </c>
      <c r="K27" s="10" t="n">
        <v>41.625</v>
      </c>
      <c r="L27" s="10" t="n">
        <v>2205</v>
      </c>
      <c r="M27" s="10" t="inlineStr">
        <is>
          <t>no</t>
        </is>
      </c>
      <c r="N27" s="10" t="inlineStr">
        <is>
          <t>Tea from Mozambique</t>
        </is>
      </c>
    </row>
    <row r="28">
      <c r="A28" s="10" t="inlineStr">
        <is>
          <t>113328452</t>
        </is>
      </c>
      <c r="B28" s="10" t="inlineStr">
        <is>
          <t>50533</t>
        </is>
      </c>
      <c r="C28" s="10" t="inlineStr">
        <is>
          <t>20-0491</t>
        </is>
      </c>
      <c r="D28" s="10" t="inlineStr">
        <is>
          <t>26230</t>
        </is>
      </c>
      <c r="E28" s="10" t="inlineStr">
        <is>
          <t>50ct Sachet PARIS</t>
        </is>
      </c>
      <c r="F28" s="10" t="inlineStr">
        <is>
          <t>Černý čaj, čaj Oolong, aroma černého rybízu, aroma vanilky, bergamotový olej, aroma karamelu</t>
        </is>
      </c>
      <c r="G28" s="10" t="inlineStr">
        <is>
          <t>0902300000</t>
        </is>
      </c>
      <c r="H28" s="10" t="n">
        <v>75</v>
      </c>
      <c r="I28" s="10" t="n">
        <v>75</v>
      </c>
      <c r="J28" s="10" t="n">
        <v>7.5</v>
      </c>
      <c r="K28" s="10" t="n">
        <v>13.875</v>
      </c>
      <c r="L28" s="10" t="n">
        <v>735</v>
      </c>
      <c r="M28" s="11" t="inlineStr">
        <is>
          <t>CHINA</t>
        </is>
      </c>
      <c r="N28" s="10" t="inlineStr">
        <is>
          <t xml:space="preserve">70.1% black tea from China, 9.5% black tea from India, 9.5% black tea from Sri Lanka, 5.85% black tea from Taiwan, 3.85% flavors from US, 1% black current pieces from US, 0.2% bergamot oil from Italy </t>
        </is>
      </c>
    </row>
    <row r="29">
      <c r="A29" s="10" t="inlineStr">
        <is>
          <t>113328452</t>
        </is>
      </c>
      <c r="B29" s="10" t="inlineStr">
        <is>
          <t>50550</t>
        </is>
      </c>
      <c r="C29" s="10" t="inlineStr">
        <is>
          <t>20-0523</t>
        </is>
      </c>
      <c r="D29" s="10" t="inlineStr">
        <is>
          <t>26216</t>
        </is>
      </c>
      <c r="E29" s="10" t="inlineStr">
        <is>
          <t>50ct Rose Scented</t>
        </is>
      </c>
      <c r="F29" s="10" t="inlineStr">
        <is>
          <t>Černý čaj, příchuť růže, poupata růží. Obsahuje přírodní příchutě.</t>
        </is>
      </c>
      <c r="G29" s="10" t="inlineStr">
        <is>
          <t>0902300000</t>
        </is>
      </c>
      <c r="H29" s="10" t="n">
        <v>25</v>
      </c>
      <c r="I29" s="10" t="n">
        <v>25</v>
      </c>
      <c r="J29" s="10" t="n">
        <v>2.875</v>
      </c>
      <c r="K29" s="10" t="n">
        <v>5</v>
      </c>
      <c r="L29" s="10" t="n">
        <v>262.5</v>
      </c>
      <c r="M29" s="11" t="inlineStr">
        <is>
          <t>CHINA</t>
        </is>
      </c>
      <c r="N29" s="10" t="inlineStr">
        <is>
          <t>94.5% black tea from China, 2.5% rose petals from Pakistan, 3% flavor from, US</t>
        </is>
      </c>
    </row>
    <row r="30">
      <c r="A30" s="10" t="inlineStr">
        <is>
          <t>113328452</t>
        </is>
      </c>
      <c r="B30" s="10" t="inlineStr">
        <is>
          <t>12137</t>
        </is>
      </c>
      <c r="C30" s="10" t="inlineStr">
        <is>
          <t>36-0001</t>
        </is>
      </c>
      <c r="D30" s="10" t="inlineStr">
        <is>
          <t>26190</t>
        </is>
      </c>
      <c r="E30" s="10" t="inlineStr">
        <is>
          <t>4x7oz, HOT CINNAMON SPICE</t>
        </is>
      </c>
      <c r="F30" s="10" t="inlineStr">
        <is>
          <t>Směs černých čajů, tří druhů skořice, pomerančové kůry a sladkých hřebíčků.</t>
        </is>
      </c>
      <c r="G30" s="10" t="inlineStr">
        <is>
          <t>0902300000</t>
        </is>
      </c>
      <c r="H30" s="10" t="n">
        <v>30</v>
      </c>
      <c r="I30" s="10" t="n">
        <v>120</v>
      </c>
      <c r="J30" s="10" t="n">
        <v>23.814</v>
      </c>
      <c r="K30" s="10" t="n">
        <v>43.014</v>
      </c>
      <c r="L30" s="10" t="n">
        <v>810</v>
      </c>
      <c r="M30" s="10" t="inlineStr">
        <is>
          <t>no</t>
        </is>
      </c>
      <c r="N30" s="10" t="inlineStr">
        <is>
          <t>Tea from Mozambique</t>
        </is>
      </c>
    </row>
    <row r="31">
      <c r="A31" s="10" t="inlineStr">
        <is>
          <t>113328452</t>
        </is>
      </c>
      <c r="B31" s="10" t="inlineStr">
        <is>
          <t>12134</t>
        </is>
      </c>
      <c r="C31" s="10" t="inlineStr">
        <is>
          <t>36-1882</t>
        </is>
      </c>
      <c r="D31" s="10" t="inlineStr">
        <is>
          <t>26251</t>
        </is>
      </c>
      <c r="E31" s="10" t="inlineStr">
        <is>
          <t>4x7oz, JASMINE</t>
        </is>
      </c>
      <c r="F31" s="10" t="inlineStr">
        <is>
          <t>Zelený čaj, květy jasmínu</t>
        </is>
      </c>
      <c r="G31" s="10" t="inlineStr">
        <is>
          <t>0902100000</t>
        </is>
      </c>
      <c r="H31" s="10" t="n">
        <v>10</v>
      </c>
      <c r="I31" s="10" t="n">
        <v>40</v>
      </c>
      <c r="J31" s="10" t="n">
        <v>7.938</v>
      </c>
      <c r="K31" s="10" t="n">
        <v>14.338</v>
      </c>
      <c r="L31" s="10" t="n">
        <v>360</v>
      </c>
      <c r="M31" s="11" t="inlineStr">
        <is>
          <t>CHINA</t>
        </is>
      </c>
      <c r="N31" s="10" t="inlineStr">
        <is>
          <t>100% Green tea (China)</t>
        </is>
      </c>
    </row>
    <row r="32">
      <c r="A32" s="12" t="inlineStr">
        <is>
          <t>113328452</t>
        </is>
      </c>
      <c r="B32" s="12" t="inlineStr">
        <is>
          <t>70320</t>
        </is>
      </c>
      <c r="C32" s="12" t="inlineStr">
        <is>
          <t>45-7032-G10</t>
        </is>
      </c>
      <c r="D32" s="12" t="inlineStr">
        <is>
          <t>26175</t>
        </is>
      </c>
      <c r="E32" s="12" t="inlineStr">
        <is>
          <t>8 Slot PLUM Filled Sachet Chest</t>
        </is>
      </c>
      <c r="F32" s="12" t="inlineStr">
        <is>
          <t>kazeta na čaje</t>
        </is>
      </c>
      <c r="G32" s="12" t="inlineStr">
        <is>
          <t>4819500000</t>
        </is>
      </c>
      <c r="H32" s="12" t="n">
        <v>25</v>
      </c>
      <c r="I32" s="12" t="n">
        <v>25</v>
      </c>
      <c r="J32" s="12" t="n">
        <v>23.75</v>
      </c>
      <c r="K32" s="12" t="n">
        <v>23.75</v>
      </c>
      <c r="L32" s="12" t="n">
        <v>450</v>
      </c>
      <c r="M32" s="12" t="inlineStr">
        <is>
          <t>no</t>
        </is>
      </c>
      <c r="N32" s="12" t="inlineStr">
        <is>
          <t>???</t>
        </is>
      </c>
    </row>
    <row r="33">
      <c r="A33" s="12" t="inlineStr">
        <is>
          <t>113328452</t>
        </is>
      </c>
      <c r="B33" s="12" t="inlineStr">
        <is>
          <t>70321</t>
        </is>
      </c>
      <c r="C33" s="12" t="inlineStr">
        <is>
          <t>45-7032-G11</t>
        </is>
      </c>
      <c r="D33" s="12" t="inlineStr">
        <is>
          <t>26182</t>
        </is>
      </c>
      <c r="E33" s="12" t="inlineStr">
        <is>
          <t>8 Slot SIENNA Filled Sachet Chest</t>
        </is>
      </c>
      <c r="F33" s="12" t="inlineStr">
        <is>
          <t>kazeta na čaje</t>
        </is>
      </c>
      <c r="G33" s="12" t="inlineStr">
        <is>
          <t>4819500000</t>
        </is>
      </c>
      <c r="H33" s="12" t="n">
        <v>25</v>
      </c>
      <c r="I33" s="12" t="n">
        <v>25</v>
      </c>
      <c r="J33" s="12" t="n">
        <v>23.75</v>
      </c>
      <c r="K33" s="12" t="n">
        <v>23.75</v>
      </c>
      <c r="L33" s="12" t="n">
        <v>450</v>
      </c>
      <c r="M33" s="12" t="inlineStr">
        <is>
          <t>no</t>
        </is>
      </c>
      <c r="N33" s="12" t="inlineStr">
        <is>
          <t>???</t>
        </is>
      </c>
    </row>
    <row r="34">
      <c r="A34" s="10" t="inlineStr">
        <is>
          <t>113328452</t>
        </is>
      </c>
      <c r="B34" s="10" t="inlineStr">
        <is>
          <t>35404</t>
        </is>
      </c>
      <c r="C34" s="10" t="inlineStr">
        <is>
          <t>02-1261</t>
        </is>
      </c>
      <c r="D34" s="10" t="inlineStr">
        <is>
          <t>26146</t>
        </is>
      </c>
      <c r="E34" s="10" t="inlineStr">
        <is>
          <t>CLASSIC 4x20ct CHAMOMILE Sachets in Tin</t>
        </is>
      </c>
      <c r="F34" s="10" t="inlineStr">
        <is>
          <t>Egyptský heřmánek</t>
        </is>
      </c>
      <c r="G34" s="10" t="inlineStr">
        <is>
          <t>1211908690</t>
        </is>
      </c>
      <c r="H34" s="10" t="n">
        <v>30</v>
      </c>
      <c r="I34" s="10" t="n">
        <v>120</v>
      </c>
      <c r="J34" s="10" t="n">
        <v>3.12</v>
      </c>
      <c r="K34" s="10" t="n">
        <v>21.12</v>
      </c>
      <c r="L34" s="10" t="n">
        <v>495</v>
      </c>
      <c r="M34" s="10" t="inlineStr">
        <is>
          <t>no</t>
        </is>
      </c>
      <c r="N34" s="10" t="inlineStr">
        <is>
          <t>fruit/herbal or blend</t>
        </is>
      </c>
    </row>
    <row r="35">
      <c r="A35" s="10" t="inlineStr">
        <is>
          <t>113328452</t>
        </is>
      </c>
      <c r="B35" s="10" t="inlineStr">
        <is>
          <t>35403</t>
        </is>
      </c>
      <c r="C35" s="10" t="inlineStr">
        <is>
          <t>02-0939</t>
        </is>
      </c>
      <c r="D35" s="10" t="inlineStr">
        <is>
          <t>26107</t>
        </is>
      </c>
      <c r="E35" s="10" t="inlineStr">
        <is>
          <t>CLASSIC 4x20ct Citron Green</t>
        </is>
      </c>
      <c r="F35" s="10" t="inlineStr">
        <is>
          <t>Zelený čaj, pomerančový olej, okvětní lístky měsíčku lékařského. Obsahuje přírodní aroma.</t>
        </is>
      </c>
      <c r="G35" s="10" t="inlineStr">
        <is>
          <t>0902100000</t>
        </is>
      </c>
      <c r="H35" s="10" t="n">
        <v>90</v>
      </c>
      <c r="I35" s="10" t="n">
        <v>360</v>
      </c>
      <c r="J35" s="10" t="n">
        <v>14.4</v>
      </c>
      <c r="K35" s="10" t="n">
        <v>68.40000000000001</v>
      </c>
      <c r="L35" s="10" t="n">
        <v>1485</v>
      </c>
      <c r="M35" s="11" t="inlineStr">
        <is>
          <t>CHINA</t>
        </is>
      </c>
      <c r="N35" s="10" t="inlineStr">
        <is>
          <t>92.5% green tea from China, 0.5% marigold petals from Egypt, 7% orange oil from Italy</t>
        </is>
      </c>
    </row>
    <row r="36">
      <c r="A36" s="10" t="inlineStr">
        <is>
          <t>113328452</t>
        </is>
      </c>
      <c r="B36" s="10" t="inlineStr">
        <is>
          <t>31626</t>
        </is>
      </c>
      <c r="C36" s="10" t="inlineStr">
        <is>
          <t>02-0063</t>
        </is>
      </c>
      <c r="D36" s="10" t="inlineStr">
        <is>
          <t>26131</t>
        </is>
      </c>
      <c r="E36" s="10" t="inlineStr">
        <is>
          <t>CLASSIC 4x20ct DARJEELING Sachets</t>
        </is>
      </c>
      <c r="F36" s="10" t="inlineStr">
        <is>
          <t>Černý čaj</t>
        </is>
      </c>
      <c r="G36" s="10" t="inlineStr">
        <is>
          <t>0902300000</t>
        </is>
      </c>
      <c r="H36" s="10" t="n">
        <v>30</v>
      </c>
      <c r="I36" s="10" t="n">
        <v>120</v>
      </c>
      <c r="J36" s="10" t="n">
        <v>4.8</v>
      </c>
      <c r="K36" s="10" t="n">
        <v>22.8</v>
      </c>
      <c r="L36" s="10" t="n">
        <v>495</v>
      </c>
      <c r="M36" s="10" t="inlineStr">
        <is>
          <t>no</t>
        </is>
      </c>
      <c r="N36" s="10" t="inlineStr">
        <is>
          <t>100% tea from India</t>
        </is>
      </c>
    </row>
    <row r="37">
      <c r="A37" s="10" t="inlineStr">
        <is>
          <t>113328452</t>
        </is>
      </c>
      <c r="B37" s="10" t="inlineStr">
        <is>
          <t>35406</t>
        </is>
      </c>
      <c r="C37" s="10" t="inlineStr">
        <is>
          <t>02-1881</t>
        </is>
      </c>
      <c r="D37" s="10" t="inlineStr">
        <is>
          <t>26121</t>
        </is>
      </c>
      <c r="E37" s="10" t="inlineStr">
        <is>
          <t>CLASSIC 4x20ct DRAGON PEARL JASMINE Sachets in Tin</t>
        </is>
      </c>
      <c r="F37" s="10" t="inlineStr">
        <is>
          <t>Zelený čaj, bílý čaj, jasmín</t>
        </is>
      </c>
      <c r="G37" s="10" t="inlineStr">
        <is>
          <t>0902100000</t>
        </is>
      </c>
      <c r="H37" s="10" t="n">
        <v>60</v>
      </c>
      <c r="I37" s="10" t="n">
        <v>240</v>
      </c>
      <c r="J37" s="10" t="n">
        <v>9.6</v>
      </c>
      <c r="K37" s="10" t="n">
        <v>45.6</v>
      </c>
      <c r="L37" s="10" t="n">
        <v>1710</v>
      </c>
      <c r="M37" s="11" t="inlineStr">
        <is>
          <t>CHINA</t>
        </is>
      </c>
      <c r="N37" s="10" t="inlineStr">
        <is>
          <t xml:space="preserve">100% green tea from China </t>
        </is>
      </c>
    </row>
    <row r="38">
      <c r="A38" s="10" t="inlineStr">
        <is>
          <t>113328452</t>
        </is>
      </c>
      <c r="B38" s="10" t="inlineStr">
        <is>
          <t>35405</t>
        </is>
      </c>
      <c r="C38" s="10" t="inlineStr">
        <is>
          <t>02-0021</t>
        </is>
      </c>
      <c r="D38" s="10" t="inlineStr">
        <is>
          <t>26131</t>
        </is>
      </c>
      <c r="E38" s="10" t="inlineStr">
        <is>
          <t>CLASSIC 4x20ct English Breakfast</t>
        </is>
      </c>
      <c r="F38" s="10" t="inlineStr">
        <is>
          <t>100% čínský černý čaj Keemum</t>
        </is>
      </c>
      <c r="G38" s="10" t="inlineStr">
        <is>
          <t>0902300000</t>
        </is>
      </c>
      <c r="H38" s="10" t="n">
        <v>90</v>
      </c>
      <c r="I38" s="10" t="n">
        <v>360</v>
      </c>
      <c r="J38" s="10" t="n">
        <v>14.4</v>
      </c>
      <c r="K38" s="10" t="n">
        <v>68.40000000000001</v>
      </c>
      <c r="L38" s="10" t="n">
        <v>1485</v>
      </c>
      <c r="M38" s="11" t="inlineStr">
        <is>
          <t>CHINA</t>
        </is>
      </c>
      <c r="N38" s="10" t="inlineStr">
        <is>
          <t>100% black tea from China</t>
        </is>
      </c>
    </row>
    <row r="39">
      <c r="A39" s="10" t="inlineStr">
        <is>
          <t>113328452</t>
        </is>
      </c>
      <c r="B39" s="10" t="inlineStr">
        <is>
          <t>35401</t>
        </is>
      </c>
      <c r="C39" s="10" t="inlineStr">
        <is>
          <t>02-0001</t>
        </is>
      </c>
      <c r="D39" s="10" t="inlineStr">
        <is>
          <t>26143</t>
        </is>
      </c>
      <c r="E39" s="10" t="inlineStr">
        <is>
          <t>CLASSIC 4x20ct HOT CINNAMON SPICE Sachets in Tin</t>
        </is>
      </c>
      <c r="F39" s="10" t="inlineStr">
        <is>
          <t>Směs černých čajů, tří druhů skořice, pomerančové kůry a sladkých hřebíčků.</t>
        </is>
      </c>
      <c r="G39" s="10" t="inlineStr">
        <is>
          <t>0902300000</t>
        </is>
      </c>
      <c r="H39" s="10" t="n">
        <v>300</v>
      </c>
      <c r="I39" s="10" t="n">
        <v>1200</v>
      </c>
      <c r="J39" s="10" t="n">
        <v>48</v>
      </c>
      <c r="K39" s="10" t="n">
        <v>228</v>
      </c>
      <c r="L39" s="10" t="n">
        <v>4950</v>
      </c>
      <c r="M39" s="10" t="inlineStr">
        <is>
          <t>no</t>
        </is>
      </c>
      <c r="N39" s="10" t="inlineStr">
        <is>
          <t>Tea from Mozambique</t>
        </is>
      </c>
    </row>
    <row r="40">
      <c r="A40" s="10" t="inlineStr">
        <is>
          <t>113328452</t>
        </is>
      </c>
      <c r="B40" s="10" t="inlineStr">
        <is>
          <t>35409</t>
        </is>
      </c>
      <c r="C40" s="10" t="inlineStr">
        <is>
          <t>02-0491</t>
        </is>
      </c>
      <c r="D40" s="10" t="inlineStr">
        <is>
          <t>26204</t>
        </is>
      </c>
      <c r="E40" s="10" t="inlineStr">
        <is>
          <t>CLASSIC 4x20ct Paris</t>
        </is>
      </c>
      <c r="F40" s="10" t="inlineStr">
        <is>
          <t>Černý čaj, čaj Oolong, aroma černého rybízu, aroma vanilky, bergamotový olej, aroma karamelu</t>
        </is>
      </c>
      <c r="G40" s="10" t="inlineStr">
        <is>
          <t>0902300000</t>
        </is>
      </c>
      <c r="H40" s="10" t="n">
        <v>150</v>
      </c>
      <c r="I40" s="10" t="n">
        <v>600</v>
      </c>
      <c r="J40" s="10" t="n">
        <v>24</v>
      </c>
      <c r="K40" s="10" t="n">
        <v>114</v>
      </c>
      <c r="L40" s="10" t="n">
        <v>2475</v>
      </c>
      <c r="M40" s="11" t="inlineStr">
        <is>
          <t>CHINA</t>
        </is>
      </c>
      <c r="N40" s="10" t="inlineStr">
        <is>
          <t xml:space="preserve">70.1% black tea from China, 9.5% black tea from India, 9.5% black tea from Sri Lanka, 5.85% black tea from Taiwan, 3.85% flavors from US, 1% black current pieces from US, 0.2% bergamot oil from Italy </t>
        </is>
      </c>
    </row>
    <row r="41">
      <c r="A41" s="10" t="inlineStr">
        <is>
          <t>113328452</t>
        </is>
      </c>
      <c r="B41" s="10" t="inlineStr">
        <is>
          <t>35631</t>
        </is>
      </c>
      <c r="C41" s="10" t="inlineStr">
        <is>
          <t>03-0004</t>
        </is>
      </c>
      <c r="D41" s="10" t="inlineStr">
        <is>
          <t>26156</t>
        </is>
      </c>
      <c r="E41" s="10" t="inlineStr">
        <is>
          <t xml:space="preserve">HRP 4 X 30ct DECAF HOT CINNAMON SPICE </t>
        </is>
      </c>
      <c r="F41" s="10" t="inlineStr">
        <is>
          <t>Směs černých čajů, tří druhů skořice, pomerančové kůry a sladkých hřebíčků.</t>
        </is>
      </c>
      <c r="G41" s="10" t="inlineStr">
        <is>
          <t>0902300000</t>
        </is>
      </c>
      <c r="H41" s="10" t="n">
        <v>24</v>
      </c>
      <c r="I41" s="10" t="n">
        <v>96</v>
      </c>
      <c r="J41" s="10" t="n">
        <v>7.2</v>
      </c>
      <c r="K41" s="10" t="n">
        <v>22.68</v>
      </c>
      <c r="L41" s="10" t="n">
        <v>561.6</v>
      </c>
      <c r="M41" s="10" t="inlineStr">
        <is>
          <t>no</t>
        </is>
      </c>
      <c r="N41" s="10" t="inlineStr">
        <is>
          <t>100% tea from Sri Lanka, other ingredients</t>
        </is>
      </c>
    </row>
    <row r="42">
      <c r="A42" s="10" t="inlineStr">
        <is>
          <t>113328452</t>
        </is>
      </c>
      <c r="B42" s="10" t="inlineStr">
        <is>
          <t>35444</t>
        </is>
      </c>
      <c r="C42" s="10" t="inlineStr">
        <is>
          <t>03-0423</t>
        </is>
      </c>
      <c r="D42" s="10" t="inlineStr">
        <is>
          <t>26174</t>
        </is>
      </c>
      <c r="E42" s="10" t="inlineStr">
        <is>
          <t>HRP 4x30ct EARL GREY IMPERIAL Sachets</t>
        </is>
      </c>
      <c r="F42" s="10" t="inlineStr">
        <is>
          <t>Černý čaj, bílý čaj, bergamotový olej.</t>
        </is>
      </c>
      <c r="G42" s="10" t="inlineStr">
        <is>
          <t>0902300000</t>
        </is>
      </c>
      <c r="H42" s="10" t="n">
        <v>60</v>
      </c>
      <c r="I42" s="10" t="n">
        <v>240</v>
      </c>
      <c r="J42" s="10" t="n">
        <v>15.84</v>
      </c>
      <c r="K42" s="10" t="n">
        <v>54.54</v>
      </c>
      <c r="L42" s="10" t="n">
        <v>1404</v>
      </c>
      <c r="M42" s="11" t="inlineStr">
        <is>
          <t>CHINA</t>
        </is>
      </c>
      <c r="N42" s="10" t="inlineStr">
        <is>
          <t xml:space="preserve">27% black tea from China, 27% black tea from Sri Lanka, 25% black tea from Taiwan, 19.5% black tea from India, 1.5% bergamot oil from Italy </t>
        </is>
      </c>
    </row>
    <row r="43">
      <c r="A43" s="10" t="inlineStr">
        <is>
          <t>113328452</t>
        </is>
      </c>
      <c r="B43" s="10" t="inlineStr">
        <is>
          <t>35439</t>
        </is>
      </c>
      <c r="C43" s="10" t="inlineStr">
        <is>
          <t>03-0935</t>
        </is>
      </c>
      <c r="D43" s="10" t="inlineStr">
        <is>
          <t>26232</t>
        </is>
      </c>
      <c r="E43" s="10" t="inlineStr">
        <is>
          <t>HRP 4x30ct GREEN TEA w/ COCONUT Sachets</t>
        </is>
      </c>
      <c r="F43" s="10" t="inlineStr">
        <is>
          <t>Zelený čaj, citronová tráva, aroma kokosu, aroma vanilky, aroma zázvoru.</t>
        </is>
      </c>
      <c r="G43" s="10" t="inlineStr">
        <is>
          <t>0902100000</t>
        </is>
      </c>
      <c r="H43" s="10" t="n">
        <v>24</v>
      </c>
      <c r="I43" s="10" t="n">
        <v>96</v>
      </c>
      <c r="J43" s="10" t="n">
        <v>7.2</v>
      </c>
      <c r="K43" s="10" t="n">
        <v>22.68</v>
      </c>
      <c r="L43" s="10" t="n">
        <v>561.6</v>
      </c>
      <c r="M43" s="11" t="inlineStr">
        <is>
          <t>CHINA</t>
        </is>
      </c>
      <c r="N43" s="10" t="inlineStr">
        <is>
          <t xml:space="preserve">84.25% green tea from China, 10% lemongrass from Egypt, 2% coconut pieces from Philippines, 3.75% flavor from US </t>
        </is>
      </c>
    </row>
    <row r="44">
      <c r="A44" s="10" t="inlineStr">
        <is>
          <t>113328452</t>
        </is>
      </c>
      <c r="B44" s="10" t="inlineStr">
        <is>
          <t>35437</t>
        </is>
      </c>
      <c r="C44" s="10" t="inlineStr">
        <is>
          <t>03-0001</t>
        </is>
      </c>
      <c r="D44" s="10" t="inlineStr">
        <is>
          <t>26117</t>
        </is>
      </c>
      <c r="E44" s="10" t="inlineStr">
        <is>
          <t>HRP 4x30ct HOT CINNAMON SPICE Sachets</t>
        </is>
      </c>
      <c r="F44" s="10" t="inlineStr">
        <is>
          <t>Směs černých čajů, tří druhů skořice, pomerančové kůry a sladkých hřebíčků.</t>
        </is>
      </c>
      <c r="G44" s="10" t="inlineStr">
        <is>
          <t>0902300000</t>
        </is>
      </c>
      <c r="H44" s="10" t="n">
        <v>168</v>
      </c>
      <c r="I44" s="10" t="n">
        <v>672</v>
      </c>
      <c r="J44" s="10" t="n">
        <v>50.4</v>
      </c>
      <c r="K44" s="10" t="n">
        <v>158.76</v>
      </c>
      <c r="L44" s="10" t="n">
        <v>3931.2</v>
      </c>
      <c r="M44" s="10" t="inlineStr">
        <is>
          <t>no</t>
        </is>
      </c>
      <c r="N44" s="10" t="inlineStr">
        <is>
          <t>Tea from Mozambique</t>
        </is>
      </c>
    </row>
    <row r="45">
      <c r="A45" s="10" t="inlineStr">
        <is>
          <t>113328452</t>
        </is>
      </c>
      <c r="B45" s="10" t="inlineStr">
        <is>
          <t>35436</t>
        </is>
      </c>
      <c r="C45" s="10" t="inlineStr">
        <is>
          <t>03-1262</t>
        </is>
      </c>
      <c r="D45" s="10" t="inlineStr">
        <is>
          <t>26108</t>
        </is>
      </c>
      <c r="E45" s="10" t="inlineStr">
        <is>
          <t>HRP 4x30ct Peppermint</t>
        </is>
      </c>
      <c r="F45" s="10" t="inlineStr">
        <is>
          <t>Listy máty peprné.</t>
        </is>
      </c>
      <c r="G45" s="10" t="inlineStr">
        <is>
          <t>1211908690</t>
        </is>
      </c>
      <c r="H45" s="10" t="n">
        <v>108</v>
      </c>
      <c r="I45" s="10" t="n">
        <v>432</v>
      </c>
      <c r="J45" s="10" t="n">
        <v>23.328</v>
      </c>
      <c r="K45" s="10" t="n">
        <v>92.988</v>
      </c>
      <c r="L45" s="10" t="n">
        <v>2527.2</v>
      </c>
      <c r="M45" s="10" t="inlineStr">
        <is>
          <t>no</t>
        </is>
      </c>
      <c r="N45" s="10" t="inlineStr">
        <is>
          <t>fruit/herbal or blend</t>
        </is>
      </c>
    </row>
    <row r="46">
      <c r="A46" s="10" t="inlineStr">
        <is>
          <t>113328452</t>
        </is>
      </c>
      <c r="B46" s="10" t="inlineStr">
        <is>
          <t>35445</t>
        </is>
      </c>
      <c r="C46" s="10" t="inlineStr">
        <is>
          <t>03-0022</t>
        </is>
      </c>
      <c r="D46" s="10" t="inlineStr">
        <is>
          <t>26160</t>
        </is>
      </c>
      <c r="E46" s="10" t="inlineStr">
        <is>
          <t>HRP 4x30ct  English Breakfast</t>
        </is>
      </c>
      <c r="F46" s="10" t="inlineStr">
        <is>
          <t>Černý čaj.</t>
        </is>
      </c>
      <c r="G46" s="10" t="inlineStr">
        <is>
          <t>0902300000</t>
        </is>
      </c>
      <c r="H46" s="10" t="n">
        <v>24</v>
      </c>
      <c r="I46" s="10" t="n">
        <v>96</v>
      </c>
      <c r="J46" s="10" t="n">
        <v>7.2</v>
      </c>
      <c r="K46" s="10" t="n">
        <v>22.68</v>
      </c>
      <c r="L46" s="10" t="n">
        <v>561.6</v>
      </c>
      <c r="M46" s="10" t="inlineStr">
        <is>
          <t>no</t>
        </is>
      </c>
      <c r="N46" s="10" t="inlineStr">
        <is>
          <t>Tea from Sri Lanka and Kenya</t>
        </is>
      </c>
    </row>
    <row r="47">
      <c r="A47" s="10" t="inlineStr">
        <is>
          <t>113328452</t>
        </is>
      </c>
      <c r="B47" s="10" t="inlineStr">
        <is>
          <t>35617</t>
        </is>
      </c>
      <c r="C47" s="10" t="inlineStr">
        <is>
          <t>03-0431</t>
        </is>
      </c>
      <c r="D47" s="10" t="inlineStr">
        <is>
          <t>26147</t>
        </is>
      </c>
      <c r="E47" s="10" t="inlineStr">
        <is>
          <t>HRP 4x30ct  Victorian London Fog</t>
        </is>
      </c>
      <c r="F47" s="10" t="inlineStr">
        <is>
          <t>Černý čaj, čaj oolong, bergamotový olej, levandule, vanilkové aroma. Obsahuje přírodní aromata.</t>
        </is>
      </c>
      <c r="G47" s="10" t="inlineStr">
        <is>
          <t>0902300000</t>
        </is>
      </c>
      <c r="H47" s="10" t="n">
        <v>48</v>
      </c>
      <c r="I47" s="10" t="n">
        <v>192</v>
      </c>
      <c r="J47" s="10" t="n">
        <v>14.4</v>
      </c>
      <c r="K47" s="10" t="n">
        <v>45.36</v>
      </c>
      <c r="L47" s="10" t="n">
        <v>1123.2</v>
      </c>
      <c r="M47" s="11" t="inlineStr">
        <is>
          <t>CHINA</t>
        </is>
      </c>
      <c r="N47" s="10" t="inlineStr">
        <is>
          <t>44.39% black tea from China, 18.33% black tea from India,  18.33% black tea Sri Lanka, 14.5% black tea from Taiwan, 2% lavender from France, 1.5% flavor from US, 1% berganot oil from Italy</t>
        </is>
      </c>
    </row>
    <row r="48">
      <c r="A48" s="10" t="inlineStr">
        <is>
          <t>113328452</t>
        </is>
      </c>
      <c r="B48" s="10" t="inlineStr">
        <is>
          <t>31604</t>
        </is>
      </c>
      <c r="C48" s="10" t="inlineStr">
        <is>
          <t>01-1423</t>
        </is>
      </c>
      <c r="D48" s="10" t="inlineStr">
        <is>
          <t>26155</t>
        </is>
      </c>
      <c r="E48" s="10" t="inlineStr">
        <is>
          <t>HT 4x20ct African Autumn Sachets</t>
        </is>
      </c>
      <c r="F48" s="10" t="inlineStr">
        <is>
          <t>Směs bezkofeinového rooibosu z Jižní Afriky, hřebíčku, kardamomu a skořice.</t>
        </is>
      </c>
      <c r="G48" s="10" t="inlineStr">
        <is>
          <t>2106909260</t>
        </is>
      </c>
      <c r="H48" s="10" t="n">
        <v>30</v>
      </c>
      <c r="I48" s="10" t="n">
        <v>120</v>
      </c>
      <c r="J48" s="10" t="n">
        <v>4.8</v>
      </c>
      <c r="K48" s="10" t="n">
        <v>22.8</v>
      </c>
      <c r="L48" s="10" t="n">
        <v>432</v>
      </c>
      <c r="M48" s="10" t="inlineStr">
        <is>
          <t>no</t>
        </is>
      </c>
      <c r="N48" s="10" t="inlineStr">
        <is>
          <t>fruit/herbal or blend</t>
        </is>
      </c>
    </row>
    <row r="49">
      <c r="A49" s="10" t="inlineStr">
        <is>
          <t>113328452</t>
        </is>
      </c>
      <c r="B49" s="10" t="inlineStr">
        <is>
          <t>31642</t>
        </is>
      </c>
      <c r="C49" s="10" t="inlineStr">
        <is>
          <t>01-0004</t>
        </is>
      </c>
      <c r="D49" s="10" t="inlineStr">
        <is>
          <t>26164</t>
        </is>
      </c>
      <c r="E49" s="10" t="inlineStr">
        <is>
          <t>HT 4x20ct DECAF HOT CINNAMON Sachets</t>
        </is>
      </c>
      <c r="F49" s="10" t="inlineStr">
        <is>
          <t>Směs černých čajů, tří druhů skořice, pomerančové kůry a sladkých hřebíčků.</t>
        </is>
      </c>
      <c r="G49" s="10" t="inlineStr">
        <is>
          <t>0902300000</t>
        </is>
      </c>
      <c r="H49" s="10" t="n">
        <v>60</v>
      </c>
      <c r="I49" s="10" t="n">
        <v>240</v>
      </c>
      <c r="J49" s="10" t="n">
        <v>9.6</v>
      </c>
      <c r="K49" s="10" t="n">
        <v>45.6</v>
      </c>
      <c r="L49" s="10" t="n">
        <v>864</v>
      </c>
      <c r="M49" s="10" t="inlineStr">
        <is>
          <t>no</t>
        </is>
      </c>
      <c r="N49" s="10" t="inlineStr">
        <is>
          <t>100% tea from Sri Lanka, other ingredients</t>
        </is>
      </c>
    </row>
    <row r="50">
      <c r="A50" s="10" t="inlineStr">
        <is>
          <t>113328452</t>
        </is>
      </c>
      <c r="B50" s="10" t="inlineStr">
        <is>
          <t>31615</t>
        </is>
      </c>
      <c r="C50" s="10" t="inlineStr">
        <is>
          <t>01-0935</t>
        </is>
      </c>
      <c r="D50" s="10" t="inlineStr">
        <is>
          <t>26169</t>
        </is>
      </c>
      <c r="E50" s="10" t="inlineStr">
        <is>
          <t>HT 4x20ct Green Tea with Thai Flavors Sachets</t>
        </is>
      </c>
      <c r="F50" s="10" t="inlineStr">
        <is>
          <t>Zelený čaj, citronová tráva, kokosová příchuť, vanilková příchuť, zázvorová příchuť. Obsahuje přírodní aroma.</t>
        </is>
      </c>
      <c r="G50" s="10" t="inlineStr">
        <is>
          <t>0902100000</t>
        </is>
      </c>
      <c r="H50" s="10" t="n">
        <v>90</v>
      </c>
      <c r="I50" s="10" t="n">
        <v>360</v>
      </c>
      <c r="J50" s="10" t="n">
        <v>14.4</v>
      </c>
      <c r="K50" s="10" t="n">
        <v>68.40000000000001</v>
      </c>
      <c r="L50" s="10" t="n">
        <v>1296</v>
      </c>
      <c r="M50" s="11" t="inlineStr">
        <is>
          <t>CHINA</t>
        </is>
      </c>
      <c r="N50" s="10" t="inlineStr">
        <is>
          <t xml:space="preserve">84.25% green tea from China, 10% lemongrass from Egypt, 2% coconut pieces from Philippines, 3.75% flavor from US </t>
        </is>
      </c>
    </row>
    <row r="51">
      <c r="A51" s="10" t="inlineStr">
        <is>
          <t>113328452</t>
        </is>
      </c>
      <c r="B51" s="10" t="inlineStr">
        <is>
          <t>31608</t>
        </is>
      </c>
      <c r="C51" s="10" t="inlineStr">
        <is>
          <t>01-0001</t>
        </is>
      </c>
      <c r="D51" s="10" t="inlineStr">
        <is>
          <t>26186</t>
        </is>
      </c>
      <c r="E51" s="10" t="inlineStr">
        <is>
          <t>HT 4x20ct HOT CINNAMON SUNSET Sachets</t>
        </is>
      </c>
      <c r="F51" s="10" t="inlineStr">
        <is>
          <t>Směs černých čajů, tří druhů skořice, pomerančové kůry a sladkých hřebíčků.</t>
        </is>
      </c>
      <c r="G51" s="10" t="inlineStr">
        <is>
          <t>0902300000</t>
        </is>
      </c>
      <c r="H51" s="10" t="n">
        <v>30</v>
      </c>
      <c r="I51" s="10" t="n">
        <v>120</v>
      </c>
      <c r="J51" s="10" t="n">
        <v>4.8</v>
      </c>
      <c r="K51" s="10" t="n">
        <v>22.8</v>
      </c>
      <c r="L51" s="10" t="n">
        <v>432</v>
      </c>
      <c r="M51" s="10" t="inlineStr">
        <is>
          <t>no</t>
        </is>
      </c>
      <c r="N51" s="10" t="inlineStr">
        <is>
          <t>Tea from Mozambique</t>
        </is>
      </c>
    </row>
    <row r="52">
      <c r="A52" s="10" t="inlineStr">
        <is>
          <t>113328452</t>
        </is>
      </c>
      <c r="B52" s="10" t="inlineStr">
        <is>
          <t>31610</t>
        </is>
      </c>
      <c r="C52" s="10" t="inlineStr">
        <is>
          <t>01-0527</t>
        </is>
      </c>
      <c r="D52" s="10" t="inlineStr">
        <is>
          <t>26126</t>
        </is>
      </c>
      <c r="E52" s="10" t="inlineStr">
        <is>
          <t>HT 4x20ct PEACHES &amp; GINGER Sachets</t>
        </is>
      </c>
      <c r="F52" s="10" t="inlineStr">
        <is>
          <t>Černý čaj, aroma broskve, aroma zázvoru, kousky broskve a zázvoru</t>
        </is>
      </c>
      <c r="G52" s="10" t="inlineStr">
        <is>
          <t>0902300000</t>
        </is>
      </c>
      <c r="H52" s="10" t="n">
        <v>30</v>
      </c>
      <c r="I52" s="10" t="n">
        <v>120</v>
      </c>
      <c r="J52" s="10" t="n">
        <v>4.8</v>
      </c>
      <c r="K52" s="10" t="n">
        <v>22.8</v>
      </c>
      <c r="L52" s="10" t="n">
        <v>432</v>
      </c>
      <c r="M52" s="11" t="inlineStr">
        <is>
          <t>CHINA</t>
        </is>
      </c>
      <c r="N52" s="10" t="inlineStr">
        <is>
          <t xml:space="preserve">89% black tea from China, 3% peach pieces from US, 3% ginger from Thailand </t>
        </is>
      </c>
    </row>
    <row r="53">
      <c r="A53" s="10" t="inlineStr">
        <is>
          <t>113328452</t>
        </is>
      </c>
      <c r="B53" s="10" t="inlineStr">
        <is>
          <t>30636</t>
        </is>
      </c>
      <c r="C53" s="10" t="inlineStr">
        <is>
          <t>01-1447</t>
        </is>
      </c>
      <c r="D53" s="10" t="inlineStr">
        <is>
          <t>26205</t>
        </is>
      </c>
      <c r="E53" s="10" t="inlineStr">
        <is>
          <t>HT 4x20ct Pumpkin Spice Rooibos</t>
        </is>
      </c>
      <c r="F53" s="10" t="inlineStr">
        <is>
          <t>Směs bezkofeinového rooibosu z Jižní Afriky, hřebíčku, kardamomu a skořice.</t>
        </is>
      </c>
      <c r="G53" s="10" t="inlineStr">
        <is>
          <t>2106909260</t>
        </is>
      </c>
      <c r="H53" s="10" t="n">
        <v>26</v>
      </c>
      <c r="I53" s="10" t="n">
        <v>104</v>
      </c>
      <c r="J53" s="10" t="n">
        <v>4.16</v>
      </c>
      <c r="K53" s="10" t="n">
        <v>19.76</v>
      </c>
      <c r="L53" s="10" t="n">
        <v>374.4</v>
      </c>
      <c r="M53" s="10" t="inlineStr">
        <is>
          <t>no</t>
        </is>
      </c>
      <c r="N53" s="10" t="inlineStr">
        <is>
          <t>fruit/herbal or blend</t>
        </is>
      </c>
    </row>
    <row r="54">
      <c r="A54" s="10" t="inlineStr">
        <is>
          <t>113328452</t>
        </is>
      </c>
      <c r="B54" s="10" t="inlineStr">
        <is>
          <t>30636</t>
        </is>
      </c>
      <c r="C54" s="10" t="inlineStr">
        <is>
          <t>01-1447</t>
        </is>
      </c>
      <c r="D54" s="10" t="inlineStr">
        <is>
          <t>26206</t>
        </is>
      </c>
      <c r="E54" s="10" t="inlineStr">
        <is>
          <t>HT 4x20ct Pumpkin Spice Rooibos</t>
        </is>
      </c>
      <c r="F54" s="10" t="inlineStr">
        <is>
          <t>Směs bezkofeinového rooibosu z Jižní Afriky, hřebíčku, kardamomu a skořice.</t>
        </is>
      </c>
      <c r="G54" s="10" t="inlineStr">
        <is>
          <t>2106909260</t>
        </is>
      </c>
      <c r="H54" s="10" t="n">
        <v>34</v>
      </c>
      <c r="I54" s="10" t="n">
        <v>136</v>
      </c>
      <c r="J54" s="10" t="n">
        <v>5.44</v>
      </c>
      <c r="K54" s="10" t="n">
        <v>25.84</v>
      </c>
      <c r="L54" s="10" t="n">
        <v>489.6</v>
      </c>
      <c r="M54" s="10" t="inlineStr">
        <is>
          <t>no</t>
        </is>
      </c>
      <c r="N54" s="10" t="inlineStr">
        <is>
          <t>fruit/herbal or blend</t>
        </is>
      </c>
    </row>
    <row r="55">
      <c r="A55" s="10" t="inlineStr">
        <is>
          <t>113328452</t>
        </is>
      </c>
      <c r="B55" s="10" t="inlineStr">
        <is>
          <t>31612</t>
        </is>
      </c>
      <c r="C55" s="10" t="inlineStr">
        <is>
          <t>01-0471</t>
        </is>
      </c>
      <c r="D55" s="10" t="inlineStr">
        <is>
          <t>26198</t>
        </is>
      </c>
      <c r="E55" s="10" t="inlineStr">
        <is>
          <t>HT 4x20ct VANILLA COMORO Sachets</t>
        </is>
      </c>
      <c r="F55" s="10" t="inlineStr">
        <is>
          <t>Černý čaj bez kofeinu, aroma vanilky.</t>
        </is>
      </c>
      <c r="G55" s="10" t="inlineStr">
        <is>
          <t>0902300000</t>
        </is>
      </c>
      <c r="H55" s="10" t="n">
        <v>55</v>
      </c>
      <c r="I55" s="10" t="n">
        <v>220</v>
      </c>
      <c r="J55" s="10" t="n">
        <v>8.800000000000001</v>
      </c>
      <c r="K55" s="10" t="n">
        <v>41.8</v>
      </c>
      <c r="L55" s="10" t="n">
        <v>792</v>
      </c>
      <c r="M55" s="10" t="inlineStr">
        <is>
          <t>no</t>
        </is>
      </c>
      <c r="N55" s="10" t="inlineStr">
        <is>
          <t>100% tea from Sri Lanka, other ingredients</t>
        </is>
      </c>
    </row>
    <row r="56">
      <c r="A56" s="10" t="inlineStr">
        <is>
          <t>113328452</t>
        </is>
      </c>
      <c r="B56" s="10" t="inlineStr">
        <is>
          <t>31603</t>
        </is>
      </c>
      <c r="C56" s="10" t="inlineStr">
        <is>
          <t>01-0425</t>
        </is>
      </c>
      <c r="D56" s="10" t="inlineStr">
        <is>
          <t>26144</t>
        </is>
      </c>
      <c r="E56" s="10" t="inlineStr">
        <is>
          <t>HT 4x20ct WINTER WHITE EARL GREY Sachets</t>
        </is>
      </c>
      <c r="F56" s="10" t="inlineStr">
        <is>
          <t>Bílý čaj, bergamotový olej</t>
        </is>
      </c>
      <c r="G56" s="10" t="inlineStr">
        <is>
          <t>0902100000</t>
        </is>
      </c>
      <c r="H56" s="10" t="n">
        <v>130</v>
      </c>
      <c r="I56" s="10" t="n">
        <v>520</v>
      </c>
      <c r="J56" s="10" t="n">
        <v>20.8</v>
      </c>
      <c r="K56" s="10" t="n">
        <v>98.8</v>
      </c>
      <c r="L56" s="10" t="n">
        <v>1872</v>
      </c>
      <c r="M56" s="11" t="inlineStr">
        <is>
          <t>CHINA</t>
        </is>
      </c>
      <c r="N56" s="10" t="inlineStr">
        <is>
          <t xml:space="preserve">97.5% white tea from China, 2.5% bergamot oil from Italy </t>
        </is>
      </c>
    </row>
    <row r="57">
      <c r="A57" s="10" t="inlineStr">
        <is>
          <t>113328452</t>
        </is>
      </c>
      <c r="B57" s="10" t="inlineStr">
        <is>
          <t>31607</t>
        </is>
      </c>
      <c r="C57" s="10" t="inlineStr">
        <is>
          <t>01-1445</t>
        </is>
      </c>
      <c r="D57" s="10" t="inlineStr">
        <is>
          <t>26141</t>
        </is>
      </c>
      <c r="E57" s="10" t="inlineStr">
        <is>
          <t>HT 4x20ct YELLOW &amp; BLUE Sachets</t>
        </is>
      </c>
      <c r="F57" s="10" t="inlineStr">
        <is>
          <t>Heřmánek, levandule, chrpa.</t>
        </is>
      </c>
      <c r="G57" s="10" t="inlineStr">
        <is>
          <t>2106909260</t>
        </is>
      </c>
      <c r="H57" s="10" t="n">
        <v>30</v>
      </c>
      <c r="I57" s="10" t="n">
        <v>120</v>
      </c>
      <c r="J57" s="10" t="n">
        <v>4.8</v>
      </c>
      <c r="K57" s="10" t="n">
        <v>22.8</v>
      </c>
      <c r="L57" s="10" t="n">
        <v>432</v>
      </c>
      <c r="M57" s="10" t="inlineStr">
        <is>
          <t>no</t>
        </is>
      </c>
      <c r="N57" s="10" t="inlineStr">
        <is>
          <t>fruit/herbal or blend</t>
        </is>
      </c>
    </row>
    <row r="58">
      <c r="A58" s="10" t="inlineStr">
        <is>
          <t>113328452</t>
        </is>
      </c>
      <c r="B58" s="10" t="inlineStr">
        <is>
          <t>30698</t>
        </is>
      </c>
      <c r="C58" s="10" t="inlineStr">
        <is>
          <t>15-0802</t>
        </is>
      </c>
      <c r="D58" s="10" t="inlineStr">
        <is>
          <t>26215</t>
        </is>
      </c>
      <c r="E58" s="10" t="inlineStr">
        <is>
          <t>PREM 6x20ct Indian Spice (Chai) Teabags</t>
        </is>
      </c>
      <c r="F58" s="10" t="inlineStr">
        <is>
          <t>Černý čaj, kardamomová příchuť, vanilková příchuť, skořice, muškátový oříšek, kardamomová semínka, mletý hřebíček. Obsahuje přírodní aroma.</t>
        </is>
      </c>
      <c r="G58" s="10" t="inlineStr">
        <is>
          <t>0902300000</t>
        </is>
      </c>
      <c r="H58" s="10" t="n">
        <v>20</v>
      </c>
      <c r="I58" s="10" t="n">
        <v>120</v>
      </c>
      <c r="J58" s="10" t="n">
        <v>4.32</v>
      </c>
      <c r="K58" s="10" t="n">
        <v>12.12</v>
      </c>
      <c r="L58" s="10" t="n">
        <v>312</v>
      </c>
      <c r="M58" s="10" t="inlineStr">
        <is>
          <t>no</t>
        </is>
      </c>
      <c r="N58" s="10" t="inlineStr">
        <is>
          <t>88.3% Black tea (India), 3.5% cardamom flavor (USA), 3% cardamom seeds (Guatemala), 2.5% cinnamon (Vietnam), 1.7% nutmeg (Indonesia), 0.5% cloves (Indonesia), 0.5% vanilla flavor (USA)</t>
        </is>
      </c>
    </row>
    <row r="59">
      <c r="A59" s="10" t="inlineStr">
        <is>
          <t>113328452</t>
        </is>
      </c>
      <c r="B59" s="10" t="inlineStr">
        <is>
          <t>30660</t>
        </is>
      </c>
      <c r="C59" s="10" t="inlineStr">
        <is>
          <t>15-0002</t>
        </is>
      </c>
      <c r="D59" s="10" t="inlineStr">
        <is>
          <t>26154</t>
        </is>
      </c>
      <c r="E59" s="10" t="inlineStr">
        <is>
          <t>PREM 6x20ct HOT CINNAMON SPICE Teabags</t>
        </is>
      </c>
      <c r="F59" s="10" t="inlineStr">
        <is>
          <t>Směs černých čajů, tří druhů skořice, pomerančové kůry a sladkého hřebíčku.</t>
        </is>
      </c>
      <c r="G59" s="10" t="inlineStr">
        <is>
          <t>0902300000</t>
        </is>
      </c>
      <c r="H59" s="10" t="n">
        <v>50</v>
      </c>
      <c r="I59" s="10" t="n">
        <v>300</v>
      </c>
      <c r="J59" s="10" t="n">
        <v>10.8</v>
      </c>
      <c r="K59" s="10" t="n">
        <v>30.3</v>
      </c>
      <c r="L59" s="10" t="n">
        <v>780</v>
      </c>
      <c r="M59" s="10" t="inlineStr">
        <is>
          <t>no</t>
        </is>
      </c>
      <c r="N59" s="10" t="inlineStr">
        <is>
          <t>Tea from Mozambique</t>
        </is>
      </c>
    </row>
    <row r="60">
      <c r="A60" s="12" t="inlineStr">
        <is>
          <t>113328452</t>
        </is>
      </c>
      <c r="B60" s="12" t="inlineStr">
        <is>
          <t>70026</t>
        </is>
      </c>
      <c r="C60" s="12" t="inlineStr">
        <is>
          <t>45-7002-G56</t>
        </is>
      </c>
      <c r="D60" s="12" t="inlineStr">
        <is>
          <t>26211</t>
        </is>
      </c>
      <c r="E60" s="12" t="inlineStr">
        <is>
          <t>RED Advent Callendar</t>
        </is>
      </c>
      <c r="F60" s="12" t="inlineStr">
        <is>
          <t>adventní kalendář</t>
        </is>
      </c>
      <c r="G60" s="12" t="inlineStr">
        <is>
          <t>???</t>
        </is>
      </c>
      <c r="H60" s="12" t="n">
        <v>80</v>
      </c>
      <c r="I60" s="12" t="n">
        <v>0</v>
      </c>
      <c r="J60" s="12" t="n">
        <v>0</v>
      </c>
      <c r="K60" s="12" t="n">
        <v>0</v>
      </c>
      <c r="L60" s="12" t="n">
        <v>1238</v>
      </c>
      <c r="M60" s="12" t="inlineStr">
        <is>
          <t>no</t>
        </is>
      </c>
      <c r="N60" s="12" t="inlineStr">
        <is>
          <t>???</t>
        </is>
      </c>
    </row>
    <row r="61">
      <c r="A61" s="10" t="inlineStr">
        <is>
          <t>113328452</t>
        </is>
      </c>
      <c r="B61" s="10" t="inlineStr">
        <is>
          <t>35533</t>
        </is>
      </c>
      <c r="C61" s="10" t="inlineStr">
        <is>
          <t>12-1261</t>
        </is>
      </c>
      <c r="D61" s="10" t="inlineStr">
        <is>
          <t>26243</t>
        </is>
      </c>
      <c r="E61" s="10" t="inlineStr">
        <is>
          <t>WRAPPED 6x18ct CHAMOMILE Sachets</t>
        </is>
      </c>
      <c r="F61" s="10" t="inlineStr">
        <is>
          <t>Egyptský heřmánek</t>
        </is>
      </c>
      <c r="G61" s="10" t="inlineStr">
        <is>
          <t>1211908690</t>
        </is>
      </c>
      <c r="H61" s="10" t="n">
        <v>162</v>
      </c>
      <c r="I61" s="10" t="n">
        <v>972</v>
      </c>
      <c r="J61" s="10" t="n">
        <v>27.994</v>
      </c>
      <c r="K61" s="10" t="n">
        <v>119.524</v>
      </c>
      <c r="L61" s="10" t="n">
        <v>4438.8</v>
      </c>
      <c r="M61" s="10" t="inlineStr">
        <is>
          <t>no</t>
        </is>
      </c>
      <c r="N61" s="10" t="inlineStr">
        <is>
          <t>fruit/herbal or blend</t>
        </is>
      </c>
    </row>
    <row r="62">
      <c r="A62" s="10" t="inlineStr">
        <is>
          <t>113328452</t>
        </is>
      </c>
      <c r="B62" s="10" t="inlineStr">
        <is>
          <t>35537</t>
        </is>
      </c>
      <c r="C62" s="10" t="inlineStr">
        <is>
          <t>12-0063</t>
        </is>
      </c>
      <c r="D62" s="10" t="inlineStr">
        <is>
          <t>26215</t>
        </is>
      </c>
      <c r="E62" s="10" t="inlineStr">
        <is>
          <t>WRAPPED 6x20ct DARJEELING Sachets</t>
        </is>
      </c>
      <c r="F62" s="10" t="inlineStr">
        <is>
          <t>Černý čaj</t>
        </is>
      </c>
      <c r="G62" s="10" t="inlineStr">
        <is>
          <t>0902300000</t>
        </is>
      </c>
      <c r="H62" s="10" t="n">
        <v>54</v>
      </c>
      <c r="I62" s="10" t="n">
        <v>324</v>
      </c>
      <c r="J62" s="10" t="n">
        <v>14.904</v>
      </c>
      <c r="K62" s="10" t="n">
        <v>45.414</v>
      </c>
      <c r="L62" s="10" t="n">
        <v>1641.6</v>
      </c>
      <c r="M62" s="10" t="inlineStr">
        <is>
          <t>no</t>
        </is>
      </c>
      <c r="N62" s="10" t="inlineStr">
        <is>
          <t>100% tea from India</t>
        </is>
      </c>
    </row>
    <row r="63">
      <c r="A63" s="10" t="inlineStr">
        <is>
          <t>113328452</t>
        </is>
      </c>
      <c r="B63" s="10" t="inlineStr">
        <is>
          <t>35521</t>
        </is>
      </c>
      <c r="C63" s="10" t="inlineStr">
        <is>
          <t>12-1703</t>
        </is>
      </c>
      <c r="D63" s="10" t="inlineStr">
        <is>
          <t>26218</t>
        </is>
      </c>
      <c r="E63" s="10" t="inlineStr">
        <is>
          <t>WRAPPED 6x20ct DECAF CEYLON Sachets</t>
        </is>
      </c>
      <c r="F63" s="10" t="inlineStr">
        <is>
          <t>Bezkofeinový černý čaj</t>
        </is>
      </c>
      <c r="G63" s="10" t="inlineStr">
        <is>
          <t>0902300000</t>
        </is>
      </c>
      <c r="H63" s="10" t="n">
        <v>12</v>
      </c>
      <c r="I63" s="10" t="n">
        <v>72</v>
      </c>
      <c r="J63" s="10" t="n">
        <v>3.312</v>
      </c>
      <c r="K63" s="10" t="n">
        <v>10.092</v>
      </c>
      <c r="L63" s="10" t="n">
        <v>364.8</v>
      </c>
      <c r="M63" s="10" t="inlineStr">
        <is>
          <t>no</t>
        </is>
      </c>
      <c r="N63" s="10" t="inlineStr">
        <is>
          <t>100% tea from Sri Lanka, other ingredients</t>
        </is>
      </c>
    </row>
    <row r="64">
      <c r="A64" s="10" t="inlineStr">
        <is>
          <t>113328452</t>
        </is>
      </c>
      <c r="B64" s="10" t="inlineStr">
        <is>
          <t>35530</t>
        </is>
      </c>
      <c r="C64" s="10" t="inlineStr">
        <is>
          <t>12-1881</t>
        </is>
      </c>
      <c r="D64" s="10" t="inlineStr">
        <is>
          <t>26176</t>
        </is>
      </c>
      <c r="E64" s="10" t="inlineStr">
        <is>
          <t>WRAPPED 6x20ct DRAGON PEARL JASMINE Sachets</t>
        </is>
      </c>
      <c r="F64" s="10" t="inlineStr">
        <is>
          <t>Zelený čaj, bílý čaj, jasmín</t>
        </is>
      </c>
      <c r="G64" s="10" t="inlineStr">
        <is>
          <t>0902100000</t>
        </is>
      </c>
      <c r="H64" s="10" t="n">
        <v>170</v>
      </c>
      <c r="I64" s="10" t="n">
        <v>1020</v>
      </c>
      <c r="J64" s="10" t="n">
        <v>46.92</v>
      </c>
      <c r="K64" s="10" t="n">
        <v>142.97</v>
      </c>
      <c r="L64" s="10" t="n">
        <v>7582</v>
      </c>
      <c r="M64" s="11" t="inlineStr">
        <is>
          <t>CHINA</t>
        </is>
      </c>
      <c r="N64" s="10" t="inlineStr">
        <is>
          <t>100% green tea from China</t>
        </is>
      </c>
    </row>
    <row r="65">
      <c r="A65" s="10" t="inlineStr">
        <is>
          <t>113328452</t>
        </is>
      </c>
      <c r="B65" s="10" t="inlineStr">
        <is>
          <t>35525</t>
        </is>
      </c>
      <c r="C65" s="10" t="inlineStr">
        <is>
          <t>12-0001</t>
        </is>
      </c>
      <c r="D65" s="10" t="inlineStr">
        <is>
          <t>26155</t>
        </is>
      </c>
      <c r="E65" s="10" t="inlineStr">
        <is>
          <t>WRAPPED 6x20ct HOT CINNAMON SPICE Sachets</t>
        </is>
      </c>
      <c r="F65" s="10" t="inlineStr">
        <is>
          <t>Směs černých čajů, tří druhů skořice, pomerančové kůry a sladkého hřebíčku.</t>
        </is>
      </c>
      <c r="G65" s="10" t="inlineStr">
        <is>
          <t>0902300000</t>
        </is>
      </c>
      <c r="H65" s="10" t="n">
        <v>162</v>
      </c>
      <c r="I65" s="10" t="n">
        <v>972</v>
      </c>
      <c r="J65" s="10" t="n">
        <v>54.432</v>
      </c>
      <c r="K65" s="10" t="n">
        <v>145.962</v>
      </c>
      <c r="L65" s="10" t="n">
        <v>4924.8</v>
      </c>
      <c r="M65" s="10" t="inlineStr">
        <is>
          <t>no</t>
        </is>
      </c>
      <c r="N65" s="10" t="inlineStr">
        <is>
          <t>Tea from Mozambique</t>
        </is>
      </c>
    </row>
    <row r="66">
      <c r="A66" s="10" t="inlineStr">
        <is>
          <t>113328452</t>
        </is>
      </c>
      <c r="B66" s="10" t="inlineStr">
        <is>
          <t>35532</t>
        </is>
      </c>
      <c r="C66" s="10" t="inlineStr">
        <is>
          <t>12-1455</t>
        </is>
      </c>
      <c r="D66" s="10" t="inlineStr">
        <is>
          <t>26159</t>
        </is>
      </c>
      <c r="E66" s="10" t="inlineStr">
        <is>
          <t>WRAPPED 6x20ct MINT VERBENA Sachets</t>
        </is>
      </c>
      <c r="F66" s="10" t="inlineStr">
        <is>
          <t>Citronová verbena, máta peprná</t>
        </is>
      </c>
      <c r="G66" s="10" t="inlineStr">
        <is>
          <t>2106909260</t>
        </is>
      </c>
      <c r="H66" s="10" t="n">
        <v>54</v>
      </c>
      <c r="I66" s="10" t="n">
        <v>324</v>
      </c>
      <c r="J66" s="10" t="n">
        <v>12.312</v>
      </c>
      <c r="K66" s="10" t="n">
        <v>42.822</v>
      </c>
      <c r="L66" s="10" t="n">
        <v>1641.6</v>
      </c>
      <c r="M66" s="10" t="inlineStr">
        <is>
          <t>no</t>
        </is>
      </c>
      <c r="N66" s="10" t="inlineStr">
        <is>
          <t>fruit/herbal or blend</t>
        </is>
      </c>
    </row>
    <row r="67">
      <c r="A67" s="10" t="inlineStr">
        <is>
          <t>113328452</t>
        </is>
      </c>
      <c r="B67" s="10" t="inlineStr">
        <is>
          <t>35524</t>
        </is>
      </c>
      <c r="C67" s="10" t="inlineStr">
        <is>
          <t>12-0491</t>
        </is>
      </c>
      <c r="D67" s="10" t="inlineStr">
        <is>
          <t>26203</t>
        </is>
      </c>
      <c r="E67" s="10" t="inlineStr">
        <is>
          <t>WRAPPED 6x20ct Paris</t>
        </is>
      </c>
      <c r="F67" s="10" t="inlineStr">
        <is>
          <t>Černý čaj, čaj Oolong, aroma černého rybízu, aroma vanilky, bergamotový olej, aroma karamelu</t>
        </is>
      </c>
      <c r="G67" s="10" t="inlineStr">
        <is>
          <t>0902300000</t>
        </is>
      </c>
      <c r="H67" s="10" t="n">
        <v>81</v>
      </c>
      <c r="I67" s="10" t="n">
        <v>486</v>
      </c>
      <c r="J67" s="10" t="n">
        <v>22.356</v>
      </c>
      <c r="K67" s="10" t="n">
        <v>68.121</v>
      </c>
      <c r="L67" s="10" t="n">
        <v>2462.4</v>
      </c>
      <c r="M67" s="11" t="inlineStr">
        <is>
          <t>CHINA</t>
        </is>
      </c>
      <c r="N67" s="10" t="inlineStr">
        <is>
          <t xml:space="preserve">70.1% black tea from China, 9.5% black tea from India, 9.5% black tea from Sri Lanka, 5.85% black tea from Taiwan, 3.85% flavors from US, 1% black current pieces from US, 0.2% bergamot oil from Italy </t>
        </is>
      </c>
    </row>
    <row r="68">
      <c r="A68" s="10" t="inlineStr">
        <is>
          <t>113328452</t>
        </is>
      </c>
      <c r="B68" s="10" t="inlineStr">
        <is>
          <t>35531</t>
        </is>
      </c>
      <c r="C68" s="10" t="inlineStr">
        <is>
          <t>12-1852</t>
        </is>
      </c>
      <c r="D68" s="10" t="inlineStr">
        <is>
          <t>26174</t>
        </is>
      </c>
      <c r="E68" s="10" t="inlineStr">
        <is>
          <t>WRAPPED 6x20ct Pomegranate Oolong</t>
        </is>
      </c>
      <c r="F68" s="10" t="inlineStr">
        <is>
          <t>Čaj Oolong, aroma granátového jablka</t>
        </is>
      </c>
      <c r="G68" s="10" t="inlineStr">
        <is>
          <t>0902300000</t>
        </is>
      </c>
      <c r="H68" s="10" t="n">
        <v>27</v>
      </c>
      <c r="I68" s="10" t="n">
        <v>162</v>
      </c>
      <c r="J68" s="10" t="n">
        <v>7.452</v>
      </c>
      <c r="K68" s="10" t="n">
        <v>22.707</v>
      </c>
      <c r="L68" s="10" t="n">
        <v>1204.2</v>
      </c>
      <c r="M68" s="11" t="inlineStr">
        <is>
          <t>CHINA</t>
        </is>
      </c>
      <c r="N68" s="10" t="inlineStr">
        <is>
          <t xml:space="preserve">95.5% green tea from China, 4.5% flavor from US </t>
        </is>
      </c>
    </row>
    <row r="69">
      <c r="A69" s="10" t="inlineStr">
        <is>
          <t>113328452</t>
        </is>
      </c>
      <c r="B69" s="10" t="inlineStr">
        <is>
          <t>35527</t>
        </is>
      </c>
      <c r="C69" s="10" t="inlineStr">
        <is>
          <t>12-0833</t>
        </is>
      </c>
      <c r="D69" s="10" t="inlineStr">
        <is>
          <t>26188</t>
        </is>
      </c>
      <c r="E69" s="10" t="inlineStr">
        <is>
          <t>WRAPPED 6x20ct SENCHA Sachets</t>
        </is>
      </c>
      <c r="F69" s="10" t="inlineStr">
        <is>
          <t>Zelený čaj</t>
        </is>
      </c>
      <c r="G69" s="10" t="inlineStr">
        <is>
          <t>0902100000</t>
        </is>
      </c>
      <c r="H69" s="10" t="n">
        <v>162</v>
      </c>
      <c r="I69" s="10" t="n">
        <v>972</v>
      </c>
      <c r="J69" s="10" t="n">
        <v>44.712</v>
      </c>
      <c r="K69" s="10" t="n">
        <v>136.242</v>
      </c>
      <c r="L69" s="10" t="n">
        <v>6625.8</v>
      </c>
      <c r="M69" s="10" t="inlineStr">
        <is>
          <t>no</t>
        </is>
      </c>
      <c r="N69" s="10" t="inlineStr">
        <is>
          <t>100% green tea from Japan</t>
        </is>
      </c>
    </row>
    <row r="70">
      <c r="A70" s="10" t="inlineStr">
        <is>
          <t>113328452</t>
        </is>
      </c>
      <c r="B70" s="10" t="inlineStr">
        <is>
          <t>35542</t>
        </is>
      </c>
      <c r="C70" s="10" t="inlineStr">
        <is>
          <t>12-1456</t>
        </is>
      </c>
      <c r="D70" s="10" t="inlineStr">
        <is>
          <t>26215</t>
        </is>
      </c>
      <c r="E70" s="10" t="inlineStr">
        <is>
          <t>WRAPPED 6x20ct Tilleul Mint</t>
        </is>
      </c>
      <c r="F70" s="10" t="inlineStr">
        <is>
          <t>Lípa s mátou</t>
        </is>
      </c>
      <c r="G70" s="10" t="inlineStr">
        <is>
          <t>2106909260</t>
        </is>
      </c>
      <c r="H70" s="10" t="n">
        <v>54</v>
      </c>
      <c r="I70" s="10" t="n">
        <v>324</v>
      </c>
      <c r="J70" s="10" t="n">
        <v>13.608</v>
      </c>
      <c r="K70" s="10" t="n">
        <v>44.118</v>
      </c>
      <c r="L70" s="10" t="n">
        <v>1641.6</v>
      </c>
      <c r="M70" s="10" t="inlineStr">
        <is>
          <t>no</t>
        </is>
      </c>
      <c r="N70" s="10" t="inlineStr">
        <is>
          <t>fruit/herbal or blend</t>
        </is>
      </c>
    </row>
    <row r="71">
      <c r="A71" s="10" t="inlineStr">
        <is>
          <t>113328452</t>
        </is>
      </c>
      <c r="B71" s="10" t="inlineStr">
        <is>
          <t>35529</t>
        </is>
      </c>
      <c r="C71" s="10" t="inlineStr">
        <is>
          <t>12-1784</t>
        </is>
      </c>
      <c r="D71" s="10" t="inlineStr">
        <is>
          <t>26174</t>
        </is>
      </c>
      <c r="E71" s="10" t="inlineStr">
        <is>
          <t>WRAPPED 6x20ct WHITE VANILLA GRAPEFRUIT Sachets</t>
        </is>
      </c>
      <c r="F71" s="10" t="inlineStr">
        <is>
          <t>Bílý čaj, vanilková příchuť, grapefruitová příchuť</t>
        </is>
      </c>
      <c r="G71" s="10" t="inlineStr">
        <is>
          <t>0902100000</t>
        </is>
      </c>
      <c r="H71" s="10" t="n">
        <v>118</v>
      </c>
      <c r="I71" s="10" t="n">
        <v>708</v>
      </c>
      <c r="J71" s="10" t="n">
        <v>29.736</v>
      </c>
      <c r="K71" s="10" t="n">
        <v>96.40600000000001</v>
      </c>
      <c r="L71" s="10" t="n">
        <v>3587.2</v>
      </c>
      <c r="M71" s="11" t="inlineStr">
        <is>
          <t>CHINA</t>
        </is>
      </c>
      <c r="N71" s="10" t="inlineStr">
        <is>
          <t xml:space="preserve">94.5% white tea from China, 5.5% flavor from US </t>
        </is>
      </c>
    </row>
    <row r="72">
      <c r="A72" s="10" t="inlineStr">
        <is>
          <t>113328140</t>
        </is>
      </c>
      <c r="B72" s="10" t="inlineStr">
        <is>
          <t>41632</t>
        </is>
      </c>
      <c r="C72" s="10" t="inlineStr">
        <is>
          <t>32-1221</t>
        </is>
      </c>
      <c r="D72" s="10" t="inlineStr">
        <is>
          <t>26225</t>
        </is>
      </c>
      <c r="E72" s="10" t="inlineStr">
        <is>
          <t>16 oz , Matcha Culinary Grade</t>
        </is>
      </c>
      <c r="F72" s="10" t="inlineStr">
        <is>
          <t>Zelený čaj</t>
        </is>
      </c>
      <c r="G72" s="10" t="inlineStr">
        <is>
          <t>0902100000</t>
        </is>
      </c>
      <c r="H72" s="10" t="n">
        <v>50</v>
      </c>
      <c r="I72" s="10" t="n">
        <v>50</v>
      </c>
      <c r="J72" s="10" t="n">
        <v>22.68</v>
      </c>
      <c r="K72" s="10" t="n">
        <v>24.68</v>
      </c>
      <c r="L72" s="10" t="n">
        <v>1690</v>
      </c>
      <c r="M72" s="10" t="inlineStr">
        <is>
          <t>no</t>
        </is>
      </c>
      <c r="N72" s="10" t="inlineStr">
        <is>
          <t>100% tea from Japan</t>
        </is>
      </c>
    </row>
    <row r="73">
      <c r="A73" s="10" t="inlineStr">
        <is>
          <t>113328140</t>
        </is>
      </c>
      <c r="B73" s="10" t="inlineStr">
        <is>
          <t>41663</t>
        </is>
      </c>
      <c r="C73" s="10" t="inlineStr">
        <is>
          <t>32-1460</t>
        </is>
      </c>
      <c r="D73" s="10" t="inlineStr">
        <is>
          <t>26225</t>
        </is>
      </c>
      <c r="E73" s="10" t="inlineStr">
        <is>
          <t xml:space="preserve">16 oz , Orange Passion Fruit Tea </t>
        </is>
      </c>
      <c r="F73" s="10" t="inlineStr">
        <is>
          <t>Bylinná směs, šípek, ibišek, jablko, pomerančová kůra, slunečnicové květy, aroma pomeranče a marakuji</t>
        </is>
      </c>
      <c r="G73" s="10" t="inlineStr">
        <is>
          <t>2106909849</t>
        </is>
      </c>
      <c r="H73" s="10" t="n">
        <v>25</v>
      </c>
      <c r="I73" s="10" t="n">
        <v>25</v>
      </c>
      <c r="J73" s="10" t="n">
        <v>11.34</v>
      </c>
      <c r="K73" s="10" t="n">
        <v>12.34</v>
      </c>
      <c r="L73" s="10" t="n">
        <v>322.5</v>
      </c>
      <c r="M73" s="10" t="inlineStr">
        <is>
          <t>no</t>
        </is>
      </c>
      <c r="N73" s="10" t="inlineStr">
        <is>
          <t>fruit/herbal or blend</t>
        </is>
      </c>
    </row>
    <row r="74">
      <c r="A74" s="10" t="inlineStr">
        <is>
          <t>113328140</t>
        </is>
      </c>
      <c r="B74" s="10" t="inlineStr">
        <is>
          <t>41771</t>
        </is>
      </c>
      <c r="C74" s="10" t="inlineStr">
        <is>
          <t>32-0491</t>
        </is>
      </c>
      <c r="D74" s="10" t="inlineStr">
        <is>
          <t>26229</t>
        </is>
      </c>
      <c r="E74" s="10" t="inlineStr">
        <is>
          <t>16 oz , Paris</t>
        </is>
      </c>
      <c r="F74" s="10" t="inlineStr">
        <is>
          <t>Černý čaj, čaj Oolong, aroma černého rybízu, aroma vanilky, bergamotový olej, aroma karamelu</t>
        </is>
      </c>
      <c r="G74" s="10" t="inlineStr">
        <is>
          <t>0902300000</t>
        </is>
      </c>
      <c r="H74" s="10" t="n">
        <v>5</v>
      </c>
      <c r="I74" s="10" t="n">
        <v>5</v>
      </c>
      <c r="J74" s="10" t="n">
        <v>2.268</v>
      </c>
      <c r="K74" s="10" t="n">
        <v>2.468</v>
      </c>
      <c r="L74" s="10" t="n">
        <v>71.5</v>
      </c>
      <c r="M74" s="11" t="inlineStr">
        <is>
          <t>CHINA</t>
        </is>
      </c>
      <c r="N74" s="10" t="inlineStr">
        <is>
          <t xml:space="preserve">70.1% black tea from China, 9.5% black tea from India, 9.5% black tea from Sri Lanka, 5.85% black tea from Taiwan, 3.85% flavors from US, 1% black current pieces from US, 0.2% bergamot oil from Italy </t>
        </is>
      </c>
    </row>
    <row r="75">
      <c r="A75" s="10" t="inlineStr">
        <is>
          <t>113328140</t>
        </is>
      </c>
      <c r="B75" s="10" t="inlineStr">
        <is>
          <t>35407</t>
        </is>
      </c>
      <c r="C75" s="10" t="inlineStr">
        <is>
          <t>08-0441-1</t>
        </is>
      </c>
      <c r="D75" s="10" t="inlineStr">
        <is>
          <t>26231</t>
        </is>
      </c>
      <c r="E75" s="10" t="inlineStr">
        <is>
          <t>CLASSIC 4x20ct EARL GREY SUPREME Sachets in Tin</t>
        </is>
      </c>
      <c r="F75" s="10" t="inlineStr">
        <is>
          <t>Černý čaj, bílý čaj, bergamotový olej</t>
        </is>
      </c>
      <c r="G75" s="10" t="inlineStr">
        <is>
          <t>0902300000</t>
        </is>
      </c>
      <c r="H75" s="10" t="n">
        <v>90</v>
      </c>
      <c r="I75" s="10" t="n">
        <v>360</v>
      </c>
      <c r="J75" s="10" t="n">
        <v>14.4</v>
      </c>
      <c r="K75" s="10" t="n">
        <v>68.40000000000001</v>
      </c>
      <c r="L75" s="10" t="n">
        <v>1485</v>
      </c>
      <c r="M75" s="11" t="inlineStr">
        <is>
          <t>CHINA</t>
        </is>
      </c>
      <c r="N75" s="10" t="inlineStr">
        <is>
          <t xml:space="preserve">28% black tea from China, 26% black tea from Sri Lanka, 25% black tea from Taiwan, 19.5% black tea from India, 1.5% bergamot oil from Italy </t>
        </is>
      </c>
    </row>
    <row r="76">
      <c r="A76" s="10" t="inlineStr">
        <is>
          <t>113328140</t>
        </is>
      </c>
      <c r="B76" s="10" t="inlineStr">
        <is>
          <t>35402</t>
        </is>
      </c>
      <c r="C76" s="10" t="inlineStr">
        <is>
          <t>08-1281-1</t>
        </is>
      </c>
      <c r="D76" s="10" t="inlineStr">
        <is>
          <t>26232</t>
        </is>
      </c>
      <c r="E76" s="10" t="inlineStr">
        <is>
          <t>CLASSIC 4x20ct PEPPERMINT Sachets in Tin</t>
        </is>
      </c>
      <c r="F76" s="10" t="inlineStr">
        <is>
          <t>Listy máty peprné</t>
        </is>
      </c>
      <c r="G76" s="10" t="inlineStr">
        <is>
          <t>1211908690</t>
        </is>
      </c>
      <c r="H76" s="10" t="n">
        <v>30</v>
      </c>
      <c r="I76" s="10" t="n">
        <v>120</v>
      </c>
      <c r="J76" s="10" t="n">
        <v>4.08</v>
      </c>
      <c r="K76" s="10" t="n">
        <v>22.08</v>
      </c>
      <c r="L76" s="10" t="n">
        <v>495</v>
      </c>
      <c r="M76" s="10" t="inlineStr">
        <is>
          <t>no</t>
        </is>
      </c>
      <c r="N76" s="10" t="inlineStr">
        <is>
          <t>fruit/herbal or blend</t>
        </is>
      </c>
    </row>
    <row r="77">
      <c r="A77" s="10" t="inlineStr">
        <is>
          <t>113328140</t>
        </is>
      </c>
      <c r="B77" s="10" t="inlineStr">
        <is>
          <t>12123</t>
        </is>
      </c>
      <c r="C77" s="10" t="inlineStr">
        <is>
          <t>36-1261</t>
        </is>
      </c>
      <c r="D77" s="10" t="inlineStr">
        <is>
          <t>26230</t>
        </is>
      </c>
      <c r="E77" s="10" t="inlineStr">
        <is>
          <t>4x3oz, CHAMOMILE</t>
        </is>
      </c>
      <c r="F77" s="10" t="inlineStr">
        <is>
          <t>Egyptský heřmánek</t>
        </is>
      </c>
      <c r="G77" s="10" t="inlineStr">
        <is>
          <t>1211908690</t>
        </is>
      </c>
      <c r="H77" s="10" t="n">
        <v>10</v>
      </c>
      <c r="I77" s="10" t="n">
        <v>40</v>
      </c>
      <c r="J77" s="10" t="n">
        <v>3.402</v>
      </c>
      <c r="K77" s="10" t="n">
        <v>9.802</v>
      </c>
      <c r="L77" s="10" t="n">
        <v>375</v>
      </c>
      <c r="M77" s="10" t="inlineStr">
        <is>
          <t>no</t>
        </is>
      </c>
      <c r="N77" s="10" t="inlineStr">
        <is>
          <t>fruit/herbal or blend</t>
        </is>
      </c>
    </row>
    <row r="78">
      <c r="A78" s="10" t="inlineStr">
        <is>
          <t>113328140</t>
        </is>
      </c>
      <c r="B78" s="10" t="inlineStr">
        <is>
          <t>46435</t>
        </is>
      </c>
      <c r="C78" s="10" t="inlineStr">
        <is>
          <t>38-0801</t>
        </is>
      </c>
      <c r="D78" s="10" t="inlineStr">
        <is>
          <t>26126</t>
        </is>
      </c>
      <c r="E78" s="10" t="inlineStr">
        <is>
          <t>6x4oz, Indian Spice (Chai)</t>
        </is>
      </c>
      <c r="F78" s="10" t="inlineStr">
        <is>
          <t>Černý čaj, příchuť kardamomu, příchuť vanilky, skořice, muškátový oříšek, semena kardamomu, mleté hřebíčky. Obsahuje přírodní příchutě.</t>
        </is>
      </c>
      <c r="G78" s="10" t="inlineStr">
        <is>
          <t>0902300000</t>
        </is>
      </c>
      <c r="H78" s="10" t="n">
        <v>20</v>
      </c>
      <c r="I78" s="10" t="n">
        <v>120</v>
      </c>
      <c r="J78" s="10" t="n">
        <v>13.608</v>
      </c>
      <c r="K78" s="10" t="n">
        <v>26.368</v>
      </c>
      <c r="L78" s="10" t="n">
        <v>556</v>
      </c>
      <c r="M78" s="10" t="inlineStr">
        <is>
          <t>no</t>
        </is>
      </c>
      <c r="N78" s="10" t="inlineStr">
        <is>
          <t>88.8% Black tea (India), 3.5% cardamom flavor (USA), 3% cardamom (Guatemala), 2.5% cinnamon (Vietnam), 1.7% nutmeg (Indonesia), 1.5% vanilla flavor (USA)</t>
        </is>
      </c>
    </row>
    <row r="79">
      <c r="A79" s="10" t="inlineStr">
        <is>
          <t>113328140</t>
        </is>
      </c>
      <c r="B79" s="10" t="inlineStr">
        <is>
          <t>46430</t>
        </is>
      </c>
      <c r="C79" s="10" t="inlineStr">
        <is>
          <t>38-0521</t>
        </is>
      </c>
      <c r="D79" s="10" t="inlineStr">
        <is>
          <t>26232</t>
        </is>
      </c>
      <c r="E79" s="10" t="inlineStr">
        <is>
          <t>6x4oz, CRANBERRY AUTUMN</t>
        </is>
      </c>
      <c r="F79" s="10" t="inlineStr">
        <is>
          <t>Černý čaj smíchaný s kousky brusinek, pomeranče a ibišku.</t>
        </is>
      </c>
      <c r="G79" s="10" t="inlineStr">
        <is>
          <t>0902300000</t>
        </is>
      </c>
      <c r="H79" s="10" t="n">
        <v>15</v>
      </c>
      <c r="I79" s="10" t="n">
        <v>90.00000000000001</v>
      </c>
      <c r="J79" s="10" t="n">
        <v>10.206</v>
      </c>
      <c r="K79" s="10" t="n">
        <v>19.776</v>
      </c>
      <c r="L79" s="10" t="n">
        <v>417</v>
      </c>
      <c r="M79" s="11" t="inlineStr">
        <is>
          <t>CHINA</t>
        </is>
      </c>
      <c r="N79" s="10" t="inlineStr">
        <is>
          <t xml:space="preserve">87% black tea from China, 4% cranberry pieces from US, 4% hibiscus from Nigeria, 5% flavor from US </t>
        </is>
      </c>
    </row>
    <row r="80">
      <c r="A80" s="10" t="inlineStr">
        <is>
          <t>113328140</t>
        </is>
      </c>
      <c r="B80" s="10" t="inlineStr">
        <is>
          <t>46433</t>
        </is>
      </c>
      <c r="C80" s="10" t="inlineStr">
        <is>
          <t>38-0001</t>
        </is>
      </c>
      <c r="D80" s="10" t="inlineStr">
        <is>
          <t>26215</t>
        </is>
      </c>
      <c r="E80" s="10" t="inlineStr">
        <is>
          <t>6x4oz, HOT CINNAMON SPICE</t>
        </is>
      </c>
      <c r="F80" s="10" t="inlineStr">
        <is>
          <t>Směs černých čajů, tří druhů skořice, pomerančové kůry a sladkých hřebíčků.</t>
        </is>
      </c>
      <c r="G80" s="10" t="inlineStr">
        <is>
          <t>0902300000</t>
        </is>
      </c>
      <c r="H80" s="10" t="n">
        <v>25</v>
      </c>
      <c r="I80" s="10" t="n">
        <v>150</v>
      </c>
      <c r="J80" s="10" t="n">
        <v>17.01</v>
      </c>
      <c r="K80" s="10" t="n">
        <v>32.96</v>
      </c>
      <c r="L80" s="10" t="n">
        <v>695</v>
      </c>
      <c r="M80" s="10" t="inlineStr">
        <is>
          <t>no</t>
        </is>
      </c>
      <c r="N80" s="10" t="inlineStr">
        <is>
          <t>Tea from Mozambique</t>
        </is>
      </c>
    </row>
    <row r="81">
      <c r="A81" s="10" t="inlineStr">
        <is>
          <t>113328140</t>
        </is>
      </c>
      <c r="B81" s="10" t="inlineStr">
        <is>
          <t>16120</t>
        </is>
      </c>
      <c r="C81" s="10" t="inlineStr">
        <is>
          <t>16-1261</t>
        </is>
      </c>
      <c r="D81" s="10" t="inlineStr">
        <is>
          <t>26223</t>
        </is>
      </c>
      <c r="E81" s="10" t="inlineStr">
        <is>
          <t>6x50ct Chamomile Herbal</t>
        </is>
      </c>
      <c r="F81" s="10" t="inlineStr">
        <is>
          <t>Egyptský heřmánek</t>
        </is>
      </c>
      <c r="G81" s="10" t="inlineStr">
        <is>
          <t>1211908690</t>
        </is>
      </c>
      <c r="H81" s="10" t="n">
        <v>24</v>
      </c>
      <c r="I81" s="10" t="n">
        <v>144</v>
      </c>
      <c r="J81" s="10" t="n">
        <v>2.88</v>
      </c>
      <c r="K81" s="10" t="n">
        <v>23.28</v>
      </c>
      <c r="L81" s="10" t="n">
        <v>756</v>
      </c>
      <c r="M81" s="10" t="inlineStr">
        <is>
          <t>no</t>
        </is>
      </c>
      <c r="N81" s="10" t="inlineStr">
        <is>
          <t>fruit/herbal or blend</t>
        </is>
      </c>
    </row>
    <row r="82">
      <c r="A82" s="10" t="inlineStr">
        <is>
          <t>113328140</t>
        </is>
      </c>
      <c r="B82" s="10" t="inlineStr">
        <is>
          <t>16110</t>
        </is>
      </c>
      <c r="C82" s="10" t="inlineStr">
        <is>
          <t>16-0002</t>
        </is>
      </c>
      <c r="D82" s="10" t="inlineStr">
        <is>
          <t>26149</t>
        </is>
      </c>
      <c r="E82" s="10" t="inlineStr">
        <is>
          <t>6x50ct HOT CINNAMON SPICE Teabags</t>
        </is>
      </c>
      <c r="F82" s="10" t="inlineStr">
        <is>
          <t>Směs černých čajů, tří druhů skořice, pomerančové kůry a sladkých hřebíčků.</t>
        </is>
      </c>
      <c r="G82" s="10" t="inlineStr">
        <is>
          <t>0902300000</t>
        </is>
      </c>
      <c r="H82" s="10" t="n">
        <v>40</v>
      </c>
      <c r="I82" s="10" t="n">
        <v>240</v>
      </c>
      <c r="J82" s="10" t="n">
        <v>21.6</v>
      </c>
      <c r="K82" s="10" t="n">
        <v>55.6</v>
      </c>
      <c r="L82" s="10" t="n">
        <v>1260</v>
      </c>
      <c r="M82" s="10" t="inlineStr">
        <is>
          <t>no</t>
        </is>
      </c>
      <c r="N82" s="10" t="inlineStr">
        <is>
          <t>Tea from Mozambique</t>
        </is>
      </c>
    </row>
    <row r="83">
      <c r="A83" s="10" t="inlineStr">
        <is>
          <t>113328140</t>
        </is>
      </c>
      <c r="B83" s="10" t="inlineStr">
        <is>
          <t>16110</t>
        </is>
      </c>
      <c r="C83" s="10" t="inlineStr">
        <is>
          <t>16-0002</t>
        </is>
      </c>
      <c r="D83" s="10" t="inlineStr">
        <is>
          <t>26153</t>
        </is>
      </c>
      <c r="E83" s="10" t="inlineStr">
        <is>
          <t>6x50ct HOT CINNAMON SPICE Teabags</t>
        </is>
      </c>
      <c r="F83" s="10" t="inlineStr">
        <is>
          <t>Směs černých čajů, tří druhů skořice, pomerančové kůry a sladkých hřebíčků.</t>
        </is>
      </c>
      <c r="G83" s="10" t="inlineStr">
        <is>
          <t>0902300000</t>
        </is>
      </c>
      <c r="H83" s="10" t="n">
        <v>128</v>
      </c>
      <c r="I83" s="10" t="n">
        <v>768</v>
      </c>
      <c r="J83" s="10" t="n">
        <v>69.12</v>
      </c>
      <c r="K83" s="10" t="n">
        <v>177.92</v>
      </c>
      <c r="L83" s="10" t="n">
        <v>4032</v>
      </c>
      <c r="M83" s="10" t="inlineStr">
        <is>
          <t>no</t>
        </is>
      </c>
      <c r="N83" s="10" t="inlineStr">
        <is>
          <t>Tea from Mozambique</t>
        </is>
      </c>
    </row>
    <row r="84">
      <c r="A84" s="10" t="inlineStr">
        <is>
          <t>113328140</t>
        </is>
      </c>
      <c r="B84" s="10" t="inlineStr">
        <is>
          <t>16128</t>
        </is>
      </c>
      <c r="C84" s="10" t="inlineStr">
        <is>
          <t>16-1883</t>
        </is>
      </c>
      <c r="D84" s="10" t="inlineStr">
        <is>
          <t>26192</t>
        </is>
      </c>
      <c r="E84" s="10" t="inlineStr">
        <is>
          <t>6x50ct Jasmine</t>
        </is>
      </c>
      <c r="F84" s="10" t="inlineStr">
        <is>
          <t>Zelený čaj, jasmínové květy</t>
        </is>
      </c>
      <c r="G84" s="10" t="inlineStr">
        <is>
          <t>0902100000</t>
        </is>
      </c>
      <c r="H84" s="10" t="n">
        <v>24</v>
      </c>
      <c r="I84" s="10" t="n">
        <v>144</v>
      </c>
      <c r="J84" s="10" t="n">
        <v>12.96</v>
      </c>
      <c r="K84" s="10" t="n">
        <v>33.36</v>
      </c>
      <c r="L84" s="10" t="n">
        <v>756</v>
      </c>
      <c r="M84" s="11" t="inlineStr">
        <is>
          <t>CHINA</t>
        </is>
      </c>
      <c r="N84" s="10" t="inlineStr">
        <is>
          <t>100% green tea from China</t>
        </is>
      </c>
    </row>
    <row r="85">
      <c r="A85" s="10" t="inlineStr">
        <is>
          <t>113328140</t>
        </is>
      </c>
      <c r="B85" s="10" t="inlineStr">
        <is>
          <t>16129</t>
        </is>
      </c>
      <c r="C85" s="10" t="inlineStr">
        <is>
          <t>16-0492</t>
        </is>
      </c>
      <c r="D85" s="10" t="inlineStr">
        <is>
          <t>26208</t>
        </is>
      </c>
      <c r="E85" s="10" t="inlineStr">
        <is>
          <t>6x50ct PARIS Teabags</t>
        </is>
      </c>
      <c r="F85" s="10" t="inlineStr">
        <is>
          <t>Černý čaj, čaj Oolong, aroma černého rybízu, aroma vanilky, bergamotový olej, aroma karamelu.</t>
        </is>
      </c>
      <c r="G85" s="10" t="inlineStr">
        <is>
          <t>0902300000</t>
        </is>
      </c>
      <c r="H85" s="10" t="n">
        <v>12</v>
      </c>
      <c r="I85" s="10" t="n">
        <v>72</v>
      </c>
      <c r="J85" s="10" t="n">
        <v>6.48</v>
      </c>
      <c r="K85" s="10" t="n">
        <v>16.68</v>
      </c>
      <c r="L85" s="10" t="n">
        <v>378</v>
      </c>
      <c r="M85" s="11" t="inlineStr">
        <is>
          <t>CHINA</t>
        </is>
      </c>
      <c r="N85" s="10" t="inlineStr">
        <is>
          <t xml:space="preserve">70.1% black tea from China, 9.5% black tea from India, 9.5% black tea from Sri Lanka, 5.85% black tea from Taiwan, 3.85% flavors from US, 1% black current pieces from US, 0.2% bergamot oil from Italy </t>
        </is>
      </c>
    </row>
    <row r="86">
      <c r="A86" s="10" t="inlineStr">
        <is>
          <t>113328140</t>
        </is>
      </c>
      <c r="B86" s="10" t="inlineStr">
        <is>
          <t>50522</t>
        </is>
      </c>
      <c r="C86" s="10" t="inlineStr">
        <is>
          <t>20-1261</t>
        </is>
      </c>
      <c r="D86" s="10" t="inlineStr">
        <is>
          <t>26202</t>
        </is>
      </c>
      <c r="E86" s="10" t="inlineStr">
        <is>
          <t>50ct Sachet CHAMOMILE</t>
        </is>
      </c>
      <c r="F86" s="10" t="inlineStr">
        <is>
          <t>Egyptský heřmánek</t>
        </is>
      </c>
      <c r="G86" s="10" t="inlineStr">
        <is>
          <t>1211908690</t>
        </is>
      </c>
      <c r="H86" s="10" t="n">
        <v>50</v>
      </c>
      <c r="I86" s="10" t="n">
        <v>50</v>
      </c>
      <c r="J86" s="10" t="n">
        <v>5</v>
      </c>
      <c r="K86" s="10" t="n">
        <v>9.25</v>
      </c>
      <c r="L86" s="10" t="n">
        <v>490</v>
      </c>
      <c r="M86" s="10" t="inlineStr">
        <is>
          <t>no</t>
        </is>
      </c>
      <c r="N86" s="10" t="inlineStr">
        <is>
          <t>fruit/herbal or blend</t>
        </is>
      </c>
    </row>
    <row r="87">
      <c r="A87" s="10" t="inlineStr">
        <is>
          <t>113328140</t>
        </is>
      </c>
      <c r="B87" s="10" t="inlineStr">
        <is>
          <t>50502</t>
        </is>
      </c>
      <c r="C87" s="10" t="inlineStr">
        <is>
          <t>20-0063</t>
        </is>
      </c>
      <c r="D87" s="10" t="inlineStr">
        <is>
          <t>26166</t>
        </is>
      </c>
      <c r="E87" s="10" t="inlineStr">
        <is>
          <t>50ct Sachet DARJEELING</t>
        </is>
      </c>
      <c r="F87" s="10" t="inlineStr">
        <is>
          <t>Černý čaj</t>
        </is>
      </c>
      <c r="G87" s="10" t="inlineStr">
        <is>
          <t>0902300000</t>
        </is>
      </c>
      <c r="H87" s="10" t="n">
        <v>3</v>
      </c>
      <c r="I87" s="10" t="n">
        <v>3</v>
      </c>
      <c r="J87" s="10" t="n">
        <v>0.3</v>
      </c>
      <c r="K87" s="10" t="n">
        <v>0.555</v>
      </c>
      <c r="L87" s="10" t="n">
        <v>31.5</v>
      </c>
      <c r="M87" s="10" t="inlineStr">
        <is>
          <t>no</t>
        </is>
      </c>
      <c r="N87" s="10" t="inlineStr">
        <is>
          <t>Tea from Mozambique</t>
        </is>
      </c>
    </row>
    <row r="88">
      <c r="A88" s="10" t="inlineStr">
        <is>
          <t>113328140</t>
        </is>
      </c>
      <c r="B88" s="10" t="inlineStr">
        <is>
          <t>50502</t>
        </is>
      </c>
      <c r="C88" s="10" t="inlineStr">
        <is>
          <t>20-0063</t>
        </is>
      </c>
      <c r="D88" s="10" t="inlineStr">
        <is>
          <t>26222</t>
        </is>
      </c>
      <c r="E88" s="10" t="inlineStr">
        <is>
          <t>50ct Sachet DARJEELING</t>
        </is>
      </c>
      <c r="F88" s="10" t="inlineStr">
        <is>
          <t>Černý čaj</t>
        </is>
      </c>
      <c r="G88" s="10" t="inlineStr">
        <is>
          <t>0902300000</t>
        </is>
      </c>
      <c r="H88" s="10" t="n">
        <v>47</v>
      </c>
      <c r="I88" s="10" t="n">
        <v>47</v>
      </c>
      <c r="J88" s="10" t="n">
        <v>4.7</v>
      </c>
      <c r="K88" s="10" t="n">
        <v>8.695</v>
      </c>
      <c r="L88" s="10" t="n">
        <v>493.5</v>
      </c>
      <c r="M88" s="10" t="inlineStr">
        <is>
          <t>no</t>
        </is>
      </c>
      <c r="N88" s="10" t="inlineStr">
        <is>
          <t>Tea from Mozambique</t>
        </is>
      </c>
    </row>
    <row r="89">
      <c r="A89" s="10" t="inlineStr">
        <is>
          <t>113328140</t>
        </is>
      </c>
      <c r="B89" s="10" t="inlineStr">
        <is>
          <t>50538</t>
        </is>
      </c>
      <c r="C89" s="10" t="inlineStr">
        <is>
          <t>20-1881</t>
        </is>
      </c>
      <c r="D89" s="10" t="inlineStr">
        <is>
          <t>26189</t>
        </is>
      </c>
      <c r="E89" s="10" t="inlineStr">
        <is>
          <t>50ct Sachet DRAGON PEARL JASMINE</t>
        </is>
      </c>
      <c r="F89" s="10" t="inlineStr">
        <is>
          <t>Zelený čaj, bílý čaj, jasmín</t>
        </is>
      </c>
      <c r="G89" s="10" t="inlineStr">
        <is>
          <t>0902100000</t>
        </is>
      </c>
      <c r="H89" s="10" t="n">
        <v>25</v>
      </c>
      <c r="I89" s="10" t="n">
        <v>25</v>
      </c>
      <c r="J89" s="10" t="n">
        <v>2.5</v>
      </c>
      <c r="K89" s="10" t="n">
        <v>4.625</v>
      </c>
      <c r="L89" s="10" t="n">
        <v>412.5</v>
      </c>
      <c r="M89" s="11" t="inlineStr">
        <is>
          <t>CHINA</t>
        </is>
      </c>
      <c r="N89" s="10" t="inlineStr">
        <is>
          <t>100% green tea from China</t>
        </is>
      </c>
    </row>
    <row r="90">
      <c r="A90" s="10" t="inlineStr">
        <is>
          <t>113328140</t>
        </is>
      </c>
      <c r="B90" s="10" t="inlineStr">
        <is>
          <t>50501</t>
        </is>
      </c>
      <c r="C90" s="10" t="inlineStr">
        <is>
          <t>20-0021</t>
        </is>
      </c>
      <c r="D90" s="10" t="inlineStr">
        <is>
          <t>26211</t>
        </is>
      </c>
      <c r="E90" s="10" t="inlineStr">
        <is>
          <t>50ct Sachet English Breakfast</t>
        </is>
      </c>
      <c r="F90" s="10" t="inlineStr">
        <is>
          <t>100% čínský černý čaj Keemum</t>
        </is>
      </c>
      <c r="G90" s="10" t="inlineStr">
        <is>
          <t>0902300000</t>
        </is>
      </c>
      <c r="H90" s="10" t="n">
        <v>50</v>
      </c>
      <c r="I90" s="10" t="n">
        <v>50</v>
      </c>
      <c r="J90" s="10" t="n">
        <v>5</v>
      </c>
      <c r="K90" s="10" t="n">
        <v>9.25</v>
      </c>
      <c r="L90" s="10" t="n">
        <v>450</v>
      </c>
      <c r="M90" s="11" t="inlineStr">
        <is>
          <t>CHINA</t>
        </is>
      </c>
      <c r="N90" s="10" t="inlineStr">
        <is>
          <t>100% black tea from China</t>
        </is>
      </c>
    </row>
    <row r="91">
      <c r="A91" s="10" t="inlineStr">
        <is>
          <t>113328140</t>
        </is>
      </c>
      <c r="B91" s="10" t="inlineStr">
        <is>
          <t>50518</t>
        </is>
      </c>
      <c r="C91" s="10" t="inlineStr">
        <is>
          <t>20-0833</t>
        </is>
      </c>
      <c r="D91" s="10" t="inlineStr">
        <is>
          <t>26201</t>
        </is>
      </c>
      <c r="E91" s="10" t="inlineStr">
        <is>
          <t>50ct Sachet SENCHA</t>
        </is>
      </c>
      <c r="F91" s="10" t="inlineStr">
        <is>
          <t>Zelený čaj</t>
        </is>
      </c>
      <c r="G91" s="10" t="inlineStr">
        <is>
          <t>0902100000</t>
        </is>
      </c>
      <c r="H91" s="10" t="n">
        <v>50</v>
      </c>
      <c r="I91" s="10" t="n">
        <v>50</v>
      </c>
      <c r="J91" s="10" t="n">
        <v>5</v>
      </c>
      <c r="K91" s="10" t="n">
        <v>9.25</v>
      </c>
      <c r="L91" s="10" t="n">
        <v>655</v>
      </c>
      <c r="M91" s="10" t="inlineStr">
        <is>
          <t>no</t>
        </is>
      </c>
      <c r="N91" s="10" t="inlineStr">
        <is>
          <t>100% tea from Japan</t>
        </is>
      </c>
    </row>
    <row r="92">
      <c r="A92" s="10" t="inlineStr">
        <is>
          <t>113328140</t>
        </is>
      </c>
      <c r="B92" s="10" t="inlineStr">
        <is>
          <t>50533</t>
        </is>
      </c>
      <c r="C92" s="10" t="inlineStr">
        <is>
          <t>20-0491</t>
        </is>
      </c>
      <c r="D92" s="10" t="inlineStr">
        <is>
          <t>26230</t>
        </is>
      </c>
      <c r="E92" s="10" t="inlineStr">
        <is>
          <t>50ct Sachet PARIS</t>
        </is>
      </c>
      <c r="F92" s="10" t="inlineStr">
        <is>
          <t>Černý čaj, čaj Oolong, aroma černého rybízu, aroma vanilky, bergamotový olej, aroma karamelu</t>
        </is>
      </c>
      <c r="G92" s="10" t="inlineStr">
        <is>
          <t>0902300000</t>
        </is>
      </c>
      <c r="H92" s="10" t="n">
        <v>25</v>
      </c>
      <c r="I92" s="10" t="n">
        <v>25</v>
      </c>
      <c r="J92" s="10" t="n">
        <v>2.5</v>
      </c>
      <c r="K92" s="10" t="n">
        <v>4.625</v>
      </c>
      <c r="L92" s="10" t="n">
        <v>245</v>
      </c>
      <c r="M92" s="11" t="inlineStr">
        <is>
          <t>CHINA</t>
        </is>
      </c>
      <c r="N92" s="10" t="inlineStr">
        <is>
          <t xml:space="preserve">70.1% black tea from China, 9.5% black tea from India, 9.5% black tea from Sri Lanka, 5.85% black tea from Taiwan, 3.85% flavors from US, 1% black current pieces from US, 0.2% bergamot oil from Italy </t>
        </is>
      </c>
    </row>
    <row r="93">
      <c r="A93" s="10" t="inlineStr">
        <is>
          <t>113328140</t>
        </is>
      </c>
      <c r="B93" s="10" t="inlineStr">
        <is>
          <t>50552</t>
        </is>
      </c>
      <c r="C93" s="10" t="inlineStr">
        <is>
          <t>20-1457</t>
        </is>
      </c>
      <c r="D93" s="10" t="inlineStr">
        <is>
          <t>26224</t>
        </is>
      </c>
      <c r="E93" s="10" t="inlineStr">
        <is>
          <t>50ct Sachet Strawberry Kiwi</t>
        </is>
      </c>
      <c r="F93" s="10" t="inlineStr">
        <is>
          <t>Šípek, jablko, pomerančová kůra, jahody, kiwi, aroma jahod a kiwi</t>
        </is>
      </c>
      <c r="G93" s="10" t="inlineStr">
        <is>
          <t>2106909849</t>
        </is>
      </c>
      <c r="H93" s="10" t="n">
        <v>50</v>
      </c>
      <c r="I93" s="10" t="n">
        <v>50</v>
      </c>
      <c r="J93" s="10" t="n">
        <v>5</v>
      </c>
      <c r="K93" s="10" t="n">
        <v>9.25</v>
      </c>
      <c r="L93" s="10" t="n">
        <v>450</v>
      </c>
      <c r="M93" s="10" t="inlineStr">
        <is>
          <t>no</t>
        </is>
      </c>
      <c r="N93" s="10" t="inlineStr">
        <is>
          <t>fruit/herbal or blend</t>
        </is>
      </c>
    </row>
    <row r="94">
      <c r="A94" s="10" t="inlineStr">
        <is>
          <t>113328140</t>
        </is>
      </c>
      <c r="B94" s="10" t="inlineStr">
        <is>
          <t>12163</t>
        </is>
      </c>
      <c r="C94" s="10" t="inlineStr">
        <is>
          <t>36-0491</t>
        </is>
      </c>
      <c r="D94" s="10" t="inlineStr">
        <is>
          <t>26152</t>
        </is>
      </c>
      <c r="E94" s="10" t="inlineStr">
        <is>
          <t>4x7oz, PARIS</t>
        </is>
      </c>
      <c r="F94" s="10" t="inlineStr">
        <is>
          <t>Černý čaj, čaj Oolong, aroma černého rybízu, aroma vanilky, bergamotový olej, aroma karamelu.</t>
        </is>
      </c>
      <c r="G94" s="10" t="inlineStr">
        <is>
          <t>0902300000</t>
        </is>
      </c>
      <c r="H94" s="10" t="n">
        <v>10</v>
      </c>
      <c r="I94" s="10" t="n">
        <v>40</v>
      </c>
      <c r="J94" s="10" t="n">
        <v>9.071999999999999</v>
      </c>
      <c r="K94" s="10" t="n">
        <v>15.472</v>
      </c>
      <c r="L94" s="10" t="n">
        <v>270</v>
      </c>
      <c r="M94" s="11" t="inlineStr">
        <is>
          <t>CHINA</t>
        </is>
      </c>
      <c r="N94" s="10" t="inlineStr">
        <is>
          <t xml:space="preserve">70.1% black tea from China, 9.5% black tea from India, 9.5% black tea from Sri Lanka, 5.85% black tea from Taiwan, 3.85% flavors from US, 1% black current pieces from US, 0.2% bergamot oil from Italy </t>
        </is>
      </c>
    </row>
    <row r="95">
      <c r="A95" s="10" t="inlineStr">
        <is>
          <t>113328140</t>
        </is>
      </c>
      <c r="B95" s="10" t="inlineStr">
        <is>
          <t>12121</t>
        </is>
      </c>
      <c r="C95" s="10" t="inlineStr">
        <is>
          <t>36-0063</t>
        </is>
      </c>
      <c r="D95" s="10" t="inlineStr">
        <is>
          <t>26201</t>
        </is>
      </c>
      <c r="E95" s="10" t="inlineStr">
        <is>
          <t>4x8oz, DARJEELING</t>
        </is>
      </c>
      <c r="F95" s="10" t="inlineStr">
        <is>
          <t>Černý čaj.</t>
        </is>
      </c>
      <c r="G95" s="10" t="inlineStr">
        <is>
          <t>0902300000</t>
        </is>
      </c>
      <c r="H95" s="10" t="n">
        <v>10</v>
      </c>
      <c r="I95" s="10" t="n">
        <v>40</v>
      </c>
      <c r="J95" s="10" t="n">
        <v>9.071999999999999</v>
      </c>
      <c r="K95" s="10" t="n">
        <v>15.472</v>
      </c>
      <c r="L95" s="10" t="n">
        <v>300</v>
      </c>
      <c r="M95" s="10" t="inlineStr">
        <is>
          <t>no</t>
        </is>
      </c>
      <c r="N95" s="10" t="inlineStr">
        <is>
          <t>100% tea from India</t>
        </is>
      </c>
    </row>
    <row r="96">
      <c r="A96" s="10" t="inlineStr">
        <is>
          <t>113328140</t>
        </is>
      </c>
      <c r="B96" s="10" t="inlineStr">
        <is>
          <t>14129</t>
        </is>
      </c>
      <c r="C96" s="10" t="inlineStr">
        <is>
          <t>36-1464</t>
        </is>
      </c>
      <c r="D96" s="10" t="inlineStr">
        <is>
          <t>26251</t>
        </is>
      </c>
      <c r="E96" s="10" t="inlineStr">
        <is>
          <t>4x8oz, SPICED PLUM</t>
        </is>
      </c>
      <c r="F96" s="10" t="inlineStr">
        <is>
          <t>Bylinná směs, skořice, ibišek, šípek, pomerančová kůra, aroma lesních plodů.</t>
        </is>
      </c>
      <c r="G96" s="10" t="inlineStr">
        <is>
          <t>2106909849</t>
        </is>
      </c>
      <c r="H96" s="10" t="n">
        <v>10</v>
      </c>
      <c r="I96" s="10" t="n">
        <v>40</v>
      </c>
      <c r="J96" s="10" t="n">
        <v>9.071999999999999</v>
      </c>
      <c r="K96" s="10" t="n">
        <v>15.472</v>
      </c>
      <c r="L96" s="10" t="n">
        <v>360</v>
      </c>
      <c r="M96" s="10" t="inlineStr">
        <is>
          <t>no</t>
        </is>
      </c>
      <c r="N96" s="10" t="inlineStr">
        <is>
          <t>fruit/herbal or blend</t>
        </is>
      </c>
    </row>
    <row r="97">
      <c r="A97" s="10" t="inlineStr">
        <is>
          <t>113328140</t>
        </is>
      </c>
      <c r="B97" s="10" t="inlineStr">
        <is>
          <t>35439</t>
        </is>
      </c>
      <c r="C97" s="10" t="inlineStr">
        <is>
          <t>03-0935</t>
        </is>
      </c>
      <c r="D97" s="10" t="inlineStr">
        <is>
          <t>26175</t>
        </is>
      </c>
      <c r="E97" s="10" t="inlineStr">
        <is>
          <t>HRP 4x30ct GREEN TEA w/ COCONUT Sachets</t>
        </is>
      </c>
      <c r="F97" s="10" t="inlineStr">
        <is>
          <t>Zelený čaj, citronová tráva, aroma kokosu, aroma vanilky, aroma zázvoru.</t>
        </is>
      </c>
      <c r="G97" s="10" t="inlineStr">
        <is>
          <t>0902100000</t>
        </is>
      </c>
      <c r="H97" s="10" t="n">
        <v>24</v>
      </c>
      <c r="I97" s="10" t="n">
        <v>96</v>
      </c>
      <c r="J97" s="10" t="n">
        <v>7.2</v>
      </c>
      <c r="K97" s="10" t="n">
        <v>22.68</v>
      </c>
      <c r="L97" s="10" t="n">
        <v>561.6</v>
      </c>
      <c r="M97" s="11" t="inlineStr">
        <is>
          <t>CHINA</t>
        </is>
      </c>
      <c r="N97" s="10" t="inlineStr">
        <is>
          <t xml:space="preserve">84.25% green tea from China, 10% lemongrass from Egypt, 2% coconut pieces from Philippines, 3.75% flavor from US </t>
        </is>
      </c>
    </row>
    <row r="98">
      <c r="A98" s="10" t="inlineStr">
        <is>
          <t>113328140</t>
        </is>
      </c>
      <c r="B98" s="10" t="inlineStr">
        <is>
          <t>31629</t>
        </is>
      </c>
      <c r="C98" s="10" t="inlineStr">
        <is>
          <t>01-0942</t>
        </is>
      </c>
      <c r="D98" s="10" t="inlineStr">
        <is>
          <t>26149</t>
        </is>
      </c>
      <c r="E98" s="10" t="inlineStr">
        <is>
          <t>HT 4x20ct CHERRY BLOSSOM Sachets</t>
        </is>
      </c>
      <c r="F98" s="10" t="inlineStr">
        <is>
          <t>Zelený čaj, aroma třešní a vanilky</t>
        </is>
      </c>
      <c r="G98" s="10" t="inlineStr">
        <is>
          <t>0902100000</t>
        </is>
      </c>
      <c r="H98" s="10" t="n">
        <v>30</v>
      </c>
      <c r="I98" s="10" t="n">
        <v>120</v>
      </c>
      <c r="J98" s="10" t="n">
        <v>4.8</v>
      </c>
      <c r="K98" s="10" t="n">
        <v>22.8</v>
      </c>
      <c r="L98" s="10" t="n">
        <v>432</v>
      </c>
      <c r="M98" s="11" t="inlineStr">
        <is>
          <t>CHINA</t>
        </is>
      </c>
      <c r="N98" s="10" t="inlineStr">
        <is>
          <t xml:space="preserve">95% green tea from China, 5% flavor from US </t>
        </is>
      </c>
    </row>
    <row r="99">
      <c r="A99" s="10" t="inlineStr">
        <is>
          <t>113328140</t>
        </is>
      </c>
      <c r="B99" s="10" t="inlineStr">
        <is>
          <t>30640</t>
        </is>
      </c>
      <c r="C99" s="10" t="inlineStr">
        <is>
          <t>15-0945</t>
        </is>
      </c>
      <c r="D99" s="10" t="inlineStr">
        <is>
          <t>26161</t>
        </is>
      </c>
      <c r="E99" s="10" t="inlineStr">
        <is>
          <t>PREM 6x20ct Tropical Green Teabags</t>
        </is>
      </c>
      <c r="F99" s="10" t="inlineStr">
        <is>
          <t>Zelený čaj, aroma ananasu. Obsahuje umělá aroma</t>
        </is>
      </c>
      <c r="G99" s="10" t="inlineStr">
        <is>
          <t>0902100000</t>
        </is>
      </c>
      <c r="H99" s="10" t="n">
        <v>20</v>
      </c>
      <c r="I99" s="10" t="n">
        <v>120</v>
      </c>
      <c r="J99" s="10" t="n">
        <v>4.32</v>
      </c>
      <c r="K99" s="10" t="n">
        <v>12.12</v>
      </c>
      <c r="L99" s="10" t="n">
        <v>312</v>
      </c>
      <c r="M99" s="11" t="inlineStr">
        <is>
          <t>CHINA</t>
        </is>
      </c>
      <c r="N99" s="10" t="inlineStr">
        <is>
          <t xml:space="preserve">97% green tea from China, 3% hawaiian flavor from Germany </t>
        </is>
      </c>
    </row>
    <row r="100">
      <c r="A100" s="10" t="inlineStr">
        <is>
          <t>113328140</t>
        </is>
      </c>
      <c r="B100" s="10" t="inlineStr">
        <is>
          <t>35525</t>
        </is>
      </c>
      <c r="C100" s="10" t="inlineStr">
        <is>
          <t>12-0001</t>
        </is>
      </c>
      <c r="D100" s="10" t="inlineStr">
        <is>
          <t>26155</t>
        </is>
      </c>
      <c r="E100" s="10" t="inlineStr">
        <is>
          <t>WRAPPED 6x20ct HOT CINNAMON SPICE Sachets</t>
        </is>
      </c>
      <c r="F100" s="10" t="inlineStr">
        <is>
          <t>Směs černých čajů, tří druhů skořice, pomerančové kůry a sladkého hřebíčku.</t>
        </is>
      </c>
      <c r="G100" s="10" t="inlineStr">
        <is>
          <t>0902300000</t>
        </is>
      </c>
      <c r="H100" s="10" t="n">
        <v>118</v>
      </c>
      <c r="I100" s="10" t="n">
        <v>708</v>
      </c>
      <c r="J100" s="10" t="n">
        <v>39.648</v>
      </c>
      <c r="K100" s="10" t="n">
        <v>106.318</v>
      </c>
      <c r="L100" s="10" t="n">
        <v>3587.2</v>
      </c>
      <c r="M100" s="10" t="inlineStr">
        <is>
          <t>no</t>
        </is>
      </c>
      <c r="N100" s="10" t="inlineStr">
        <is>
          <t>Tea from Mozambique</t>
        </is>
      </c>
    </row>
    <row r="101">
      <c r="A101" s="10" t="inlineStr">
        <is>
          <t>113328454</t>
        </is>
      </c>
      <c r="B101" s="10" t="inlineStr">
        <is>
          <t>50575</t>
        </is>
      </c>
      <c r="C101" s="10" t="inlineStr">
        <is>
          <t>20-0935</t>
        </is>
      </c>
      <c r="D101" s="10" t="inlineStr">
        <is>
          <t>26222</t>
        </is>
      </c>
      <c r="E101" s="10" t="inlineStr">
        <is>
          <t>50ct Sachet Organic Bangkok</t>
        </is>
      </c>
      <c r="F101" s="10" t="inlineStr">
        <is>
          <t>Zelený čaj, citronová tráva, aroma kokosu, aroma vanilky, aroma zázvoru. Obsahuje přírodní aroma.</t>
        </is>
      </c>
      <c r="G101" s="10" t="inlineStr">
        <is>
          <t>0902100000</t>
        </is>
      </c>
      <c r="H101" s="10" t="n">
        <v>50</v>
      </c>
      <c r="I101" s="10" t="n">
        <v>50</v>
      </c>
      <c r="J101" s="10" t="n">
        <v>5</v>
      </c>
      <c r="K101" s="10" t="n">
        <v>9.25</v>
      </c>
      <c r="L101" s="10" t="n">
        <v>490</v>
      </c>
      <c r="M101" s="11" t="inlineStr">
        <is>
          <t>CHINA</t>
        </is>
      </c>
      <c r="N101" s="10" t="inlineStr">
        <is>
          <t xml:space="preserve">83.5% green tea from China, 9.25% lemongrass from Egypt, 2% coconut pieces from Philippines, 5.25% flavor from US </t>
        </is>
      </c>
    </row>
    <row r="102">
      <c r="A102" s="10" t="inlineStr">
        <is>
          <t>113328454</t>
        </is>
      </c>
      <c r="B102" s="10" t="inlineStr">
        <is>
          <t>31638</t>
        </is>
      </c>
      <c r="C102" s="10" t="inlineStr">
        <is>
          <t>01-1459</t>
        </is>
      </c>
      <c r="D102" s="10" t="inlineStr">
        <is>
          <t>26175</t>
        </is>
      </c>
      <c r="E102" s="10" t="inlineStr">
        <is>
          <t>HT 4x20ct Organic Ginger Lemon</t>
        </is>
      </c>
      <c r="F102" s="10" t="inlineStr">
        <is>
          <t>Zázvor, citronová kůra, kandovaný zázvor (kořen zázvoru, třtinový cukr) a černý pepř.</t>
        </is>
      </c>
      <c r="G102" s="10" t="inlineStr">
        <is>
          <t>2106909849</t>
        </is>
      </c>
      <c r="H102" s="10" t="n">
        <v>30</v>
      </c>
      <c r="I102" s="10" t="n">
        <v>120</v>
      </c>
      <c r="J102" s="10" t="n">
        <v>4.8</v>
      </c>
      <c r="K102" s="10" t="n">
        <v>22.8</v>
      </c>
      <c r="L102" s="10" t="n">
        <v>432</v>
      </c>
      <c r="M102" s="10" t="inlineStr">
        <is>
          <t>no</t>
        </is>
      </c>
      <c r="N102" s="10" t="inlineStr">
        <is>
          <t>fruit/herbal or blend</t>
        </is>
      </c>
    </row>
    <row r="103">
      <c r="A103" s="10" t="inlineStr">
        <is>
          <t>113328454</t>
        </is>
      </c>
      <c r="B103" s="10" t="inlineStr">
        <is>
          <t>30686</t>
        </is>
      </c>
      <c r="C103" s="10" t="inlineStr">
        <is>
          <t>15-0424</t>
        </is>
      </c>
      <c r="D103" s="10" t="inlineStr">
        <is>
          <t>26174</t>
        </is>
      </c>
      <c r="E103" s="10" t="inlineStr">
        <is>
          <t>PREM 6x20ct ORGANIC  EARL GREY SUPREME Teabags</t>
        </is>
      </c>
      <c r="F103" s="10" t="inlineStr">
        <is>
          <t>Černý čaj, bílý čaj, bergamotový olej</t>
        </is>
      </c>
      <c r="G103" s="10" t="inlineStr">
        <is>
          <t>0902300000</t>
        </is>
      </c>
      <c r="H103" s="10" t="n">
        <v>10</v>
      </c>
      <c r="I103" s="10" t="n">
        <v>60</v>
      </c>
      <c r="J103" s="10" t="n">
        <v>2.16</v>
      </c>
      <c r="K103" s="10" t="n">
        <v>6.06</v>
      </c>
      <c r="L103" s="10" t="n">
        <v>156</v>
      </c>
      <c r="M103" s="11" t="inlineStr">
        <is>
          <t>CHINA</t>
        </is>
      </c>
      <c r="N103" s="10" t="inlineStr">
        <is>
          <t xml:space="preserve">80% black tea from India, 18.5% black tea from China, 1.5% bergamot oil from Italy </t>
        </is>
      </c>
    </row>
    <row r="104">
      <c r="A104" s="10" t="inlineStr">
        <is>
          <t>113328454</t>
        </is>
      </c>
      <c r="B104" s="10" t="inlineStr">
        <is>
          <t>30681</t>
        </is>
      </c>
      <c r="C104" s="10" t="inlineStr">
        <is>
          <t>15-1268</t>
        </is>
      </c>
      <c r="D104" s="10" t="inlineStr">
        <is>
          <t>26169</t>
        </is>
      </c>
      <c r="E104" s="10" t="inlineStr">
        <is>
          <t>PREM 6x20ct Organic Rooibos (caffeine free)</t>
        </is>
      </c>
      <c r="F104" s="10" t="inlineStr">
        <is>
          <t>Rooibos</t>
        </is>
      </c>
      <c r="G104" s="10" t="inlineStr">
        <is>
          <t>1211908690</t>
        </is>
      </c>
      <c r="H104" s="10" t="n">
        <v>10</v>
      </c>
      <c r="I104" s="10" t="n">
        <v>60</v>
      </c>
      <c r="J104" s="10" t="n">
        <v>1.56</v>
      </c>
      <c r="K104" s="10" t="n">
        <v>5.46</v>
      </c>
      <c r="L104" s="10" t="n">
        <v>156</v>
      </c>
      <c r="M104" s="10" t="inlineStr">
        <is>
          <t>no</t>
        </is>
      </c>
      <c r="N104" s="10" t="inlineStr">
        <is>
          <t>fruit/herbal or blend</t>
        </is>
      </c>
    </row>
    <row r="105">
      <c r="A105" s="10" t="inlineStr">
        <is>
          <t>113328454</t>
        </is>
      </c>
      <c r="B105" s="10" t="inlineStr">
        <is>
          <t>35543</t>
        </is>
      </c>
      <c r="C105" s="10" t="inlineStr">
        <is>
          <t>12-0931</t>
        </is>
      </c>
      <c r="D105" s="10" t="inlineStr">
        <is>
          <t>26140</t>
        </is>
      </c>
      <c r="E105" s="10" t="inlineStr">
        <is>
          <t>WRAPPED 6x20ct Organic Green with Citrus &amp; Gingko</t>
        </is>
      </c>
      <c r="F105" s="10" t="inlineStr">
        <is>
          <t>Organický zelený čaj, organická citronová tráva, organický ginkgo, organický citrusový olej, přírodní citrusová příchuť.</t>
        </is>
      </c>
      <c r="G105" s="10" t="inlineStr">
        <is>
          <t>0902100000</t>
        </is>
      </c>
      <c r="H105" s="10" t="n">
        <v>35</v>
      </c>
      <c r="I105" s="10" t="n">
        <v>210</v>
      </c>
      <c r="J105" s="10" t="n">
        <v>9.66</v>
      </c>
      <c r="K105" s="10" t="n">
        <v>29.435</v>
      </c>
      <c r="L105" s="10" t="n">
        <v>1064</v>
      </c>
      <c r="M105" s="11" t="inlineStr">
        <is>
          <t>CHINA</t>
        </is>
      </c>
      <c r="N105" s="10" t="inlineStr">
        <is>
          <t xml:space="preserve">55% green tea from China, 41.4% ginkgo from China, 3.6 citrus oil from US </t>
        </is>
      </c>
    </row>
    <row r="106">
      <c r="A106" s="10" t="inlineStr">
        <is>
          <t>113328454</t>
        </is>
      </c>
      <c r="B106" s="10" t="inlineStr">
        <is>
          <t>35587</t>
        </is>
      </c>
      <c r="C106" s="10" t="inlineStr">
        <is>
          <t>12-0805</t>
        </is>
      </c>
      <c r="D106" s="10" t="inlineStr">
        <is>
          <t>26196</t>
        </is>
      </c>
      <c r="E106" s="10" t="inlineStr">
        <is>
          <t>WRAPPED 6x20ct ORGANIC  Rooibos Chai</t>
        </is>
      </c>
      <c r="F106" s="10" t="inlineStr">
        <is>
          <t>Rooibos, semena koriandru, semena fenyklu, skořice, kardamom, muškátový oříšek, aroma kardamomu</t>
        </is>
      </c>
      <c r="G106" s="10" t="inlineStr">
        <is>
          <t>2106909849</t>
        </is>
      </c>
      <c r="H106" s="10" t="n">
        <v>54</v>
      </c>
      <c r="I106" s="10" t="n">
        <v>324</v>
      </c>
      <c r="J106" s="10" t="n">
        <v>14.904</v>
      </c>
      <c r="K106" s="10" t="n">
        <v>45.414</v>
      </c>
      <c r="L106" s="10" t="n">
        <v>1641.6</v>
      </c>
      <c r="M106" s="10" t="inlineStr">
        <is>
          <t>no</t>
        </is>
      </c>
      <c r="N106" s="10" t="inlineStr">
        <is>
          <t>fruit/herbal or blend</t>
        </is>
      </c>
    </row>
    <row r="107">
      <c r="A107" s="10" t="inlineStr">
        <is>
          <t>113328455</t>
        </is>
      </c>
      <c r="B107" s="10" t="inlineStr">
        <is>
          <t>16131</t>
        </is>
      </c>
      <c r="C107" s="10" t="inlineStr">
        <is>
          <t>16-0424</t>
        </is>
      </c>
      <c r="D107" s="10" t="inlineStr">
        <is>
          <t>26179</t>
        </is>
      </c>
      <c r="E107" s="10" t="inlineStr">
        <is>
          <t>6x50ct ORGANIC EARL GREY SUPREME Teabags</t>
        </is>
      </c>
      <c r="F107" s="10" t="inlineStr">
        <is>
          <t>Černý čaj, bílý čaj, bergamotový olej.</t>
        </is>
      </c>
      <c r="G107" s="10" t="inlineStr">
        <is>
          <t>0902300000</t>
        </is>
      </c>
      <c r="H107" s="10" t="n">
        <v>48</v>
      </c>
      <c r="I107" s="10" t="n">
        <v>288</v>
      </c>
      <c r="J107" s="10" t="n">
        <v>25.92</v>
      </c>
      <c r="K107" s="10" t="n">
        <v>66.72</v>
      </c>
      <c r="L107" s="10" t="n">
        <v>1512</v>
      </c>
      <c r="M107" s="11" t="inlineStr">
        <is>
          <t>CHINA</t>
        </is>
      </c>
      <c r="N107" s="10" t="inlineStr">
        <is>
          <t xml:space="preserve">80% black tea from India, 18.5% black tea from China, 1.5% bergamot flavor from Italy </t>
        </is>
      </c>
    </row>
    <row r="108">
      <c r="A108" s="10" t="inlineStr">
        <is>
          <t>113328455</t>
        </is>
      </c>
      <c r="B108" s="10" t="inlineStr">
        <is>
          <t>16123</t>
        </is>
      </c>
      <c r="C108" s="10" t="inlineStr">
        <is>
          <t>16-0932</t>
        </is>
      </c>
      <c r="D108" s="10" t="inlineStr">
        <is>
          <t>26203</t>
        </is>
      </c>
      <c r="E108" s="10" t="inlineStr">
        <is>
          <t>6x50ct Organic Green with Citrus &amp; Gingko</t>
        </is>
      </c>
      <c r="F108" s="10" t="inlineStr">
        <is>
          <t>Organický zelený čaj, organická citronová tráva, organický ginkgo, organický citrusový olej, přírodní citrusová příchuť.</t>
        </is>
      </c>
      <c r="G108" s="10" t="inlineStr">
        <is>
          <t>0902100000</t>
        </is>
      </c>
      <c r="H108" s="10" t="n">
        <v>24</v>
      </c>
      <c r="I108" s="10" t="n">
        <v>144</v>
      </c>
      <c r="J108" s="10" t="n">
        <v>12.96</v>
      </c>
      <c r="K108" s="10" t="n">
        <v>33.36</v>
      </c>
      <c r="L108" s="10" t="n">
        <v>756</v>
      </c>
      <c r="M108" s="11" t="inlineStr">
        <is>
          <t>CHINA</t>
        </is>
      </c>
      <c r="N108" s="10" t="inlineStr">
        <is>
          <t xml:space="preserve">55% green tea from China, 20% ginkgo from China, 20% lemongrass from Egypt, 5% citrus oil from US </t>
        </is>
      </c>
    </row>
    <row r="109">
      <c r="A109" s="10" t="inlineStr">
        <is>
          <t>113328455</t>
        </is>
      </c>
      <c r="B109" s="10" t="inlineStr">
        <is>
          <t>35520</t>
        </is>
      </c>
      <c r="C109" s="10" t="inlineStr">
        <is>
          <t>12-0024</t>
        </is>
      </c>
      <c r="D109" s="10" t="inlineStr">
        <is>
          <t>26210</t>
        </is>
      </c>
      <c r="E109" s="10" t="inlineStr">
        <is>
          <t>WRAPPED 6x20ct Organic English Breakfast</t>
        </is>
      </c>
      <c r="F109" s="10" t="inlineStr">
        <is>
          <t>100% čínský černý čaj Keemum</t>
        </is>
      </c>
      <c r="G109" s="10" t="inlineStr">
        <is>
          <t>0902300000</t>
        </is>
      </c>
      <c r="H109" s="10" t="n">
        <v>162</v>
      </c>
      <c r="I109" s="10" t="n">
        <v>972</v>
      </c>
      <c r="J109" s="10" t="n">
        <v>44.712</v>
      </c>
      <c r="K109" s="10" t="n">
        <v>136.242</v>
      </c>
      <c r="L109" s="10" t="n">
        <v>4924.8</v>
      </c>
      <c r="M109" s="11" t="inlineStr">
        <is>
          <t>CHINA</t>
        </is>
      </c>
      <c r="N109" s="10" t="inlineStr">
        <is>
          <t>100% black tea from China</t>
        </is>
      </c>
    </row>
  </sheetData>
  <autoFilter ref="A1:N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3">
        <f>== PREFERENČNÍ PŮVOD / REX ===</f>
        <v/>
      </c>
    </row>
    <row r="2">
      <c r="A2" s="14" t="inlineStr">
        <is>
          <t>Preferenční věta: NENÍ na žádné faktuře ani PL. (USA nemá s EU dohodu o preferenčním původu → konvenční clo.)</t>
        </is>
      </c>
    </row>
    <row r="3">
      <c r="A3" s="14" t="inlineStr">
        <is>
          <t>REX číslo: NENÍ uvedeno na fakturách.</t>
        </is>
      </c>
    </row>
    <row r="4">
      <c r="A4" s="13">
        <f>== CBAM / ANTIDUMPING / MELT AND POUR ===</f>
        <v/>
      </c>
    </row>
    <row r="5">
      <c r="A5" s="14" t="inlineStr">
        <is>
          <t>CBAM: žádný HS kód zásilky nepodléhá CBAM (čaj, byliny, kartonové kazety) → lookup v CBAM_receivers_CZ.xlsx není potřeba.</t>
        </is>
      </c>
    </row>
    <row r="6">
      <c r="A6" s="14" t="inlineStr">
        <is>
          <t>Antidumping: na čaj / bylinné čaje / kartonové obaly z USA se nevztahuje.</t>
        </is>
      </c>
    </row>
    <row r="7">
      <c r="A7" s="14" t="inlineStr">
        <is>
          <t>Melt and pour: nevztahuje se – zásilka neobsahuje ocel ani železo.</t>
        </is>
      </c>
    </row>
    <row r="8">
      <c r="A8" s="13">
        <f>== SVD / CHED-D (TRACES) – dotaz A. Nedvídkové ===</f>
        <v/>
      </c>
    </row>
    <row r="9">
      <c r="A9" s="14" t="inlineStr">
        <is>
          <t>Čaj (0902) z Číny je v příloze I nař. (EU) 2019/1793 – zvýšené úřední kontroly na rezidua pesticidů (četnost 20 %). → CHED-D v TRACES, kontrola na hraniční kontrolní stanici v místě vstupu (Hamburg), ne v Č. Třebové.</t>
        </is>
      </c>
    </row>
    <row r="10">
      <c r="A10" s="14" t="inlineStr">
        <is>
          <t>Klient sám označil položky s čínským čajem (sloupec „CHINA?“) – viz list Položky (žluté). Faktury původ neuvádějí → doporučuji vyžádat od Harney prohlášení o původu podle položek. Položka 03-0574 „30ct COOKIE AND CREAM“ má původ „???“.</t>
        </is>
      </c>
    </row>
    <row r="11">
      <c r="A11" s="14" t="inlineStr">
        <is>
          <t>Plněné kazety (45-7032-G10/G11) a adventní kalendář (45-7002-G56): složení neznámé → pokud obsahují čínský čaj a jsou zařazeny do 0902, spadají také pod CHED-D.</t>
        </is>
      </c>
    </row>
    <row r="12">
      <c r="A12" s="14" t="inlineStr">
        <is>
          <t>Matcha / Sencha z Japonska: zvláštní omezení po Fukušimě EU zrušila v roce 2023 → bez CHED-D.</t>
        </is>
      </c>
    </row>
    <row r="13">
      <c r="A13" s="13">
        <f>== BIO (ORGANIC) – TRACES COI ===</f>
        <v/>
      </c>
    </row>
    <row r="14">
      <c r="A14" s="14" t="inlineStr">
        <is>
          <t>Faktury 113328454 a 113328455 jsou BIO zboží (certifikace Pennsylvania Certified Organic US-ORG-047). Certifikáty o kontrole (COI): COI.US.2026.0000979 (faktura 113328454) a COI.US.2026.0000978 (faktura 113328455).</t>
        </is>
      </c>
    </row>
    <row r="15">
      <c r="A15" s="14" t="inlineStr">
        <is>
          <t>COI musí být v TRACES potvrzen příslušným orgánem (v ČR ÚKZÚZ) PŘED propuštěním do volného oběhu a uveden v JSD (kód dokladu ověřit – obvykle C644).</t>
        </is>
      </c>
    </row>
    <row r="16">
      <c r="A16" s="13">
        <f>== FYTO KONTROLA ===</f>
        <v/>
      </c>
    </row>
    <row r="17">
      <c r="A17" s="14" t="inlineStr">
        <is>
          <t>Sušený čaj a sušené byliny v balení pro maloobchod obvykle nevyžadují rostlinolékařské osvědčení (nař. 2019/2072 příl. XI se týká hlavně čerstvých rostlin). Před příjezdem ale ověřte aktuální přílohu XI – vyhledávání to jednoznačně nepotvrdilo.</t>
        </is>
      </c>
    </row>
    <row r="18">
      <c r="A18" s="13">
        <f>== INCOTERM / CELNÍ HODNOTA ===</f>
        <v/>
      </c>
    </row>
    <row r="19">
      <c r="A19" s="15" t="inlineStr">
        <is>
          <t>⚠️ Incoterm ani místo NEJSOU uvedeny na fakturách ani na B/L → nutno potvrdit u klienta / Harney.</t>
        </is>
      </c>
    </row>
    <row r="20">
      <c r="A20" s="14" t="inlineStr">
        <is>
          <t>B/L je FREIGHT COLLECT → přepravu platí příjemce. Doprava USD 5 040: do celní hodnoty jen část do Hamburku. Potřeba rozpad (námořní přeprava NY–Hamburg vs. dopravní cesta Hamburg–Česká Třebová).</t>
        </is>
      </c>
    </row>
    <row r="21">
      <c r="A21" s="13">
        <f>== HMOTNOSTI ===</f>
        <v/>
      </c>
    </row>
    <row r="22">
      <c r="A22" s="14" t="inlineStr">
        <is>
          <t>Souhrn položek (zdroj klienta): NW 1 675,36 kg, GW 4 916,99 kg. B/L: 5 379,6 kg brutto vč. 20 palet. Rozdíl 462,6 kg = palety + adventní kalendáře (hmotnost chybí).</t>
        </is>
      </c>
    </row>
    <row r="23">
      <c r="A23" s="14" t="inlineStr">
        <is>
          <t>Kazety 45-7032-G10/G11: 0,95 kg/ks NW = GW je odhad klienta. Adventní kalendář 45-7002-G56: hmotnost ZCELA CHYBÍ → vyžádat od Harney.</t>
        </is>
      </c>
    </row>
    <row r="24">
      <c r="A24" s="13">
        <f>== ZAŘAZENÍ 3 SPORNÝCH POLOŽEK (CCT/VPV KN tariff rule) ===</f>
        <v/>
      </c>
    </row>
    <row r="25">
      <c r="A25" s="13" t="inlineStr">
        <is>
          <t>45-7002-G56 RED Advent Calendar – ⚠️ HS kód nebyl dodán → zařazeno podle CCT/VPV KN tariff rule:</t>
        </is>
      </c>
    </row>
    <row r="26">
      <c r="A26" s="14" t="inlineStr">
        <is>
          <t xml:space="preserve">  CO TO JE? Adventní kalendář = sada čajových sáčků v kartonovém kalendáři (24 okének), vánoční dárkové balení pro maloobchod.</t>
        </is>
      </c>
    </row>
    <row r="27">
      <c r="A27" s="14" t="inlineStr">
        <is>
          <t xml:space="preserve">  Z ČEHO TO JE? Čaj v nálevových sáčcích (druhy neznámé) + potištěný karton.</t>
        </is>
      </c>
    </row>
    <row r="28">
      <c r="A28" s="14" t="inlineStr">
        <is>
          <t xml:space="preserve">  K ČEMU SLOUŽÍ? K přípravě čaje (spotřeba) – kalendář je jen jednorázová obalová/prezentační forma.</t>
        </is>
      </c>
    </row>
    <row r="29">
      <c r="A29" s="14" t="inlineStr">
        <is>
          <t xml:space="preserve">  Třída II, kap. 9 (čaj). Karton = obal běžně používaný pro tento druh zboží, není určen k opakovanému použití → VPV 5b → zařazuje se s čajem. Kap. 49 (tiskoviny/kalendáře) není vhodná – podstatný charakter dává čaj (VPV 3b).</t>
        </is>
      </c>
    </row>
    <row r="30">
      <c r="A30" s="14" t="inlineStr">
        <is>
          <t xml:space="preserve">  → Návrh: 0902 30 00 00 (černý čaj, bal. ≤ 3 kg, clo 0 %) PODMÍNĚNĚ, pokud převažuje černý čaj. Převažuje-li zelený → 0902 10 00 00 (3,2 %); převažují-li bylinné/ovocné směsi → 2106 90 92 60 (12,8 %) / 2106 90 98 49, nebo jednodruhové byliny 1211 90 86 90. Při rovnocenné směsi bez převažující složky platí VPV 3c (poslední v číselném pořadí → 2106 – nejvyšší clo).</t>
        </is>
      </c>
    </row>
    <row r="31">
      <c r="A31" s="13" t="inlineStr">
        <is>
          <t>45-7032-G10 / G11 8 Slot Filled Sachet Chest – klient uvedl 4819 50 00 00 (kazety), ale není si jistý → přezkoumáno CCT/VPV KN tariff rule:</t>
        </is>
      </c>
    </row>
    <row r="32">
      <c r="A32" s="14" t="inlineStr">
        <is>
          <t xml:space="preserve">  CO TO JE? Dárková kazeta s 8 přihrádkami NAPLNĚNÁ čajovými sáčky (druhy neznámé). Z ČEHO? Čaj + kazeta (pravděpodobně karton – ověřit materiál). K ČEMU? Prodej a prezentace čaje.</t>
        </is>
      </c>
    </row>
    <row r="33">
      <c r="A33" s="14" t="inlineStr">
        <is>
          <t xml:space="preserve">  4819 50 00 platí jen pro PRÁZDNÉ obaly. Plněná kazeta: kazeta specificky upravená pro sáčky a vhodná k dlouhodobému použití → VPV 5a → zařazuje se se zbožím (čajem); sada čajů v maloobchodním balení → VPV 3b podle podstatného charakteru.</t>
        </is>
      </c>
    </row>
    <row r="34">
      <c r="A34" s="14" t="inlineStr">
        <is>
          <t xml:space="preserve">  → Návrh: 0902 30 00 00 (0 %) PODMÍNĚNĚ při převaze černého čaje; jinak stejné alternativy jako u kalendáře. Výjimka: pokud by hodnotu a charakter jednoznačně určovala kazeta (luxusní dřevěná apod.), zvážit samostatné zařazení – málo pravděpodobné.</t>
        </is>
      </c>
    </row>
    <row r="35">
      <c r="A35" s="13" t="inlineStr">
        <is>
          <t>Nejjednodušší postup: vyžádat od Harney &amp; Sons seznam druhů čajů (a hmotnosti) v kalendáři a v kazetách → pokud převažuje černý čaj, vše do 0902 30 00 00 (0 %).</t>
        </is>
      </c>
    </row>
    <row r="36">
      <c r="A36" s="16" t="inlineStr">
        <is>
          <t>⚠️ Zařazení je nejisté (obsah neznámý, rozdíl cla 0 % vs. 12,8 %). Tarifní oddělení (customs.tariff@mauriceward.com) je v kopii e-mailu – doporučuji potvrzení od nich.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2026-10-21T11:18:48Z</dcterms:created>
  <dcterms:modified xmlns:dcterms="http://purl.org/dc/terms/" xmlns:xsi="http://www.w3.org/2001/XMLSchema-instance" xsi:type="dcterms:W3CDTF">2026-10-21T11:18:48Z</dcterms:modified>
</cp:coreProperties>
</file>