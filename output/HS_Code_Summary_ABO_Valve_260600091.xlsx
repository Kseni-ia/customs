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4" fontId="4" fillId="5" borderId="1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40" customWidth="1" min="3" max="3"/>
    <col width="38" customWidth="1" min="4" max="4"/>
    <col width="9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4" customWidth="1" min="11" max="11"/>
    <col width="30" customWidth="1" min="12" max="12"/>
    <col width="22" customWidth="1" min="13" max="13"/>
    <col width="78" customWidth="1" min="14" max="14"/>
  </cols>
  <sheetData>
    <row r="1" ht="42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Popis dle dokladů (EN)</t>
        </is>
      </c>
      <c r="E1" s="1" t="inlineStr">
        <is>
          <t>Země původu (COO)</t>
        </is>
      </c>
      <c r="F1" s="1" t="inlineStr">
        <is>
          <t>Množství (ks)</t>
        </is>
      </c>
      <c r="G1" s="1" t="inlineStr">
        <is>
          <t>Čistá hmotnost / ks (kg)</t>
        </is>
      </c>
      <c r="H1" s="1" t="inlineStr">
        <is>
          <t>Čistá hmotnost celkem (kg)</t>
        </is>
      </c>
      <c r="I1" s="1" t="inlineStr">
        <is>
          <t>Hrubá hmotnost (kg)</t>
        </is>
      </c>
      <c r="J1" s="1" t="inlineStr">
        <is>
          <t>Jednotková cena (EUR)</t>
        </is>
      </c>
      <c r="K1" s="1" t="inlineStr">
        <is>
          <t>Celní hodnota (EUR)</t>
        </is>
      </c>
      <c r="L1" s="1" t="inlineStr">
        <is>
          <t>Incoterm (dodací podmínka + místo)</t>
        </is>
      </c>
      <c r="M1" s="1" t="inlineStr">
        <is>
          <t>Příznak</t>
        </is>
      </c>
      <c r="N1" s="1" t="inlineStr">
        <is>
          <t>TARIC / poznámka / CBAM / Antidumping</t>
        </is>
      </c>
    </row>
    <row r="2" ht="74" customHeight="1">
      <c r="A2" s="2" t="inlineStr">
        <is>
          <t>HYDROBENZ INDUSTRIES PVT LTD, Metoda, Rajkot (IN)</t>
        </is>
      </c>
      <c r="B2" s="3" t="inlineStr">
        <is>
          <t>84314990</t>
        </is>
      </c>
      <c r="C2" s="2" t="inlineStr">
        <is>
          <t>Pouzdro pr. 36 mm, délka 21,5 mm (části ostatních strojů)</t>
        </is>
      </c>
      <c r="D2" s="2" t="inlineStr">
        <is>
          <t>BUSH DIA. 36 L 21.5 – PARTS OF OTHER MACHINERY</t>
        </is>
      </c>
      <c r="E2" s="4" t="inlineStr">
        <is>
          <t>IN</t>
        </is>
      </c>
      <c r="F2" s="5" t="n">
        <v>1394</v>
      </c>
      <c r="G2" s="6" t="n">
        <v>0.103</v>
      </c>
      <c r="H2" s="6">
        <f>F2*G2</f>
        <v/>
      </c>
      <c r="I2" s="6" t="n">
        <v>173.632</v>
      </c>
      <c r="J2" s="6" t="n">
        <v>1.803</v>
      </c>
      <c r="K2" s="7">
        <f>F2*J2</f>
        <v/>
      </c>
      <c r="L2" s="2" t="inlineStr">
        <is>
          <t>EXW Metoda, Rajkot (Indie)</t>
        </is>
      </c>
      <c r="M2" s="8" t="inlineStr">
        <is>
          <t>COO – BEZ PREF. VĚTY</t>
        </is>
      </c>
      <c r="N2" s="9" t="inlineStr">
        <is>
          <t>POZOR – COO: na faktuře ani v přepravních dokladech NENÍ preferenční věta → uplatní se celní sazba pro třetí země (erga omnes), nikoli preferenční. | HS kód 84314990 je indický ITC(HS) kód – pro dovozní JSD nutno převést na CN/TARIC (8431 49 20 litina/ocelolitina nebo 8431 49 80 ostatní) a potvrdit v TARIC. | Zařazení ověřit: pokud je pouzdro dílem armatury (koncové užití GNX 200), může být správné 8481 90 (části armatur), nikoli 8431. | CBAM: nepodléhá (kap. 84 není v příloze I CBAM). | Antidumping: pro deklarovaný kód nezjištěno žádné antidumpingové opatření vůči Indii.</t>
        </is>
      </c>
    </row>
    <row r="3">
      <c r="A3" s="10" t="inlineStr">
        <is>
          <t>CELKEM</t>
        </is>
      </c>
      <c r="B3" s="10" t="n"/>
      <c r="C3" s="10" t="n"/>
      <c r="D3" s="10" t="n"/>
      <c r="E3" s="10" t="n"/>
      <c r="F3" s="11">
        <f>SUM(F2:F2)</f>
        <v/>
      </c>
      <c r="G3" s="10" t="n"/>
      <c r="H3" s="12">
        <f>SUM(H2:H2)</f>
        <v/>
      </c>
      <c r="I3" s="12">
        <f>SUM(I2:I2)</f>
        <v/>
      </c>
      <c r="J3" s="10" t="n"/>
      <c r="K3" s="13">
        <f>SUM(K2:K2)</f>
        <v/>
      </c>
      <c r="L3" s="10" t="n"/>
      <c r="M3" s="10" t="n"/>
      <c r="N3" s="10" t="n"/>
    </row>
    <row r="5">
      <c r="A5" s="14" t="inlineStr">
        <is>
          <t>Legenda / poznámky k výpočtu:</t>
        </is>
      </c>
      <c r="C5" s="15" t="inlineStr"/>
    </row>
    <row r="6">
      <c r="A6" s="16" t="inlineStr">
        <is>
          <t>🔴 ČERVENÁ</t>
        </is>
      </c>
      <c r="C6" s="17" t="inlineStr">
        <is>
          <t>Chybí preferenční věta (COO) – kritické pro výši cla při proclení.</t>
        </is>
      </c>
    </row>
    <row r="7">
      <c r="A7" s="16" t="inlineStr">
        <is>
          <t>Čistá hmotnost</t>
        </is>
      </c>
      <c r="C7" s="15" t="inlineStr">
        <is>
          <t>Vypočtena vzorcem: množství × čistá hmotnost/ks (1394 × 0,103 kg = 143,582 kg) – shodné s packing listem i MTD (NET WT 143,582 KGS).</t>
        </is>
      </c>
    </row>
    <row r="8">
      <c r="A8" s="16" t="inlineStr">
        <is>
          <t>Hrubá hmotnost</t>
        </is>
      </c>
      <c r="C8" s="15" t="inlineStr">
        <is>
          <t>173,632 kg dle packing listu a MTD (SAID TO WEIGH). Rozdíl 30,050 kg = obal (1 bedna 96 × 57 × 50 cm, 0,294 m³).</t>
        </is>
      </c>
    </row>
    <row r="9">
      <c r="A9" s="16" t="inlineStr">
        <is>
          <t>Celní hodnota</t>
        </is>
      </c>
      <c r="C9" s="15" t="inlineStr">
        <is>
          <t>Vypočtena vzorcem: množství × jednotková cena (1394 × 1,803 EUR = 2 513,382 EUR). Faktura uvádí celkem 2 513,38 EUR (zaokrouhleno).</t>
        </is>
      </c>
    </row>
    <row r="10">
      <c r="A10" s="16" t="inlineStr">
        <is>
          <t>Sleva</t>
        </is>
      </c>
      <c r="C10" s="15" t="inlineStr">
        <is>
          <t>Na faktuře EX/61/26-27 není uvedena žádná obchodní sleva – proporcionální sleva se neuplatňuje.</t>
        </is>
      </c>
    </row>
    <row r="11">
      <c r="A11" s="16" t="inlineStr">
        <is>
          <t>Incoterm</t>
        </is>
      </c>
      <c r="C11" s="15" t="inlineStr">
        <is>
          <t>Faktura i MTD uvádějí pouze „EXW“ / „EX-WORK“ BEZ místa. Místo doplněno z pole „Placement of receipt by pre-carrier“ = METODA, RAJKOT (závod odesílatele). Doporučuji nechat odesílatele doplnit místo na fakturu.</t>
        </is>
      </c>
    </row>
    <row r="12">
      <c r="A12" s="16" t="inlineStr">
        <is>
          <t>Klasifikace</t>
        </is>
      </c>
      <c r="C12" s="15" t="inlineStr">
        <is>
          <t>Zásilka má jednoho odesílatele (Hydrobenz) a jeden HS kód → jeden řádek.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4">
        <f>== ZÁSILKA ===</f>
        <v/>
      </c>
    </row>
    <row r="2">
      <c r="A2" s="18" t="inlineStr">
        <is>
          <t>Odesílatel: HYDROBENZ INDUSTRIES PVT LTD, Plot No. 2632, Kranti Gate-1, G.I.D.C. Lodhika Industrial</t>
        </is>
      </c>
    </row>
    <row r="3">
      <c r="A3" s="18" t="inlineStr">
        <is>
          <t xml:space="preserve">   Estate, Metoda, Dist. Rajkot, Gujarat 360021, Indie | IEC AAFCH9335M | GSTIN 24AAFCH9335M1Z7</t>
        </is>
      </c>
    </row>
    <row r="4">
      <c r="A4" s="18" t="inlineStr">
        <is>
          <t>Příjemce (CZ): ABO VALVE, s.r.o., Dalimilova 285/54, Brána A / Gate A, 783 35 Olomouc-Chomoutov, ČR</t>
        </is>
      </c>
    </row>
    <row r="5">
      <c r="A5" s="18" t="inlineStr">
        <is>
          <t>Faktura: EX/61/26-27 ze dne 25. 5. 2026 | Objednávka: 261NOS0716 ze dne 9. 4. 2026</t>
        </is>
      </c>
    </row>
    <row r="6">
      <c r="A6" s="18" t="inlineStr">
        <is>
          <t>MTD (Multimodal Transport Document): GAMDBRN260600091, vystaveno Ahmedabad 16. 6. 2026, Express BL / Telex release</t>
        </is>
      </c>
    </row>
    <row r="7">
      <c r="A7" s="18" t="inlineStr">
        <is>
          <t>Kontejner: MSNU5392521 / plomba 5809038 / 40HC (LCL) | Loď: MSC SARA ELENA / IP624A</t>
        </is>
      </c>
    </row>
    <row r="8">
      <c r="A8" s="18" t="inlineStr">
        <is>
          <t>Trasa: příjem ICD Ahmedabad → nakládka Nhava Sheva (IN) → vykládka Praha → dodání Brno (CZBRQ), ČR</t>
        </is>
      </c>
    </row>
    <row r="9">
      <c r="A9" s="18" t="inlineStr">
        <is>
          <t>Poznámka: faktura uvádí jako přístav nakládky „ICD Sabarmati, Ahmedabad“, MTD uvádí Nhava Sheva</t>
        </is>
      </c>
    </row>
    <row r="10">
      <c r="A10" s="18" t="inlineStr">
        <is>
          <t xml:space="preserve">   (ICD Ahmedabad = místo převzetí). Nejde o rozpor, jen jiná úroveň pole.</t>
        </is>
      </c>
    </row>
    <row r="11">
      <c r="A11" s="18" t="inlineStr">
        <is>
          <t>Balení: 1 bedna, 96 × 57 × 50 cm, 0,294 m³ | Přeprava: FREIGHT COLLECT, „all destination charges on</t>
        </is>
      </c>
    </row>
    <row r="12">
      <c r="A12" s="18" t="inlineStr">
        <is>
          <t xml:space="preserve">   consignee account“ | Zástupce v ČR: AUSTROMAR obchodní a dopravní spol. s r.o., Fr. Diviše 988, 104 00 Praha 10</t>
        </is>
      </c>
    </row>
    <row r="13">
      <c r="A13" s="18" t="inlineStr"/>
    </row>
    <row r="14">
      <c r="A14" s="19">
        <f>== ⚠ COO / PREFERENČNÍ PŮVOD – KRITICKÉ ===</f>
        <v/>
      </c>
    </row>
    <row r="15">
      <c r="A15" s="18" t="inlineStr">
        <is>
          <t>Faktura EX/61/26-27 ani packing list ani MTD NEOBSAHUJÍ preferenční větu (prohlášení o preferenčním původu).</t>
        </is>
      </c>
    </row>
    <row r="16">
      <c r="A16" s="18" t="inlineStr">
        <is>
          <t>Poznámky na faktuře se týkají výhradně indických vývozních režimů, nikoli původu zboží:</t>
        </is>
      </c>
    </row>
    <row r="17">
      <c r="A17" s="18" t="inlineStr">
        <is>
          <t xml:space="preserve">   • EPCG licence č. 2431004927 ze dne 1. 10. 2025</t>
        </is>
      </c>
    </row>
    <row r="18">
      <c r="A18" s="18" t="inlineStr">
        <is>
          <t xml:space="preserve">   • Duty Drawback (DBK kód 843149)</t>
        </is>
      </c>
    </row>
    <row r="19">
      <c r="A19" s="18" t="inlineStr">
        <is>
          <t xml:space="preserve">   • LUT č. AD240426016809Y ze dne 12. 4. 2026, koncové užití GNX 200</t>
        </is>
      </c>
    </row>
    <row r="20">
      <c r="A20" s="18" t="inlineStr">
        <is>
          <t xml:space="preserve">   • RoDTEP (Remission of Duties or Taxes on Export Products)</t>
        </is>
      </c>
    </row>
    <row r="21">
      <c r="A21" s="20" t="inlineStr">
        <is>
          <t>→ DŮSLEDEK: bez preferenční věty se uplatní celní sazba pro třetí země (erga omnes), NIKOLI preferenční sazba.</t>
        </is>
      </c>
    </row>
    <row r="22">
      <c r="A22" s="18" t="inlineStr">
        <is>
          <t>→ Deklarovaný původ zboží: INDIE (pole „Country of origin of goods: INDIA“ na faktuře i packing listu).</t>
        </is>
      </c>
    </row>
    <row r="23">
      <c r="A23" s="18" t="inlineStr">
        <is>
          <t>→ Doporučení: pokud zboží na preferenční zacházení nárok má, vyžádat si od odesílatele doklad o původu</t>
        </is>
      </c>
    </row>
    <row r="24">
      <c r="A24" s="18" t="inlineStr">
        <is>
          <t xml:space="preserve">   PŘED proclením. Po propuštění do volného oběhu je doplnění výrazně komplikovanější.</t>
        </is>
      </c>
    </row>
    <row r="25">
      <c r="A25" s="18" t="inlineStr"/>
    </row>
    <row r="26">
      <c r="A26" s="19">
        <f>== ⚠ HS KÓD – NUTNO OVĚŘIT PŘED PODÁNÍM JSD ===</f>
        <v/>
      </c>
    </row>
    <row r="27">
      <c r="A27" s="18" t="inlineStr">
        <is>
          <t>Doklady uvádějí HS 84314990. To je indický ITC(HS) kód, který NEEXISTUJE v evropské kombinované nomenklatuře.</t>
        </is>
      </c>
    </row>
    <row r="28">
      <c r="A28" s="18" t="inlineStr">
        <is>
          <t>Podpoložka 8431 49 v CN má pouze: 8431 49 20 (z litiny nebo z ocelolitiny) a 8431 49 80 (ostatní).</t>
        </is>
      </c>
    </row>
    <row r="29">
      <c r="A29" s="18" t="inlineStr">
        <is>
          <t>→ Pro dovozní JSD nutno zvolit správný CN kód a doplnit desetimístný TARIC. Ověřit v TARIC k datu proclení.</t>
        </is>
      </c>
    </row>
    <row r="30">
      <c r="A30" s="18" t="inlineStr"/>
    </row>
    <row r="31">
      <c r="A31" s="18" t="inlineStr">
        <is>
          <t>Druhá otázka – správnost sazebního zařazení jako takového:</t>
        </is>
      </c>
    </row>
    <row r="32">
      <c r="A32" s="18" t="inlineStr">
        <is>
          <t>Číslo 8431 = části a součásti strojů čísel 8425 až 8430 (zdvihací, manipulační, zemní stroje).</t>
        </is>
      </c>
    </row>
    <row r="33">
      <c r="A33" s="18" t="inlineStr">
        <is>
          <t>Zboží je popsáno jako „BUSH DIA. 36 L 21.5 – parts of other machinery“, koncové užití GNX 200,</t>
        </is>
      </c>
    </row>
    <row r="34">
      <c r="A34" s="18" t="inlineStr">
        <is>
          <t>příjemcem je ABO VALVE (výrobce armatur). Je-li pouzdro dílem armatury, správné zařazení je spíše</t>
        </is>
      </c>
    </row>
    <row r="35">
      <c r="A35" s="18" t="inlineStr">
        <is>
          <t>8481 90 (části a součásti armatur), nikoli 8431. Doporučuji potvrdit u příjemce, k jakému stroji díl patří.</t>
        </is>
      </c>
    </row>
    <row r="36">
      <c r="A36" s="18" t="inlineStr"/>
    </row>
    <row r="37">
      <c r="A37" s="14">
        <f>== CBAM ===</f>
        <v/>
      </c>
    </row>
    <row r="38">
      <c r="A38" s="18" t="inlineStr">
        <is>
          <t>CBAM se na tuto zásilku NEVZTAHUJE.</t>
        </is>
      </c>
    </row>
    <row r="39">
      <c r="A39" s="18" t="inlineStr">
        <is>
          <t>Důvod: zboží kapitoly 84 (stroje a přístroje) není uvedeno v příloze I nařízení CBAM. CBAM pokrývá cement,</t>
        </is>
      </c>
    </row>
    <row r="40">
      <c r="A40" s="18" t="inlineStr">
        <is>
          <t>elektřinu, hnojiva, železo a ocel (vč. vybraného zboží kap. 72/73), hliník (kap. 76) a vodík.</t>
        </is>
      </c>
    </row>
    <row r="41">
      <c r="A41" s="18" t="inlineStr"/>
    </row>
    <row r="42">
      <c r="A42" s="18" t="inlineStr">
        <is>
          <t>Kontrola registru přesto provedena (reference/CBAM_receivers_CZ.xlsx, list List1, 100 záznamů):</t>
        </is>
      </c>
    </row>
    <row r="43">
      <c r="A43" s="20" t="inlineStr">
        <is>
          <t>⚠ Příjemce ABO VALVE, s.r.o. NENÍ v registru CBAM uveden – ani ve sloupci „Firma“, ani podle EORI,</t>
        </is>
      </c>
    </row>
    <row r="44">
      <c r="A44" s="18" t="inlineStr">
        <is>
          <t xml:space="preserve">   ani v seznamu mimoevropských společností využívajících sdílený účet CBAM-CZ-2025-QGM67089385721.</t>
        </is>
      </c>
    </row>
    <row r="45">
      <c r="A45" s="18" t="inlineStr">
        <is>
          <t xml:space="preserve">   (Jediná textová shoda „ABO“ je FABORY Czech s.r.o. – jiná společnost, nesouvisí.)</t>
        </is>
      </c>
    </row>
    <row r="46">
      <c r="A46" s="18" t="inlineStr">
        <is>
          <t>→ Pro tuto zásilku to nemá dopad, protože zboží CBAM nepodléhá. Doporučuji ale ABO VALVE do registru</t>
        </is>
      </c>
    </row>
    <row r="47">
      <c r="A47" s="18" t="inlineStr">
        <is>
          <t xml:space="preserve">   doplnit pro případ budoucích zásilek CBAM zboží (ocel, hliník apod.).</t>
        </is>
      </c>
    </row>
    <row r="48">
      <c r="A48" s="18" t="inlineStr"/>
    </row>
    <row r="49">
      <c r="A49" s="14">
        <f>== ANTIDUMPING ===</f>
        <v/>
      </c>
    </row>
    <row r="50">
      <c r="A50" s="18" t="inlineStr">
        <is>
          <t>Pro deklarované zboží (části strojů, číslo 8431) s původem v Indii nebylo zjištěno žádné antidumpingové</t>
        </is>
      </c>
    </row>
    <row r="51">
      <c r="A51" s="18" t="inlineStr">
        <is>
          <t>ani vyrovnávací opatření. Nutno znovu ověřit v TARIC, pokud dojde k přeřazení HS kódu (viz výše).</t>
        </is>
      </c>
    </row>
    <row r="52">
      <c r="A52" s="18" t="inlineStr"/>
    </row>
    <row r="53">
      <c r="A53" s="14">
        <f>== HMOTNOSTI A HODNOTY – KONTROLA ===</f>
        <v/>
      </c>
    </row>
    <row r="54">
      <c r="A54" s="18" t="inlineStr">
        <is>
          <t>Množství: 1 394 ks (shodně faktura i packing list)</t>
        </is>
      </c>
    </row>
    <row r="55">
      <c r="A55" s="18" t="inlineStr">
        <is>
          <t>Čistá hmotnost: 1 394 × 0,103 kg = 143,582 kg (packing list 143,58 / 143,582; MTD „NET WT 143.582 KGS“) ✓</t>
        </is>
      </c>
    </row>
    <row r="56">
      <c r="A56" s="18" t="inlineStr">
        <is>
          <t>Hrubá hmotnost: 173,632 kg (packing list „Total: 173.632“; MTD „SAID TO WEIGH 173.632 KGS“) ✓</t>
        </is>
      </c>
    </row>
    <row r="57">
      <c r="A57" s="18" t="inlineStr">
        <is>
          <t>Celní hodnota: 1 394 × 1,803 EUR = 2 513,382 EUR; faktura uvádí 2 513,38 EUR ✓</t>
        </is>
      </c>
    </row>
    <row r="58">
      <c r="A58" s="18" t="inlineStr">
        <is>
          <t xml:space="preserve">   Slovy dle faktury: EURO TWO THOUSAND FIVE HUNDRED THIRTEEN AND THIRTY EIGHT CENTS ONLY ✓</t>
        </is>
      </c>
    </row>
    <row r="59">
      <c r="A59" s="18" t="inlineStr">
        <is>
          <t>Měna: EUR | Platební podmínka: 45 dnů od data faktury</t>
        </is>
      </c>
    </row>
    <row r="60">
      <c r="A60" s="18" t="inlineStr">
        <is>
          <t>Pozn.: v packing listu je v poznámkách uvedeno „Total Qty: 143.582“ – jde o překlep, 143,582 je čistá</t>
        </is>
      </c>
    </row>
    <row r="61">
      <c r="A61" s="18" t="inlineStr">
        <is>
          <t xml:space="preserve">   hmotnost v kg, nikoli množství. Množství v kusech je 1 394 ks.</t>
        </is>
      </c>
    </row>
    <row r="62">
      <c r="A62" s="18" t="inlineStr"/>
    </row>
    <row r="63">
      <c r="A63" s="14">
        <f>== INCOTERM ===</f>
        <v/>
      </c>
    </row>
    <row r="64">
      <c r="A64" s="18" t="inlineStr">
        <is>
          <t>Faktura, pole „Terms of delivery &amp; payment“: „EXW“ – BEZ uvedení místa.</t>
        </is>
      </c>
    </row>
    <row r="65">
      <c r="A65" s="18" t="inlineStr">
        <is>
          <t>MTD, popis zboží: „EX-WORK“ – rovněž bez místa.</t>
        </is>
      </c>
    </row>
    <row r="66">
      <c r="A66" s="18" t="inlineStr">
        <is>
          <t>Pole „Placement of receipt by pre-carrier“ (faktura i packing list): METODA, RAJKOT = závod odesílatele.</t>
        </is>
      </c>
    </row>
    <row r="67">
      <c r="A67" s="18" t="inlineStr">
        <is>
          <t>→ Do souhrnu uvedeno: EXW Metoda, Rajkot (Indie). Město je DOVOZENO z pole místa převzetí, není na faktuře</t>
        </is>
      </c>
    </row>
    <row r="68">
      <c r="A68" s="18" t="inlineStr">
        <is>
          <t xml:space="preserve">   vypsáno. Samotné „EXW“ bez místa je neúplná dodací podmínka – doporučuji nechat odesílatele opravit.</t>
        </is>
      </c>
    </row>
    <row r="69">
      <c r="A69" s="18" t="inlineStr">
        <is>
          <t>→ Pozn.: „EXW Indie“ není platný zápis – Incoterm vyžaduje konkrétní místo (město/závod), nikoli zemi.</t>
        </is>
      </c>
    </row>
    <row r="70">
      <c r="A70" s="18" t="inlineStr">
        <is>
          <t>→ Dopravu i vedlejší náklady nese příjemce (freight collect, all destination charges on consignee account),</t>
        </is>
      </c>
    </row>
    <row r="71">
      <c r="A71" s="18" t="inlineStr">
        <is>
          <t xml:space="preserve">   což je s EXW konzistentní. Náklady na dopravu do místa vstupu do EU nutno připočíst k celní hodnotě.</t>
        </is>
      </c>
    </row>
    <row r="72">
      <c r="A72" s="18" t="inlineStr"/>
    </row>
    <row r="73">
      <c r="A73" s="14">
        <f>== CHYBĚJÍCÍ / K DOPLNĚNÍ ===</f>
        <v/>
      </c>
    </row>
    <row r="74">
      <c r="A74" s="18" t="inlineStr">
        <is>
          <t>• Preferenční věta – není v dokladech (viz výše).</t>
        </is>
      </c>
    </row>
    <row r="75">
      <c r="A75" s="18" t="inlineStr">
        <is>
          <t>• Místo u dodací podmínky EXW – na faktuře nevyplněno.</t>
        </is>
      </c>
    </row>
    <row r="76">
      <c r="A76" s="18" t="inlineStr">
        <is>
          <t>• Platný CN/TARIC kód pro dovoz – deklarován indický ITC(HS) kód.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2026-08-13T14:38:05Z</dcterms:created>
  <dcterms:modified xsi:type="dcterms:W3CDTF">2026-08-13T14:38:05Z</dcterms:modified>
</cp:coreProperties>
</file>