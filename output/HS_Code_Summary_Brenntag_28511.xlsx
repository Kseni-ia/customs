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Položky faktury" sheetId="2" state="visible" r:id="rId2"/>
    <sheet xmlns:r="http://schemas.openxmlformats.org/officeDocument/2006/relationships" name="Dokumenty a 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sz val="10"/>
    </font>
    <font>
      <sz val="10"/>
    </font>
    <font>
      <b val="1"/>
      <color rgb="00FFFFFF"/>
      <sz val="10"/>
    </font>
    <font>
      <b val="1"/>
    </font>
    <font>
      <b val="1"/>
      <color rgb="009C0006"/>
      <sz val="10"/>
    </font>
    <font>
      <b val="1"/>
      <color rgb="001F4E79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 wrapText="1"/>
    </xf>
    <xf numFmtId="4" fontId="0" fillId="0" borderId="1" applyAlignment="1" pivotButton="0" quotePrefix="0" xfId="0">
      <alignment horizontal="right" vertical="top" wrapText="1"/>
    </xf>
    <xf numFmtId="0" fontId="5" fillId="3" borderId="1" applyAlignment="1" pivotButton="0" quotePrefix="0" xfId="0">
      <alignment horizontal="left"/>
    </xf>
    <xf numFmtId="0" fontId="5" fillId="3" borderId="1" applyAlignment="1" pivotButton="0" quotePrefix="0" xfId="0">
      <alignment horizontal="right"/>
    </xf>
    <xf numFmtId="4" fontId="5" fillId="3" borderId="1" applyAlignment="1" pivotButton="0" quotePrefix="0" xfId="0">
      <alignment horizontal="right"/>
    </xf>
    <xf numFmtId="0" fontId="6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right" vertical="top" wrapText="1"/>
    </xf>
    <xf numFmtId="4" fontId="0" fillId="4" borderId="1" applyAlignment="1" pivotButton="0" quotePrefix="0" xfId="0">
      <alignment horizontal="right" vertical="top" wrapText="1"/>
    </xf>
    <xf numFmtId="0" fontId="5" fillId="3" borderId="1" pivotButton="0" quotePrefix="0" xfId="0"/>
    <xf numFmtId="4" fontId="5" fillId="3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46" customWidth="1" min="4" max="4"/>
    <col width="40" customWidth="1" min="5" max="5"/>
    <col width="10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4" customWidth="1" min="12" max="12"/>
    <col width="13" customWidth="1" min="13" max="13"/>
    <col width="10" customWidth="1" min="14" max="14"/>
    <col width="13" customWidth="1" min="15" max="15"/>
    <col width="12" customWidth="1" min="16" max="16"/>
    <col width="60" customWidth="1" min="17" max="17"/>
  </cols>
  <sheetData>
    <row r="1">
      <c r="A1" s="1" t="inlineStr">
        <is>
          <t>SOUHRN HS KÓDŮ – Brenntag Specialties Czech a.s., zásilka 28511</t>
        </is>
      </c>
    </row>
    <row r="3">
      <c r="A3" s="2" t="inlineStr">
        <is>
          <t>Odesílatel (sender):</t>
        </is>
      </c>
      <c r="B3" s="3" t="inlineStr">
        <is>
          <t>Lugaia AG, Industriezone Basper 31, CH-3942 Raron (CH)</t>
        </is>
      </c>
    </row>
    <row r="4">
      <c r="A4" s="2" t="inlineStr">
        <is>
          <t>Příjemce (CZ receiver):</t>
        </is>
      </c>
      <c r="B4" s="3" t="inlineStr">
        <is>
          <t>Brenntag Specialties Czech a.s., Stachovice 176, CZ-74245 Fulnek</t>
        </is>
      </c>
    </row>
    <row r="5">
      <c r="A5" s="2" t="inlineStr">
        <is>
          <t>Faktura / dodací list:</t>
        </is>
      </c>
      <c r="B5" s="3" t="inlineStr">
        <is>
          <t>Commercial Invoice 28511 / Delivery Note L.28511, ze dne 16.09.2026 (finální verze)</t>
        </is>
      </c>
    </row>
    <row r="6">
      <c r="A6" s="2" t="inlineStr">
        <is>
          <t>Objednávka:</t>
        </is>
      </c>
      <c r="B6" s="3" t="inlineStr">
        <is>
          <t>OBJ-2026-00182   |   ZAZ 5339-2   |   zákazník č. 2816</t>
        </is>
      </c>
    </row>
    <row r="7">
      <c r="A7" s="2" t="inlineStr">
        <is>
          <t>Incoterm:</t>
        </is>
      </c>
      <c r="B7" s="3" t="inlineStr">
        <is>
          <t>EXW Raron   (dodací podmínka dle hlavičky faktury i dodacího listu)</t>
        </is>
      </c>
    </row>
    <row r="8">
      <c r="A8" s="2" t="inlineStr">
        <is>
          <t>Země původu (COO):</t>
        </is>
      </c>
      <c r="B8" s="3" t="inlineStr">
        <is>
          <t>CH – Švýcarsko (deklarováno u všech položek)</t>
        </is>
      </c>
    </row>
    <row r="9">
      <c r="A9" s="2" t="inlineStr">
        <is>
          <t>Měna:</t>
        </is>
      </c>
      <c r="B9" s="3" t="inlineStr">
        <is>
          <t>CHF</t>
        </is>
      </c>
    </row>
    <row r="10">
      <c r="A10" s="2" t="inlineStr">
        <is>
          <t>Dopravce / celní zástupce:</t>
        </is>
      </c>
      <c r="B10" s="3" t="inlineStr">
        <is>
          <t>Maurice Ward (vyzvednutí CH-Raron → dodání CZ-Stachovice)</t>
        </is>
      </c>
    </row>
    <row r="12" ht="46" customHeight="1">
      <c r="A12" s="4" t="inlineStr">
        <is>
          <t>Odesílatel</t>
        </is>
      </c>
      <c r="B12" s="4" t="inlineStr">
        <is>
          <t>KN kód (8)</t>
        </is>
      </c>
      <c r="C12" s="4" t="inlineStr">
        <is>
          <t>TARIC (10)</t>
        </is>
      </c>
      <c r="D12" s="4" t="inlineStr">
        <is>
          <t>Popis zboží (CZ)</t>
        </is>
      </c>
      <c r="E12" s="4" t="inlineStr">
        <is>
          <t>Obchodní popis (orig.)</t>
        </is>
      </c>
      <c r="F12" s="4" t="inlineStr">
        <is>
          <t>Země původu</t>
        </is>
      </c>
      <c r="G12" s="4" t="inlineStr">
        <is>
          <t>Množství (ks)</t>
        </is>
      </c>
      <c r="H12" s="4" t="inlineStr">
        <is>
          <t>Čistá hmotnost (kg)</t>
        </is>
      </c>
      <c r="I12" s="4" t="inlineStr">
        <is>
          <t>Hrubá hmotnost (kg)</t>
        </is>
      </c>
      <c r="J12" s="4" t="inlineStr">
        <is>
          <t>Hodnota zboží CHF</t>
        </is>
      </c>
      <c r="K12" s="4" t="inlineStr">
        <is>
          <t>Podíl obalu CHF</t>
        </is>
      </c>
      <c r="L12" s="4" t="inlineStr">
        <is>
          <t>Celní hodnota CHF (EXW)</t>
        </is>
      </c>
      <c r="M12" s="4" t="inlineStr">
        <is>
          <t>Incoterm</t>
        </is>
      </c>
      <c r="N12" s="4" t="inlineStr">
        <is>
          <t>Clo 3. země</t>
        </is>
      </c>
      <c r="O12" s="4" t="inlineStr">
        <is>
          <t>Clo s pref. CH</t>
        </is>
      </c>
      <c r="P12" s="4" t="inlineStr">
        <is>
          <t>Pozice na faktuře</t>
        </is>
      </c>
      <c r="Q12" s="4" t="inlineStr">
        <is>
          <t>Příznak / poznámka</t>
        </is>
      </c>
    </row>
    <row r="13" ht="96" customHeight="1">
      <c r="A13" s="5" t="inlineStr">
        <is>
          <t>Lugaia AG, Industriezone Basper 31, CH-3942 Raron (CH)</t>
        </is>
      </c>
      <c r="B13" s="5" t="inlineStr">
        <is>
          <t>3920 10 25</t>
        </is>
      </c>
      <c r="C13" s="5" t="inlineStr">
        <is>
          <t>3920102500</t>
        </is>
      </c>
      <c r="D13" s="5" t="inlineStr">
        <is>
          <t>Desky, listy, fólie, filmy a pásy z plastů, nelehčené a nevyztužené, nelaminované, nezesílené ani jinak nekombinované s jinými materiály – z polymerů ethylenu, o tloušťce nepřesahující 0,125 mm, o měrné hmotnosti nižší než 0,94, nepotištěné, ostatní</t>
        </is>
      </c>
      <c r="E13" s="5" t="inlineStr">
        <is>
          <t>Hadicová (layflat) fólie z LDPE, antistatická, tl. 80 µm, plochá šířka 500 / 600 mm – linerunit CLS-500 a CLS-600 (kontejnmentové vložky)</t>
        </is>
      </c>
      <c r="F13" s="5" t="inlineStr">
        <is>
          <t>CH</t>
        </is>
      </c>
      <c r="G13" s="6" t="n">
        <v>20</v>
      </c>
      <c r="H13" s="7" t="n">
        <v>73.59999999999999</v>
      </c>
      <c r="I13" s="7" t="n">
        <v>79.42</v>
      </c>
      <c r="J13" s="7" t="n">
        <v>6330</v>
      </c>
      <c r="K13" s="7" t="n">
        <v>72.59</v>
      </c>
      <c r="L13" s="7" t="n">
        <v>6402.59</v>
      </c>
      <c r="M13" s="5" t="inlineStr">
        <is>
          <t>EXW Raron</t>
        </is>
      </c>
      <c r="N13" s="5" t="inlineStr">
        <is>
          <t>6.5 %</t>
        </is>
      </c>
      <c r="O13" s="5" t="inlineStr">
        <is>
          <t>0 % (pref. CH)</t>
        </is>
      </c>
      <c r="P13" s="5" t="inlineStr">
        <is>
          <t>1+2</t>
        </is>
      </c>
      <c r="Q13" s="5" t="inlineStr">
        <is>
          <t>Švýcarský sazební kód 3920.1000 NENÍ platná podpoložka KN – pro dovoz do EU použit KN 3920 10 25. K ověření u tarifního týmu: zboží je hadicová (layflat) fólie, nikoli plochý film – alternativa 3923 21 00 (pytle a sáčky) nebo 3917 32 00 (trubky). Bez CBAM, bez antidumpingu.</t>
        </is>
      </c>
    </row>
    <row r="14" ht="96" customHeight="1">
      <c r="A14" s="5" t="inlineStr">
        <is>
          <t>Lugaia AG, Industriezone Basper 31, CH-3942 Raron (CH)</t>
        </is>
      </c>
      <c r="B14" s="5" t="inlineStr">
        <is>
          <t>3923 50 90</t>
        </is>
      </c>
      <c r="C14" s="5" t="inlineStr">
        <is>
          <t>3923509000</t>
        </is>
      </c>
      <c r="D14" s="5" t="inlineStr">
        <is>
          <t>Zátky, víčka, uzávěry lahví a jiné uzávěry, z plastů – ostatní</t>
        </is>
      </c>
      <c r="E14" s="5" t="inlineStr">
        <is>
          <t>Plastové uzávěry SafeSeal Crimp (vel. M), ochranné krytky SafeSeal (vel. M) a závěsná oka SafeSeal (vzorek)</t>
        </is>
      </c>
      <c r="F14" s="5" t="inlineStr">
        <is>
          <t>CH</t>
        </is>
      </c>
      <c r="G14" s="6" t="n">
        <v>502</v>
      </c>
      <c r="H14" s="7" t="n">
        <v>18.04</v>
      </c>
      <c r="I14" s="7" t="n">
        <v>19.47</v>
      </c>
      <c r="J14" s="7" t="n">
        <v>992</v>
      </c>
      <c r="K14" s="7" t="n">
        <v>11.38</v>
      </c>
      <c r="L14" s="7" t="n">
        <v>1003.38</v>
      </c>
      <c r="M14" s="5" t="inlineStr">
        <is>
          <t>EXW Raron</t>
        </is>
      </c>
      <c r="N14" s="5" t="inlineStr">
        <is>
          <t>6.5 %</t>
        </is>
      </c>
      <c r="O14" s="5" t="inlineStr">
        <is>
          <t>0 % (pref. CH)</t>
        </is>
      </c>
      <c r="P14" s="5" t="inlineStr">
        <is>
          <t>3+4+6</t>
        </is>
      </c>
      <c r="Q14" s="5" t="inlineStr">
        <is>
          <t>KN shodná se švýcarským kódem 3923.5090. Pozn.: závěsné oko SafeSeal (pos. 6) je příslušenstvím uzávěru, nikoli uzávěrem – striktně vzato 3926 90 97; ponecháno dle kódu vývozce (2 ks, 0,04 kg, 2 CHF). Bez CBAM, bez antidumpingu.</t>
        </is>
      </c>
    </row>
    <row r="15" ht="96" customHeight="1">
      <c r="A15" s="5" t="inlineStr">
        <is>
          <t>Lugaia AG, Industriezone Basper 31, CH-3942 Raron (CH)</t>
        </is>
      </c>
      <c r="B15" s="5" t="inlineStr">
        <is>
          <t>8203 20 90</t>
        </is>
      </c>
      <c r="C15" s="5" t="inlineStr">
        <is>
          <t>8203209000</t>
        </is>
      </c>
      <c r="D15" s="5" t="inlineStr">
        <is>
          <t>Kleště (včetně štípacích kleští), kleštičky, pinzety a podobné nástroje – ostatní</t>
        </is>
      </c>
      <c r="E15" s="5" t="inlineStr">
        <is>
          <t>Otvírák SafeSeal (vel. M) – ruční nástroj kleštového typu</t>
        </is>
      </c>
      <c r="F15" s="5" t="inlineStr">
        <is>
          <t>CH</t>
        </is>
      </c>
      <c r="G15" s="6" t="n">
        <v>1</v>
      </c>
      <c r="H15" s="7" t="n">
        <v>0.1</v>
      </c>
      <c r="I15" s="7" t="n">
        <v>0.11</v>
      </c>
      <c r="J15" s="7" t="n">
        <v>90</v>
      </c>
      <c r="K15" s="7" t="n">
        <v>1.03</v>
      </c>
      <c r="L15" s="7" t="n">
        <v>91.03</v>
      </c>
      <c r="M15" s="5" t="inlineStr">
        <is>
          <t>EXW Raron</t>
        </is>
      </c>
      <c r="N15" s="5" t="inlineStr">
        <is>
          <t>3.7 %</t>
        </is>
      </c>
      <c r="O15" s="5" t="inlineStr">
        <is>
          <t>0 % (pref. CH)</t>
        </is>
      </c>
      <c r="P15" s="5" t="inlineStr">
        <is>
          <t>5</t>
        </is>
      </c>
      <c r="Q15" s="5" t="inlineStr">
        <is>
          <t>Švýcarský kód 8203.2000; v KN je položka 8203 20 dělena na 8203 20 10 (pinzety) a 8203 20 90 (ostatní) – 8místné dělení OVĚŘIT v TARIC. Předpoklad: pracovní část z obecného kovu (pozn. 1 ke kap. 82). Antidumpingová opatření na ruční nářadí míří na původ ČLR – původ CH, neuplatní se.</t>
        </is>
      </c>
    </row>
    <row r="16">
      <c r="A16" s="8" t="inlineStr">
        <is>
          <t>CELKEM</t>
        </is>
      </c>
      <c r="B16" s="8" t="inlineStr"/>
      <c r="C16" s="8" t="inlineStr"/>
      <c r="D16" s="8" t="inlineStr"/>
      <c r="E16" s="8" t="inlineStr"/>
      <c r="F16" s="8" t="inlineStr"/>
      <c r="G16" s="9" t="n">
        <v>523</v>
      </c>
      <c r="H16" s="10" t="n">
        <v>91.73999999999999</v>
      </c>
      <c r="I16" s="10" t="n">
        <v>99</v>
      </c>
      <c r="J16" s="10" t="n">
        <v>7412</v>
      </c>
      <c r="K16" s="10" t="n">
        <v>85</v>
      </c>
      <c r="L16" s="10" t="n">
        <v>7497</v>
      </c>
      <c r="M16" s="8" t="inlineStr"/>
      <c r="N16" s="8" t="inlineStr"/>
      <c r="O16" s="8" t="inlineStr"/>
      <c r="P16" s="8" t="inlineStr">
        <is>
          <t>1–7</t>
        </is>
      </c>
      <c r="Q16" s="8" t="inlineStr"/>
    </row>
    <row r="18">
      <c r="A18" s="11" t="inlineStr">
        <is>
          <t>⚠ POLOŽKA BEZ HS KÓDU – zařazeno pravidlem „CCT/VPV KN tariff rule“</t>
        </is>
      </c>
    </row>
    <row r="19" ht="58" customHeight="1">
      <c r="A19" s="12" t="inlineStr">
        <is>
          <t>Pos. 7 „packaging“ (1 × ½ paleta 80×60×99 cm, 85,00 CHF) nemá v dokladech žádný sazební kód. Závěr: samostatný KN kód se NEPŘIDĚLUJE – dle VPV KN 5(b) se obalové materiály předkládané se zbožím zařazují spolu se zbožím; náklad na obal se dle čl. 71 odst. 1 písm. a) bodu ii) celního kodexu Unie PŘIČÍTÁ k celní hodnotě zboží. 85,00 CHF proto rozpuštěno poměrem hodnoty do položek výše (sloupec „Podíl obalu CHF“).</t>
        </is>
      </c>
    </row>
    <row r="21">
      <c r="A21" s="11" t="inlineStr">
        <is>
          <t>⚠ PREFERENČNÍ VĚTA – ANO, na faktuře (pos. 11)</t>
        </is>
      </c>
    </row>
    <row r="22" ht="58" customHeight="1">
      <c r="A22" s="12" t="inlineStr">
        <is>
          <t>„The exporter of the products covered by this document declares that, except where otherwise clearly indicated, these products are of swiss-preferential origine.“ – bez čísla povolení schváleného vývozce. Dle čl. 30 odst. 2 Regionální úmluvy PEM se limit řídí MĚNOU FAKTURY: faktura je v CHF → platí švýcarský limit 10 300 CHF (BAZG, Wertgrenzen k 1.1.2026), nikoli 6 000 EUR / 153 000 CZK. Hodnota 7 412 CHF (zboží) resp. 7 497 CHF (celkem) limit NEPŘESAHUJE → prohlášení je platné i bez čísla povolení. Námitka o překročení limitu je tedy neopodstatněná.</t>
        </is>
      </c>
    </row>
    <row r="24">
      <c r="A24" s="11" t="inlineStr">
        <is>
          <t>⚠ REX ČÍSLO – NENÍ na faktuře (a pro CH se nevyžaduje)</t>
        </is>
      </c>
    </row>
    <row r="25" ht="58" customHeight="1">
      <c r="A25" s="12" t="inlineStr">
        <is>
          <t>Na faktuře ani na dodacím listu NENÍ uvedeno žádné REX číslo. Systém REX se na švýcarský původ NEVZTAHUJE – dohoda EU–CH (PEM) pracuje s prohlášením na faktuře, u zásilek nad limit s číslem povolení „schváleného vývozce“ (ermächtigter Ausführer). To zde chybí, ale vzhledem k hodnotě pod 10 300 CHF se nevyžaduje.</t>
        </is>
      </c>
    </row>
    <row r="27">
      <c r="A27" s="11" t="inlineStr">
        <is>
          <t>⚠ ROZPOR V INCOTERMS – v FINÁLNÍCH dokladech STÁLE PŘETRVÁVÁ</t>
        </is>
      </c>
    </row>
    <row r="28" ht="58" customHeight="1">
      <c r="A28" s="12" t="inlineStr">
        <is>
          <t>Hlavička faktury i dodacího listu: „Shipping Condition: EXW Raron“. Ale pos. 7 obou finálních dokladů (16.09.2026) uvádí „DAP - CZ-74245 Fulnek“. V draftu z 10.09.2026 zde stálo „EXW - CZ-74245 Fulnek“ – tj. rozpor nebyl opraven, pouze změněn. Platí EXW Raron (potvrzeno e-mailem Lugaia 16.09.2026). Doporučeno nechat řádek opravit nebo vysvětlit.</t>
        </is>
      </c>
    </row>
    <row r="30">
      <c r="A30" s="11" t="inlineStr">
        <is>
          <t>ℹ CBAM – NEUPLATŇUJE SE</t>
        </is>
      </c>
    </row>
    <row r="31" ht="58" customHeight="1">
      <c r="A31" s="12" t="inlineStr">
        <is>
          <t>Žádný z kódů 3920 10 25 / 3923 50 90 / 8203 20 90 není v příloze I nařízení (EU) 2023/956 (plasty a ruční nářadí kap. 82 nejsou zbožím CBAM). Pozn. pro budoucí zásilky: příjemce „Brenntag Specialties Czech a.s.“ NENÍ v registru reference/CBAM_receivers_CZ.xlsx – pokud někdy poveze zboží CBAM, je nutné ho doplnit.</t>
        </is>
      </c>
    </row>
    <row r="33">
      <c r="A33" s="11" t="inlineStr">
        <is>
          <t>ℹ ANTIDUMPING – NEUPLATŇUJE SE</t>
        </is>
      </c>
    </row>
    <row r="34" ht="58" customHeight="1">
      <c r="A34" s="12" t="inlineStr">
        <is>
          <t>Původ CH. Antidumpingová opatření na ruční nářadí (kap. 82) i na plastové fólie se vztahují na jiné původy (zejm. ČLR).</t>
        </is>
      </c>
    </row>
    <row r="36">
      <c r="A36" s="11" t="inlineStr">
        <is>
          <t>ℹ OBCHODNÍ SLEVA – ŽÁDNÁ</t>
        </is>
      </c>
    </row>
    <row r="37" ht="58" customHeight="1">
      <c r="A37" s="12" t="inlineStr">
        <is>
          <t>V dokladech není uvedena žádná sleva; poměrné rozpouštění slevy se neuplatnilo. Rozpouštěn byl pouze náklad na obal (přičtení).</t>
        </is>
      </c>
    </row>
    <row r="39">
      <c r="A39" s="11" t="inlineStr">
        <is>
          <t>ℹ CELNÍ HODNOTA – EXW: DOPRAVU NUTNO PŘIČÍST</t>
        </is>
      </c>
    </row>
    <row r="40" ht="58" customHeight="1">
      <c r="A40" s="12" t="inlineStr">
        <is>
          <t>Uvedené částky jsou EXW Raron + obal. Při EXW nese dopravu kupující → dle čl. 71 celního kodexu Unie je nutné do celní hodnoty přičíst náklady dopravy a pojištění až na vnější hranici EU (fakturu dopravce Maurice Ward doplnit před podáním JSD).</t>
        </is>
      </c>
    </row>
  </sheetData>
  <mergeCells count="16">
    <mergeCell ref="A31:Q31"/>
    <mergeCell ref="A22:Q22"/>
    <mergeCell ref="A40:Q40"/>
    <mergeCell ref="A18:Q18"/>
    <mergeCell ref="A27:Q27"/>
    <mergeCell ref="A21:Q21"/>
    <mergeCell ref="A30:Q30"/>
    <mergeCell ref="A34:Q34"/>
    <mergeCell ref="A39:Q39"/>
    <mergeCell ref="A24:Q24"/>
    <mergeCell ref="A33:Q33"/>
    <mergeCell ref="A25:Q25"/>
    <mergeCell ref="A28:Q28"/>
    <mergeCell ref="A19:Q19"/>
    <mergeCell ref="A37:Q37"/>
    <mergeCell ref="A36:Q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4" customWidth="1" min="3" max="3"/>
    <col width="13" customWidth="1" min="4" max="4"/>
    <col width="14" customWidth="1" min="5" max="5"/>
    <col width="12" customWidth="1" min="6" max="6"/>
    <col width="16" customWidth="1" min="7" max="7"/>
    <col width="20" customWidth="1" min="8" max="8"/>
    <col width="52" customWidth="1" min="9" max="9"/>
  </cols>
  <sheetData>
    <row r="1" ht="32" customHeight="1">
      <c r="A1" s="4" t="inlineStr">
        <is>
          <t>Pos.</t>
        </is>
      </c>
      <c r="B1" s="4" t="inlineStr">
        <is>
          <t>Art. No.</t>
        </is>
      </c>
      <c r="C1" s="4" t="inlineStr">
        <is>
          <t>Popis (orig.)</t>
        </is>
      </c>
      <c r="D1" s="4" t="inlineStr">
        <is>
          <t>Množství (ks)</t>
        </is>
      </c>
      <c r="E1" s="4" t="inlineStr">
        <is>
          <t>Čistá hm. (kg)</t>
        </is>
      </c>
      <c r="F1" s="4" t="inlineStr">
        <is>
          <t>Cena CHF</t>
        </is>
      </c>
      <c r="G1" s="4" t="inlineStr">
        <is>
          <t>KN kód (EU)</t>
        </is>
      </c>
      <c r="H1" s="4" t="inlineStr">
        <is>
          <t>Sazební kód CH (z dokladu)</t>
        </is>
      </c>
      <c r="I1" s="4" t="inlineStr">
        <is>
          <t>Poznámka</t>
        </is>
      </c>
    </row>
    <row r="2">
      <c r="A2" s="5" t="n">
        <v>1</v>
      </c>
      <c r="B2" s="5" t="inlineStr">
        <is>
          <t>1229.50.40.80</t>
        </is>
      </c>
      <c r="C2" s="5" t="inlineStr">
        <is>
          <t>Linerunit CLS-500</t>
        </is>
      </c>
      <c r="D2" s="6" t="n">
        <v>10</v>
      </c>
      <c r="E2" s="7" t="n">
        <v>29.44</v>
      </c>
      <c r="F2" s="7" t="n">
        <v>3050</v>
      </c>
      <c r="G2" s="5" t="inlineStr">
        <is>
          <t>3920 10 25</t>
        </is>
      </c>
      <c r="H2" s="5" t="inlineStr">
        <is>
          <t>3920.1000</t>
        </is>
      </c>
      <c r="I2" s="5" t="inlineStr"/>
    </row>
    <row r="3">
      <c r="A3" s="5" t="n">
        <v>2</v>
      </c>
      <c r="B3" s="5" t="inlineStr">
        <is>
          <t>1743.60.40.80</t>
        </is>
      </c>
      <c r="C3" s="5" t="inlineStr">
        <is>
          <t>Linerunit CLS-600</t>
        </is>
      </c>
      <c r="D3" s="6" t="n">
        <v>10</v>
      </c>
      <c r="E3" s="7" t="n">
        <v>44.16</v>
      </c>
      <c r="F3" s="7" t="n">
        <v>3280</v>
      </c>
      <c r="G3" s="5" t="inlineStr">
        <is>
          <t>3920 10 25</t>
        </is>
      </c>
      <c r="H3" s="5" t="inlineStr">
        <is>
          <t>3920.1000</t>
        </is>
      </c>
      <c r="I3" s="5" t="inlineStr"/>
    </row>
    <row r="4">
      <c r="A4" s="5" t="n">
        <v>3</v>
      </c>
      <c r="B4" s="5" t="inlineStr">
        <is>
          <t>1107.0.0.2</t>
        </is>
      </c>
      <c r="C4" s="5" t="inlineStr">
        <is>
          <t>Lugaia SafeSeal Crimp (Size M)</t>
        </is>
      </c>
      <c r="D4" s="6" t="n">
        <v>400</v>
      </c>
      <c r="E4" s="7" t="n">
        <v>16</v>
      </c>
      <c r="F4" s="7" t="n">
        <v>792</v>
      </c>
      <c r="G4" s="5" t="inlineStr">
        <is>
          <t>3923 50 90</t>
        </is>
      </c>
      <c r="H4" s="5" t="inlineStr">
        <is>
          <t>3923.5090</t>
        </is>
      </c>
      <c r="I4" s="5" t="inlineStr"/>
    </row>
    <row r="5">
      <c r="A5" s="5" t="n">
        <v>4</v>
      </c>
      <c r="B5" s="5" t="inlineStr">
        <is>
          <t>1626.0.0.1</t>
        </is>
      </c>
      <c r="C5" s="5" t="inlineStr">
        <is>
          <t>Lugaia SafeSeal Protection Cap (Size M)</t>
        </is>
      </c>
      <c r="D5" s="6" t="n">
        <v>100</v>
      </c>
      <c r="E5" s="7" t="n">
        <v>2</v>
      </c>
      <c r="F5" s="7" t="n">
        <v>198</v>
      </c>
      <c r="G5" s="5" t="inlineStr">
        <is>
          <t>3923 50 90</t>
        </is>
      </c>
      <c r="H5" s="5" t="inlineStr">
        <is>
          <t>3923.5090</t>
        </is>
      </c>
      <c r="I5" s="5" t="inlineStr"/>
    </row>
    <row r="6">
      <c r="A6" s="5" t="n">
        <v>5</v>
      </c>
      <c r="B6" s="5" t="inlineStr">
        <is>
          <t>1107.0.0.3</t>
        </is>
      </c>
      <c r="C6" s="5" t="inlineStr">
        <is>
          <t>Lugaia SafeSeal Opener (Size M)</t>
        </is>
      </c>
      <c r="D6" s="6" t="n">
        <v>1</v>
      </c>
      <c r="E6" s="7" t="n">
        <v>0.1</v>
      </c>
      <c r="F6" s="7" t="n">
        <v>90</v>
      </c>
      <c r="G6" s="5" t="inlineStr">
        <is>
          <t>8203 20 90</t>
        </is>
      </c>
      <c r="H6" s="5" t="inlineStr">
        <is>
          <t>8203.2000</t>
        </is>
      </c>
      <c r="I6" s="5" t="inlineStr">
        <is>
          <t>Ověřit 8místné dělení 8203 20 10 / 90 v TARIC</t>
        </is>
      </c>
    </row>
    <row r="7">
      <c r="A7" s="5" t="n">
        <v>6</v>
      </c>
      <c r="B7" s="5" t="inlineStr">
        <is>
          <t>—</t>
        </is>
      </c>
      <c r="C7" s="5" t="inlineStr">
        <is>
          <t>Lugaia SafeSeal Suspension Lug (vzorek, free of charge)</t>
        </is>
      </c>
      <c r="D7" s="6" t="n">
        <v>2</v>
      </c>
      <c r="E7" s="7" t="n">
        <v>0.04</v>
      </c>
      <c r="F7" s="7" t="n">
        <v>2</v>
      </c>
      <c r="G7" s="5" t="inlineStr">
        <is>
          <t>3923 50 90</t>
        </is>
      </c>
      <c r="H7" s="5" t="inlineStr">
        <is>
          <t>3923.5090</t>
        </is>
      </c>
      <c r="I7" s="5" t="inlineStr">
        <is>
          <t>Vzorek zdarma – „Value for customs purposes only“; hodnota 1,00 CHF/ks se do celní hodnoty zahrnuje</t>
        </is>
      </c>
    </row>
    <row r="8">
      <c r="A8" s="13" t="n">
        <v>7</v>
      </c>
      <c r="B8" s="13" t="inlineStr">
        <is>
          <t>1000</t>
        </is>
      </c>
      <c r="C8" s="13" t="inlineStr">
        <is>
          <t>packaging – 1 × ½ paleta 80×60×99 cm (99 kg brutto celé zásilky)</t>
        </is>
      </c>
      <c r="D8" s="14" t="n">
        <v>1</v>
      </c>
      <c r="E8" s="14" t="n"/>
      <c r="F8" s="15" t="n">
        <v>85</v>
      </c>
      <c r="G8" s="13" t="inlineStr">
        <is>
          <t>bez KN – VPV 5(b)</t>
        </is>
      </c>
      <c r="H8" s="13" t="inlineStr">
        <is>
          <t>—</t>
        </is>
      </c>
      <c r="I8" s="13" t="inlineStr">
        <is>
          <t>Náklad na obal; dle čl. 71(1)(a)(ii) CKU přičten k celní hodnotě zboží a rozpuštěn poměrem hodnoty</t>
        </is>
      </c>
    </row>
    <row r="9">
      <c r="A9" s="16" t="inlineStr">
        <is>
          <t>CELKEM</t>
        </is>
      </c>
      <c r="B9" s="16" t="inlineStr"/>
      <c r="C9" s="16" t="inlineStr"/>
      <c r="D9" s="16" t="n">
        <v>523</v>
      </c>
      <c r="E9" s="17" t="n">
        <v>91.73999999999999</v>
      </c>
      <c r="F9" s="17" t="n">
        <v>7497</v>
      </c>
      <c r="G9" s="16" t="inlineStr"/>
      <c r="H9" s="16" t="inlineStr"/>
      <c r="I9" s="1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0"/>
  <sheetViews>
    <sheetView showGridLines="0"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ZÁSILKA 28511 – Lugaia AG (CH) → Brenntag Specialties Czech a.s. (CZ) – poznámky k celnímu odbavení</t>
        </is>
      </c>
    </row>
    <row r="3">
      <c r="A3" s="18">
        <f>== PODKLADY (stav 17.09.2026) ===</f>
        <v/>
      </c>
    </row>
    <row r="4" ht="15" customHeight="1">
      <c r="A4" s="12" t="inlineStr">
        <is>
          <t>✓ Delivery Note L.28511, 10.09.2026 – draft (bez hmotností a sazebních kódů)</t>
        </is>
      </c>
    </row>
    <row r="5" ht="15" customHeight="1">
      <c r="A5" s="12" t="inlineStr">
        <is>
          <t>✓ Commercial Invoice 28511, 10.09.2026 – DRAFT (vodoznak DRAFT)</t>
        </is>
      </c>
    </row>
    <row r="6" ht="30" customHeight="1">
      <c r="A6" s="12" t="inlineStr">
        <is>
          <t>✓ Shipping documents 28511 Brenntag, 16.09.2026 – FINÁLNÍ dodací list + faktura (s čistými hmotnostmi a sazebními kódy, podepsáno C. Nellen, bez vodoznaku DRAFT)</t>
        </is>
      </c>
    </row>
    <row r="7" ht="15" customHeight="1">
      <c r="A7" s="12" t="inlineStr">
        <is>
          <t>✓ E-mail Brenntag → Maurice Ward, 16.09.2026 (vyjádření dodavatele k výhradám celního deklaranta)</t>
        </is>
      </c>
    </row>
    <row r="8" ht="15" customHeight="1">
      <c r="A8" s="12" t="inlineStr">
        <is>
          <t>✓ BAZG Wertgrenzen 1.1.2026 (viersprachig) – tabulka hodnotových limitů pro preferenční prohlášení</t>
        </is>
      </c>
    </row>
    <row r="9" ht="30" customHeight="1">
      <c r="A9" s="12" t="inlineStr">
        <is>
          <t>→ Použita FINÁLNÍ verze z 16.09.2026. Draft z 10.09.2026 se liší (bez hmotností, vodoznak DRAFT, jiný zpracovatel).</t>
        </is>
      </c>
    </row>
    <row r="11">
      <c r="A11" s="18">
        <f>== ⚠ 1) PREFERENČNÍ PŮVOD – LIMIT: DODAVATEL MÁ PRAVDU, NÁMITKA JE NEOPODSTATNĚNÁ ===</f>
        <v/>
      </c>
    </row>
    <row r="12" ht="15" customHeight="1">
      <c r="A12" s="12" t="inlineStr">
        <is>
          <t>Preferenční věta JE na faktuře (pos. 11) i na dodacím listu, ale BEZ čísla povolení schváleného vývozce.</t>
        </is>
      </c>
    </row>
    <row r="13" ht="15" customHeight="1">
      <c r="A13" s="12" t="inlineStr">
        <is>
          <t>Celní deklarant namítl: hodnota ~8 000 EUR &gt; limit 6 000 EUR → prohlášení neplatné bez čísla povolení.</t>
        </is>
      </c>
    </row>
    <row r="14" ht="15" customHeight="1">
      <c r="A14" s="12" t="inlineStr">
        <is>
          <t>Lugaia odpověděla: limit v CHF je 10 300 (viz přiložená tabulka BAZG).</t>
        </is>
      </c>
    </row>
    <row r="15" ht="15" customHeight="1">
      <c r="A15" s="12" t="inlineStr"/>
    </row>
    <row r="16" ht="15" customHeight="1">
      <c r="A16" s="12" t="inlineStr">
        <is>
          <t>PRÁVNÍ ROZBOR – rozhodující je čl. 30 odst. 2 Regionální úmluvy PEM (a čl. 30 Protokolu 3 dohody EU–CH):</t>
        </is>
      </c>
    </row>
    <row r="17" ht="30" customHeight="1">
      <c r="A17" s="12" t="inlineStr">
        <is>
          <t xml:space="preserve">  „Zásilka využije výhod ... podle MĚNY, VE KTERÉ JE VYSTAVENA FAKTURA, a to ve výši stanovené dotčenou zemí.“</t>
        </is>
      </c>
    </row>
    <row r="18" ht="15" customHeight="1">
      <c r="A18" s="12" t="inlineStr">
        <is>
          <t xml:space="preserve">  Faktura 28511 je vystavena v CHF → uplatní se částka stanovená Švýcarskem = 10 300 CHF.</t>
        </is>
      </c>
    </row>
    <row r="19" ht="15" customHeight="1">
      <c r="A19" s="12" t="inlineStr">
        <is>
          <t xml:space="preserve">  Limit 6 000 EUR (resp. 153 000 CZK pro ČR v r. 2026) by platil, kdyby byla faktura v EUR (resp. v CZK).</t>
        </is>
      </c>
    </row>
    <row r="20" ht="15" customHeight="1">
      <c r="A20" s="12" t="inlineStr"/>
    </row>
    <row r="21" ht="15" customHeight="1">
      <c r="A21" s="12" t="inlineStr">
        <is>
          <t>Hodnota původního zboží: 7 412,00 CHF (pos. 1–6), celá faktura 7 497,00 CHF – OBOJÍ POD 10 300 CHF.</t>
        </is>
      </c>
    </row>
    <row r="22" ht="30" customHeight="1">
      <c r="A22" s="12" t="inlineStr">
        <is>
          <t>→ ZÁVĚR: prohlášení o původu vystavené kterýmkoli vývozcem je PLATNÉ; číslo povolení schváleného vývozce se NEVYŽADUJE.</t>
        </is>
      </c>
    </row>
    <row r="23" ht="15" customHeight="1">
      <c r="A23" s="12" t="inlineStr">
        <is>
          <t>→ Preferenční sazba 0 % místo 6,5 % (3920, 3923) a 3,7 % (8203). Úspora na cle cca 480 CHF.</t>
        </is>
      </c>
    </row>
    <row r="24" ht="15" customHeight="1">
      <c r="A24" s="12" t="inlineStr"/>
    </row>
    <row r="25" ht="15" customHeight="1">
      <c r="A25" s="12" t="inlineStr">
        <is>
          <t>ZBÝVAJÍCÍ FORMÁLNÍ VÝHRADY K ZNĚNÍ (doporučeno nechat opravit, ať nevznikne spor při odbavení):</t>
        </is>
      </c>
    </row>
    <row r="26" ht="15" customHeight="1">
      <c r="A26" s="12" t="inlineStr">
        <is>
          <t xml:space="preserve">  a) Znění má dle přílohy IV úmluvy PEM znít „...are of Switzerland preferential origin.“ – v dokladu je</t>
        </is>
      </c>
    </row>
    <row r="27" ht="15" customHeight="1">
      <c r="A27" s="12" t="inlineStr">
        <is>
          <t xml:space="preserve">     „swiss-preferential origine“ (překlep „origine“, nestandardní tvar). Formálně vadné znění.</t>
        </is>
      </c>
    </row>
    <row r="28" ht="30" customHeight="1">
      <c r="A28" s="12" t="inlineStr">
        <is>
          <t xml:space="preserve">  b) Prohlášení musí být u vývozce BEZ povolení PODEPSÁNO VLASTNÍ RUKOU a jméno podepisujícího uvedeno čitelně</t>
        </is>
      </c>
    </row>
    <row r="29" ht="30" customHeight="1">
      <c r="A29" s="12" t="inlineStr">
        <is>
          <t xml:space="preserve">     (čl. 22 odst. 7 dodatku I úmluvy PEM). Finální faktura razítko a podpis C. Nellen nese – ověřit na originále.</t>
        </is>
      </c>
    </row>
    <row r="30" ht="30" customHeight="1">
      <c r="A30" s="12" t="inlineStr">
        <is>
          <t xml:space="preserve">  c) Švýcarské vývozní celní prohlášení, na které se Lugaia odvolává, NENÍ dokladem o preferenčním původu pro dovoz do EU.</t>
        </is>
      </c>
    </row>
    <row r="31" ht="15" customHeight="1">
      <c r="A31" s="12" t="inlineStr"/>
    </row>
    <row r="32" ht="30" customHeight="1">
      <c r="A32" s="12" t="inlineStr">
        <is>
          <t>DOPORUČENÍ (nejjistější cesta): vyžádat si od Lugaia průvodní osvědčení EUR.1, potvrzené švýcarskou celní správou.</t>
        </is>
      </c>
    </row>
    <row r="33" ht="30" customHeight="1">
      <c r="A33" s="12" t="inlineStr">
        <is>
          <t xml:space="preserve">  EUR.1 lze vystavit BEZ ohledu na hodnotu zásilky i bez statusu schváleného vývozce a spor o limit tím zcela odpadá.</t>
        </is>
      </c>
    </row>
    <row r="35">
      <c r="A35" s="18">
        <f>== ⚠ 2) REX ČÍSLO ===</f>
        <v/>
      </c>
    </row>
    <row r="36" ht="15" customHeight="1">
      <c r="A36" s="12" t="inlineStr">
        <is>
          <t>NA FAKTUŘE ANI NA DODACÍM LISTU NENÍ UVEDENO ŽÁDNÉ REX ČÍSLO.</t>
        </is>
      </c>
    </row>
    <row r="37" ht="30" customHeight="1">
      <c r="A37" s="12" t="inlineStr">
        <is>
          <t>Pro švýcarský původ se REX ani nepoužívá – systém registrovaných vývozců (REX) se vztahuje na GSP a na dohody typu</t>
        </is>
      </c>
    </row>
    <row r="38" ht="30" customHeight="1">
      <c r="A38" s="12" t="inlineStr">
        <is>
          <t>EU–Japonsko, EU–Vietnam, EU–UK. Dohoda EU–CH (PEM) používá prohlášení na faktuře, u zásilek nad hodnotový limit</t>
        </is>
      </c>
    </row>
    <row r="39" ht="30" customHeight="1">
      <c r="A39" s="12" t="inlineStr">
        <is>
          <t>doplněné číslem povolení SCHVÁLENÉHO VÝVOZCE (ermächtigter Ausführer). Lugaia toto povolení NEMÁ a dle vlastního</t>
        </is>
      </c>
    </row>
    <row r="40" ht="15" customHeight="1">
      <c r="A40" s="12" t="inlineStr">
        <is>
          <t>vyjádření ho nemá v úmyslu získat. Vzhledem k hodnotě pod 10 300 CHF to této zásilce nevadí.</t>
        </is>
      </c>
    </row>
    <row r="41" ht="30" customHeight="1">
      <c r="A41" s="12" t="inlineStr">
        <is>
          <t>→ POZOR do budoucna: u zásilek Lugaia nad 10 300 CHF nebude preferenční věta bez povolení platná – tam bude EUR.1 nutné.</t>
        </is>
      </c>
    </row>
    <row r="43">
      <c r="A43" s="18">
        <f>== ⚠ 3) POLOŽKA BEZ HS KÓDU – pravidlo „CCT/VPV KN tariff rule“ ===</f>
        <v/>
      </c>
    </row>
    <row r="44" ht="30" customHeight="1">
      <c r="A44" s="12" t="inlineStr">
        <is>
          <t>Pos. 7 „packaging“, 1 ks, 85,00 CHF, 1 × ½ paleta 80×60×99 cm – v dokladech BEZ sazebního kódu a bez materiálu.</t>
        </is>
      </c>
    </row>
    <row r="45" ht="15" customHeight="1">
      <c r="A45" s="12" t="inlineStr">
        <is>
          <t>Zařazeno metodou společného celního sazebníku EU (reference/Common_Customs_Tariff_EU_CZ.pptx):</t>
        </is>
      </c>
    </row>
    <row r="46" ht="30" customHeight="1">
      <c r="A46" s="12" t="inlineStr">
        <is>
          <t xml:space="preserve">  CO TO JE?        = obal (paleta + fixace), ve kterém jsou předloženy položky 1–6; nejde o samostatně obchodované zboží.</t>
        </is>
      </c>
    </row>
    <row r="47" ht="15" customHeight="1">
      <c r="A47" s="12" t="inlineStr">
        <is>
          <t xml:space="preserve">  Z ČEHO TO JE?    = v dokladech NEUVEDENO (typicky dřevo; případně plast).</t>
        </is>
      </c>
    </row>
    <row r="48" ht="30" customHeight="1">
      <c r="A48" s="12" t="inlineStr">
        <is>
          <t xml:space="preserve">  K ČEMU SLOUŽÍ?   = ochrana a přeprava zboží položek 1–6; předloženo spolu se zbožím, nikoli k opakovanému použití.</t>
        </is>
      </c>
    </row>
    <row r="49" ht="15" customHeight="1">
      <c r="A49" s="12" t="inlineStr"/>
    </row>
    <row r="50" ht="30" customHeight="1">
      <c r="A50" s="12" t="inlineStr">
        <is>
          <t xml:space="preserve">  VPV KN 5(b): „obalové materiály a obalové schránky předkládané se zbožím v nich se zařazují spolu se zbožím, pokud</t>
        </is>
      </c>
    </row>
    <row r="51" ht="15" customHeight="1">
      <c r="A51" s="12" t="inlineStr">
        <is>
          <t xml:space="preserve">  jsou takového druhu, který se pro balení tohoto zboží obvykle používá“ → jednorázová ½ paleta toto splňuje.</t>
        </is>
      </c>
    </row>
    <row r="52" ht="30" customHeight="1">
      <c r="A52" s="12" t="inlineStr">
        <is>
          <t xml:space="preserve">  Čl. 71 odst. 1 písm. a) bod ii) celního kodexu Unie: náklady na obaly (práce i materiál) se PŘIČÍTAJÍ k celní hodnotě.</t>
        </is>
      </c>
    </row>
    <row r="53" ht="15" customHeight="1">
      <c r="A53" s="12" t="inlineStr"/>
    </row>
    <row r="54" ht="15" customHeight="1">
      <c r="A54" s="12" t="inlineStr">
        <is>
          <t>→ VÝSLEDEK: samostatný KN kód se NEPŘIDĚLUJE. 85,00 CHF rozpuštěno poměrem hodnoty do položek 1–6:</t>
        </is>
      </c>
    </row>
    <row r="55" ht="15" customHeight="1">
      <c r="A55" s="12" t="inlineStr">
        <is>
          <t xml:space="preserve">     3920 10 25 … 72,59 CHF   |   3923 50 90 … 11,38 CHF   |   8203 20 90 … 1,03 CHF   (součet 85,00 CHF)</t>
        </is>
      </c>
    </row>
    <row r="56" ht="15" customHeight="1">
      <c r="A56" s="12" t="inlineStr">
        <is>
          <t>→ Dodavatel má tedy věcně pravdu („packaging cost has no HS code“), ale nelze ji nechat mimo celní hodnotu.</t>
        </is>
      </c>
    </row>
    <row r="57" ht="15" customHeight="1">
      <c r="A57" s="12" t="inlineStr"/>
    </row>
    <row r="58" ht="30" customHeight="1">
      <c r="A58" s="12" t="inlineStr">
        <is>
          <t>VÝHRADA: pokud by šlo o paletu ZJEVNĚ VHODNOU K OPAKOVANÉMU POUŽITÍ (vratná/poolová paleta EUR, CHEP, plastová),</t>
        </is>
      </c>
    </row>
    <row r="59" ht="15" customHeight="1">
      <c r="A59" s="12" t="inlineStr">
        <is>
          <t xml:space="preserve">  VPV 5(b) závazné NENÍ a paletu by bylo nutné zařadit samostatně:  dřevěná plochá paleta → 4415 20 20,</t>
        </is>
      </c>
    </row>
    <row r="60" ht="15" customHeight="1">
      <c r="A60" s="12" t="inlineStr">
        <is>
          <t xml:space="preserve">  plastová paleta → 3923 90 00. Materiál palety v dokladech chybí – DOPORUČENO DOPTAT SE LUGAIA.</t>
        </is>
      </c>
    </row>
    <row r="62">
      <c r="A62" s="18">
        <f>== ⚠ 4) SAZEBNÍ KÓDY V DOKLADECH NEJSOU KÓDY KN (EU) ===</f>
        <v/>
      </c>
    </row>
    <row r="63" ht="15" customHeight="1">
      <c r="A63" s="12" t="inlineStr">
        <is>
          <t>Lugaia uvedla ŠVÝCARSKÉ sazební kódy. Švýcarský tarif je rovněž 8místný, ale za 6. číslicí se od KN liší:</t>
        </is>
      </c>
    </row>
    <row r="64" ht="30" customHeight="1">
      <c r="A64" s="12" t="inlineStr">
        <is>
          <t xml:space="preserve">  3920.1000 (CH)  → v KN NEEXISTUJE. Pro dovoz do EU: KN 3920 10 25 (LDPE, měrná hmotnost &lt; 0,94; tl. 80 µm ≤ 0,125 mm;</t>
        </is>
      </c>
    </row>
    <row r="65" ht="15" customHeight="1">
      <c r="A65" s="12" t="inlineStr">
        <is>
          <t xml:space="preserve">                    nepotištěná; není stretch fólie).</t>
        </is>
      </c>
    </row>
    <row r="66" ht="15" customHeight="1">
      <c r="A66" s="12" t="inlineStr">
        <is>
          <t xml:space="preserve">  3923.5090 (CH)  → KN 3923 50 90 – shodné.</t>
        </is>
      </c>
    </row>
    <row r="67" ht="30" customHeight="1">
      <c r="A67" s="12" t="inlineStr">
        <is>
          <t xml:space="preserve">  8203.2000 (CH)  → v KN je 8203 20 dále děleno; pro kleštový nástroj 8203 20 90 (8203 20 10 = pinzety). OVĚŘIT V TARIC.</t>
        </is>
      </c>
    </row>
    <row r="68" ht="15" customHeight="1">
      <c r="A68" s="12" t="inlineStr">
        <is>
          <t>→ Do JSD uvádět kódy KN/TARIC ze sloupců B a C listu „HS Summary“, NIKOLI kódy z faktury.</t>
        </is>
      </c>
    </row>
    <row r="70">
      <c r="A70" s="18">
        <f>== ⚠ 5) POCHYBNOST K ZAŘAZENÍ LINERUNITŮ (pos. 1+2) – NAVRHUJI KONZULTOVAT TARIFNÍ TÝM ===</f>
        <v/>
      </c>
    </row>
    <row r="71" ht="30" customHeight="1">
      <c r="A71" s="12" t="inlineStr">
        <is>
          <t>Zboží je HADICOVÁ (layflat) fólie z LDPE – nikoli plochý film. Na úrovni 6 míst se obě strany shodují na 3920.10,</t>
        </is>
      </c>
    </row>
    <row r="72" ht="15" customHeight="1">
      <c r="A72" s="12" t="inlineStr">
        <is>
          <t>a popis na faktuře doslova cituje znění čísla 3920, proto je jako hlavní varianta použito KN 3920 10 25.</t>
        </is>
      </c>
    </row>
    <row r="73" ht="30" customHeight="1">
      <c r="A73" s="12" t="inlineStr">
        <is>
          <t>Přicházejí však v úvahu i:  3923 21 00 (pytle a sáčky z polymerů ethylenu) – pokud by byla fólie posouzena jako</t>
        </is>
      </c>
    </row>
    <row r="74" ht="30" customHeight="1">
      <c r="A74" s="12" t="inlineStr">
        <is>
          <t>zhotovený obalový výrobek;  3917 32 00 (trubky) – pokud by byla posouzena jako hadice (pozn. 8 ke kap. 39 to však</t>
        </is>
      </c>
    </row>
    <row r="75" ht="15" customHeight="1">
      <c r="A75" s="12" t="inlineStr">
        <is>
          <t>omezuje na výrobky pro vedení plynů/kapalin, což zde neplatí).</t>
        </is>
      </c>
    </row>
    <row r="76" ht="30" customHeight="1">
      <c r="A76" s="12" t="inlineStr">
        <is>
          <t>Hodnota položky je 6 330 CHF, tj. většina zásilky – doporučuji potvrzení tarifním týmem: customs.tariff@mauriceward.com</t>
        </is>
      </c>
    </row>
    <row r="78">
      <c r="A78" s="18">
        <f>== HMOTNOSTI ===</f>
        <v/>
      </c>
    </row>
    <row r="79" ht="15" customHeight="1">
      <c r="A79" s="12" t="inlineStr">
        <is>
          <t>Čisté hmotnosti doplnila Lugaia do finální verze dokladů (16.09.2026), po položkách:</t>
        </is>
      </c>
    </row>
    <row r="80" ht="30" customHeight="1">
      <c r="A80" s="12" t="inlineStr">
        <is>
          <t xml:space="preserve">  pos. 1: 29,44 kg | pos. 2: 44,16 kg | pos. 3: 16,00 kg | pos. 4: 2,00 kg | pos. 5: 0,10 kg | pos. 6: 0,04 kg</t>
        </is>
      </c>
    </row>
    <row r="81" ht="15" customHeight="1">
      <c r="A81" s="12" t="inlineStr">
        <is>
          <t xml:space="preserve">  Čistá hmotnost celkem: 91,74 kg.</t>
        </is>
      </c>
    </row>
    <row r="82" ht="15" customHeight="1">
      <c r="A82" s="12" t="inlineStr">
        <is>
          <t>Hrubá hmotnost je v dokladech uvedena POUZE souhrnně za celou zásilku: 99,00 kg (1 × ½ paleta 80×60×99 cm).</t>
        </is>
      </c>
    </row>
    <row r="83" ht="30" customHeight="1">
      <c r="A83" s="12" t="inlineStr">
        <is>
          <t>→ Hrubá hmotnost po HS kódech není v podkladech uvedena; obalová tára 7,26 kg byla DOPOČTENA poměrem čisté hmotnosti:</t>
        </is>
      </c>
    </row>
    <row r="84" ht="15" customHeight="1">
      <c r="A84" s="12" t="inlineStr">
        <is>
          <t xml:space="preserve">     3920 10 25 … 79,42 kg  |  3923 50 90 … 19,47 kg  |  8203 20 90 … 0,11 kg   (součet 99,00 kg)</t>
        </is>
      </c>
    </row>
    <row r="85" ht="15" customHeight="1">
      <c r="A85" s="12" t="inlineStr">
        <is>
          <t xml:space="preserve">  Pokud celní úřad požaduje doložené hrubé hmotnosti po položkách, je nutné si je vyžádat od Lugaia.</t>
        </is>
      </c>
    </row>
    <row r="87">
      <c r="A87" s="18">
        <f>== INCOTERM ===</f>
        <v/>
      </c>
    </row>
    <row r="88" ht="15" customHeight="1">
      <c r="A88" s="12" t="inlineStr">
        <is>
          <t>EXW Raron (CH) – dle hlavičky faktury i dodacího listu a dle e-mailu Lugaia z 16.09.2026</t>
        </is>
      </c>
    </row>
    <row r="89" ht="15" customHeight="1">
      <c r="A89" s="12" t="inlineStr">
        <is>
          <t>(„Please find attached our final shipping documents with correct incoterm EXW“).</t>
        </is>
      </c>
    </row>
    <row r="90" ht="15" customHeight="1">
      <c r="A90" s="12" t="inlineStr">
        <is>
          <t>⚠ ROZPOR NEBYL PLNĚ ODSTRANĚN: pos. 7 finálních dokladů stále uvádí „DAP - CZ-74245 Fulnek“</t>
        </is>
      </c>
    </row>
    <row r="91" ht="15" customHeight="1">
      <c r="A91" s="12" t="inlineStr">
        <is>
          <t xml:space="preserve">   (v draftu z 10.09.2026 tam bylo „EXW - CZ-74245 Fulnek“ – rovněž nesmysl, EXW s místem určení).</t>
        </is>
      </c>
    </row>
    <row r="92" ht="15" customHeight="1">
      <c r="A92" s="12" t="inlineStr">
        <is>
          <t>→ Doporučeno vyžádat opravu řádku pos. 7, aby doklad neobsahoval dvě různé dodací podmínky.</t>
        </is>
      </c>
    </row>
    <row r="93" ht="15" customHeight="1">
      <c r="A93" s="12" t="inlineStr">
        <is>
          <t>→ Při EXW: přepravu a vývozní odbavení zajišťuje kupující (Maurice Ward); T1 a CMR vystavuje dopravce.</t>
        </is>
      </c>
    </row>
    <row r="94" ht="15" customHeight="1">
      <c r="A94" s="12" t="inlineStr">
        <is>
          <t>→ Do celní hodnoty je nutné PŘIČÍST dopravu a pojištění až na vnější hranici EU (čl. 71 CKU).</t>
        </is>
      </c>
    </row>
    <row r="96">
      <c r="A96" s="18">
        <f>== CBAM ===</f>
        <v/>
      </c>
    </row>
    <row r="97" ht="30" customHeight="1">
      <c r="A97" s="12" t="inlineStr">
        <is>
          <t>CBAM se na tuto zásilku NEVZTAHUJE. Dotčené kódy 3920 10 25, 3923 50 90 a 8203 20 90 nejsou uvedeny v příloze I</t>
        </is>
      </c>
    </row>
    <row r="98" ht="30" customHeight="1">
      <c r="A98" s="12" t="inlineStr">
        <is>
          <t>nařízení (EU) 2023/956 (cement, elektřina, hnojiva, železo a ocel, hliník, vodík). Plasty ani ruční nářadí kapitoly 82</t>
        </is>
      </c>
    </row>
    <row r="99" ht="15" customHeight="1">
      <c r="A99" s="12" t="inlineStr">
        <is>
          <t>mezi zboží CBAM nepatří. Vyhledávání příjemce v registru proto nebylo pro odbavení nutné.</t>
        </is>
      </c>
    </row>
    <row r="100" ht="15" customHeight="1">
      <c r="A100" s="12" t="inlineStr"/>
    </row>
    <row r="101" ht="15" customHeight="1">
      <c r="A101" s="12" t="inlineStr">
        <is>
          <t>⚠ POZNÁMKA PRO BUDOUCÍ ZÁSILKY: příjemce „Brenntag Specialties Czech a.s.“ (Stachovice 176, CZ-74245 Fulnek)</t>
        </is>
      </c>
    </row>
    <row r="102" ht="30" customHeight="1">
      <c r="A102" s="12" t="inlineStr">
        <is>
          <t xml:space="preserve">   NENÍ v souboru reference/CBAM_receivers_CZ.xlsx (list List1, 100 záznamů) – prověřeno podle názvu firmy i adresy.</t>
        </is>
      </c>
    </row>
    <row r="103" ht="30" customHeight="1">
      <c r="A103" s="12" t="inlineStr">
        <is>
          <t xml:space="preserve">   Pokud pro něj budeme odbavovat zboží CBAM, je nutné zjistit jeho status (Y128 / Y238 / Y137) a doplnit do registru.</t>
        </is>
      </c>
    </row>
    <row r="105">
      <c r="A105" s="18">
        <f>== ANTIDUMPING ===</f>
        <v/>
      </c>
    </row>
    <row r="106" ht="15" customHeight="1">
      <c r="A106" s="12" t="inlineStr">
        <is>
          <t>Žádná antidumpingová opatření se neuplatní. Původ zboží je CH (Švýcarsko); antidumpingová cla na ruční nářadí</t>
        </is>
      </c>
    </row>
    <row r="107" ht="30" customHeight="1">
      <c r="A107" s="12" t="inlineStr">
        <is>
          <t>i na plastové fólie se vztahují na jiné původy (zejména ČLR). Antidumping je vázán na původ, nikoli na sazební kód.</t>
        </is>
      </c>
    </row>
    <row r="109">
      <c r="A109" s="18">
        <f>== SLEVA / CELNÍ HODNOTA ===</f>
        <v/>
      </c>
    </row>
    <row r="110" ht="15" customHeight="1">
      <c r="A110" s="12" t="inlineStr">
        <is>
          <t>Obchodní sleva: v dokladech ŽÁDNÁ není uvedena – poměrné rozpouštění slevy se neuplatnilo.</t>
        </is>
      </c>
    </row>
    <row r="111" ht="15" customHeight="1">
      <c r="A111" s="12" t="inlineStr">
        <is>
          <t>Rozpouštěn byl pouze náklad na obal (85,00 CHF) – ten se naopak k celní hodnotě PŘIČÍTÁ.</t>
        </is>
      </c>
    </row>
    <row r="112" ht="30" customHeight="1">
      <c r="A112" s="12" t="inlineStr">
        <is>
          <t>Pos. 6 je vzorek zdarma s poznámkou „Value for customs purposes only!!“ (2 ks à 1,00 CHF) – hodnota se do celní hodnoty zahrnuje.</t>
        </is>
      </c>
    </row>
    <row r="113" ht="15" customHeight="1">
      <c r="A113" s="12" t="inlineStr">
        <is>
          <t>Celní hodnota na bázi EXW + obal: 7 497,00 CHF. Před podáním JSD doplnit dopravné/pojistné na hranici EU.</t>
        </is>
      </c>
    </row>
    <row r="115">
      <c r="A115" s="18">
        <f>== CO VYŽÁDAT OD DODAVATELE / CO OVĚŘIT ===</f>
        <v/>
      </c>
    </row>
    <row r="116" ht="15" customHeight="1">
      <c r="A116" s="12" t="inlineStr">
        <is>
          <t>1) EUR.1 – nejjistější řešení sporu o hodnotový limit preferenčního prohlášení (lze bez ohledu na hodnotu).</t>
        </is>
      </c>
    </row>
    <row r="117" ht="15" customHeight="1">
      <c r="A117" s="12" t="inlineStr">
        <is>
          <t>2) Oprava pos. 7: odstranit „DAP - CZ-74245 Fulnek“, aby doklad uváděl jen EXW Raron.</t>
        </is>
      </c>
    </row>
    <row r="118" ht="30" customHeight="1">
      <c r="A118" s="12" t="inlineStr">
        <is>
          <t>3) Materiál palety (dřevo / plast) a zda je vratná – rozhoduje o tom, zda platí VPV 5(b), nebo samostatné zařazení.</t>
        </is>
      </c>
    </row>
    <row r="119" ht="15" customHeight="1">
      <c r="A119" s="12" t="inlineStr">
        <is>
          <t>4) Oprava znění preferenční věty na text přílohy IV úmluvy PEM („...of Switzerland preferential origin.“).</t>
        </is>
      </c>
    </row>
    <row r="120" ht="15" customHeight="1">
      <c r="A120" s="12" t="inlineStr">
        <is>
          <t>5) Ověřit 8místné dělení 8203 20 v TARIC a potvrdit zařazení linerunitů (3920 10 25) tarifním týmem.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2026-09-17T12:16:52Z</dcterms:created>
  <dcterms:modified xmlns:dcterms="http://purl.org/dc/terms/" xmlns:xsi="http://www.w3.org/2001/XMLSchema-instance" xsi:type="dcterms:W3CDTF">2026-09-17T12:16:52Z</dcterms:modified>
</cp:coreProperties>
</file>