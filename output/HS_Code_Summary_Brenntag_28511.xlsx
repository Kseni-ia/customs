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faktury" sheetId="2" state="visible" r:id="rId2"/>
    <sheet xmlns:r="http://schemas.openxmlformats.org/officeDocument/2006/relationships" name="Obal a hmotnosti" sheetId="3" state="visible" r:id="rId3"/>
    <sheet xmlns:r="http://schemas.openxmlformats.org/officeDocument/2006/relationships" name="Dokumenty a poznámk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0"/>
    </font>
    <font>
      <sz val="10"/>
    </font>
    <font>
      <b val="1"/>
      <color rgb="00FFFFFF"/>
      <sz val="10"/>
    </font>
    <font>
      <b val="1"/>
    </font>
    <font>
      <b val="1"/>
      <color rgb="009C0006"/>
      <sz val="10"/>
    </font>
    <font>
      <b val="1"/>
      <color rgb="001F4E79"/>
      <sz val="10"/>
    </font>
    <font>
      <b val="1"/>
      <color rgb="001F4E79"/>
      <sz val="12"/>
    </font>
    <font>
      <i val="1"/>
    </font>
    <font>
      <b val="1"/>
      <color rgb="009C0006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2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4" fontId="0" fillId="2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0" fontId="6" fillId="5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  <xf numFmtId="0" fontId="8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right" vertical="top" wrapText="1"/>
    </xf>
    <xf numFmtId="4" fontId="9" fillId="5" borderId="1" applyAlignment="1" pivotButton="0" quotePrefix="0" xfId="0">
      <alignment horizontal="right" vertical="top" wrapText="1"/>
    </xf>
    <xf numFmtId="4" fontId="0" fillId="5" borderId="1" applyAlignment="1" pivotButton="0" quotePrefix="0" xfId="0">
      <alignment horizontal="right" vertical="top" wrapText="1"/>
    </xf>
    <xf numFmtId="0" fontId="5" fillId="4" borderId="1" pivotButton="0" quotePrefix="0" xfId="0"/>
    <xf numFmtId="4" fontId="5" fillId="4" borderId="1" pivotButton="0" quotePrefix="0" xfId="0"/>
    <xf numFmtId="0" fontId="4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4" customWidth="1" min="4" max="4"/>
    <col width="34" customWidth="1" min="5" max="5"/>
    <col width="9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0" customWidth="1" min="15" max="15"/>
    <col width="13" customWidth="1" min="16" max="16"/>
    <col width="11" customWidth="1" min="17" max="17"/>
    <col width="58" customWidth="1" min="18" max="18"/>
  </cols>
  <sheetData>
    <row r="1">
      <c r="A1" s="1" t="inlineStr">
        <is>
          <t>SOUHRN HS KÓDŮ – Brenntag Specialties Czech a.s., zásilka 28511</t>
        </is>
      </c>
    </row>
    <row r="3">
      <c r="A3" s="2" t="inlineStr">
        <is>
          <t>Odesílatel (sender):</t>
        </is>
      </c>
      <c r="B3" s="3" t="inlineStr">
        <is>
          <t>Lugaia AG, Industriezone Basper 31, CH-3942 Raron (CH)</t>
        </is>
      </c>
    </row>
    <row r="4">
      <c r="A4" s="2" t="inlineStr">
        <is>
          <t>Příjemce (CZ receiver):</t>
        </is>
      </c>
      <c r="B4" s="3" t="inlineStr">
        <is>
          <t>Brenntag Specialties Czech a.s., Stachovice 176, CZ-74245 Fulnek</t>
        </is>
      </c>
    </row>
    <row r="5">
      <c r="A5" s="2" t="inlineStr">
        <is>
          <t>Doklady:</t>
        </is>
      </c>
      <c r="B5" s="3" t="inlineStr">
        <is>
          <t>Commercial Invoice 28511 / Delivery Note L.28511, ze dne 16.09.2026 (finální verze)</t>
        </is>
      </c>
    </row>
    <row r="6">
      <c r="A6" s="2" t="inlineStr">
        <is>
          <t>Objednávka:</t>
        </is>
      </c>
      <c r="B6" s="3" t="inlineStr">
        <is>
          <t>OBJ-2026-00182   |   ZAZ 5339-2   |   zákazník č. 2816</t>
        </is>
      </c>
    </row>
    <row r="7">
      <c r="A7" s="2" t="inlineStr">
        <is>
          <t>Incoterm:</t>
        </is>
      </c>
      <c r="B7" s="3" t="inlineStr">
        <is>
          <t>EXW Raron</t>
        </is>
      </c>
    </row>
    <row r="8">
      <c r="A8" s="2" t="inlineStr">
        <is>
          <t>Země původu (COO):</t>
        </is>
      </c>
      <c r="B8" s="3" t="inlineStr">
        <is>
          <t>CH – Švýcarsko (všechny položky)</t>
        </is>
      </c>
    </row>
    <row r="9">
      <c r="A9" s="2" t="inlineStr">
        <is>
          <t>Měna:</t>
        </is>
      </c>
      <c r="B9" s="3" t="inlineStr">
        <is>
          <t>CHF</t>
        </is>
      </c>
    </row>
    <row r="10" ht="30" customHeight="1">
      <c r="A10" s="4" t="inlineStr">
        <is>
          <t>POČET PALET:</t>
        </is>
      </c>
      <c r="B10" s="5" t="inlineStr">
        <is>
          <t>1 (jedna) – 1 × PŮLPALETA 80 × 60 × 99 cm.  „1 x 1/2 pallet“ v dokladech znamená JEDNU paletu poloviční velikosti, NIKOLI polovinu palety ani 2 kusy.</t>
        </is>
      </c>
    </row>
    <row r="11">
      <c r="A11" s="2" t="inlineStr">
        <is>
          <t>Počet nákladových kusů:</t>
        </is>
      </c>
      <c r="B11" s="3" t="inlineStr">
        <is>
          <t>1 (paletová jednotka) – do JSD DE 6/10 = 1, druh obalu DE 6/9 „PX – paleta“ (u modulární palety 80×60 s nástavcem se používá „AF“ – ověřit v deklarantském systému)</t>
        </is>
      </c>
    </row>
    <row r="12">
      <c r="A12" s="2" t="inlineStr">
        <is>
          <t>Hrubá hmotnost celkem:</t>
        </is>
      </c>
      <c r="B12" s="3" t="inlineStr">
        <is>
          <t>99,00 kg (jediný údaj o hrubé hmotnosti v dokladech – za celou zásilku)</t>
        </is>
      </c>
    </row>
    <row r="13">
      <c r="A13" s="2" t="inlineStr">
        <is>
          <t>Čistá hmotnost celkem:</t>
        </is>
      </c>
      <c r="B13" s="3" t="inlineStr">
        <is>
          <t>91,74 kg (součet čistých hmotností položek 1–6 z finálních dokladů)</t>
        </is>
      </c>
    </row>
    <row r="14" ht="30" customHeight="1">
      <c r="A14" s="4" t="inlineStr">
        <is>
          <t>Tára (obal celkem):</t>
        </is>
      </c>
      <c r="B14" s="5" t="inlineStr">
        <is>
          <t>7,26 kg = 99,00 − 91,74 … paleta + krycí sáčky, návin, fólie, etikety</t>
        </is>
      </c>
    </row>
    <row r="16" ht="60" customHeight="1">
      <c r="A16" s="6" t="inlineStr">
        <is>
          <t>Odesílatel</t>
        </is>
      </c>
      <c r="B16" s="6" t="inlineStr">
        <is>
          <t>KN kód (8)</t>
        </is>
      </c>
      <c r="C16" s="6" t="inlineStr">
        <is>
          <t>TARIC (10)</t>
        </is>
      </c>
      <c r="D16" s="6" t="inlineStr">
        <is>
          <t>Popis zboží (CZ)</t>
        </is>
      </c>
      <c r="E16" s="6" t="inlineStr">
        <is>
          <t>Obchodní popis (orig.)</t>
        </is>
      </c>
      <c r="F16" s="6" t="inlineStr">
        <is>
          <t>Země původu</t>
        </is>
      </c>
      <c r="G16" s="6" t="inlineStr">
        <is>
          <t>Množství (ks)</t>
        </is>
      </c>
      <c r="H16" s="6" t="inlineStr">
        <is>
          <t>Čistá hmotnost (kg)</t>
        </is>
      </c>
      <c r="I16" s="6" t="inlineStr">
        <is>
          <t>Podíl táry obalu (kg)</t>
        </is>
      </c>
      <c r="J16" s="6" t="inlineStr">
        <is>
          <t>Hrubá hmotnost (kg)</t>
        </is>
      </c>
      <c r="K16" s="6" t="inlineStr">
        <is>
          <t>Hodnota zboží CHF</t>
        </is>
      </c>
      <c r="L16" s="6" t="inlineStr">
        <is>
          <t>Podíl nákladu na obal CHF</t>
        </is>
      </c>
      <c r="M16" s="6" t="inlineStr">
        <is>
          <t>Celní hodnota CHF (EXW)</t>
        </is>
      </c>
      <c r="N16" s="6" t="inlineStr">
        <is>
          <t>Incoterm</t>
        </is>
      </c>
      <c r="O16" s="6" t="inlineStr">
        <is>
          <t>Clo 3. země</t>
        </is>
      </c>
      <c r="P16" s="6" t="inlineStr">
        <is>
          <t>Clo s pref. CH</t>
        </is>
      </c>
      <c r="Q16" s="6" t="inlineStr">
        <is>
          <t>Pozice na faktuře</t>
        </is>
      </c>
      <c r="R16" s="6" t="inlineStr">
        <is>
          <t>Příznak / poznámka</t>
        </is>
      </c>
    </row>
    <row r="17" ht="104" customHeight="1">
      <c r="A17" s="7" t="inlineStr">
        <is>
          <t>Lugaia AG, Industriezone Basper 31, CH-3942 Raron (CH)</t>
        </is>
      </c>
      <c r="B17" s="7" t="inlineStr">
        <is>
          <t>3920 10 25</t>
        </is>
      </c>
      <c r="C17" s="7" t="inlineStr">
        <is>
          <t>3920102500</t>
        </is>
      </c>
      <c r="D17" s="7" t="inlineStr">
        <is>
          <t>Desky, listy, fólie, filmy a pásy z plastů, nelehčené a nevyztužené, nelaminované, nezesílené ani jinak nekombinované s jinými materiály – z polymerů ethylenu, o tloušťce nepřesahující 0,125 mm, o měrné hmotnosti nižší než 0,94, nepotištěné, ostatní</t>
        </is>
      </c>
      <c r="E17" s="7" t="inlineStr">
        <is>
          <t>Hadicová (layflat) fólie z LDPE, antistatická, tl. 80 µm, plochá šířka 500 / 600 mm – linerunity CLS-500 a CLS-600</t>
        </is>
      </c>
      <c r="F17" s="7" t="inlineStr">
        <is>
          <t>CH</t>
        </is>
      </c>
      <c r="G17" s="8" t="n">
        <v>20</v>
      </c>
      <c r="H17" s="9" t="n">
        <v>73.59999999999999</v>
      </c>
      <c r="I17" s="10" t="n">
        <v>5.82</v>
      </c>
      <c r="J17" s="9" t="n">
        <v>79.42</v>
      </c>
      <c r="K17" s="9" t="n">
        <v>6330</v>
      </c>
      <c r="L17" s="10" t="n">
        <v>72.59</v>
      </c>
      <c r="M17" s="9" t="n">
        <v>6402.59</v>
      </c>
      <c r="N17" s="7" t="inlineStr">
        <is>
          <t>EXW Raron</t>
        </is>
      </c>
      <c r="O17" s="7" t="inlineStr">
        <is>
          <t>6.5 %</t>
        </is>
      </c>
      <c r="P17" s="7" t="inlineStr">
        <is>
          <t>0 % (pref. CH)</t>
        </is>
      </c>
      <c r="Q17" s="7" t="inlineStr">
        <is>
          <t>1+2</t>
        </is>
      </c>
      <c r="R17" s="7" t="inlineStr">
        <is>
          <t>Švýcarský kód 3920.1000 NENÍ platná podpoložka KN – pro dovoz do EU použit KN 3920 10 25. K ověření tarifním týmem: jde o hadicovou (layflat) fólii, nikoli plochý film – alternativy 3923 21 00 (pytle a sáčky) nebo 3917 32 00 (trubky). Bez CBAM, bez antidumpingu.</t>
        </is>
      </c>
    </row>
    <row r="18" ht="104" customHeight="1">
      <c r="A18" s="7" t="inlineStr">
        <is>
          <t>Lugaia AG, Industriezone Basper 31, CH-3942 Raron (CH)</t>
        </is>
      </c>
      <c r="B18" s="7" t="inlineStr">
        <is>
          <t>3923 50 90</t>
        </is>
      </c>
      <c r="C18" s="7" t="inlineStr">
        <is>
          <t>3923509000</t>
        </is>
      </c>
      <c r="D18" s="7" t="inlineStr">
        <is>
          <t>Zátky, víčka, uzávěry lahví a jiné uzávěry, z plastů – ostatní</t>
        </is>
      </c>
      <c r="E18" s="7" t="inlineStr">
        <is>
          <t>Plastové uzávěry SafeSeal Crimp (vel. M), ochranné krytky SafeSeal (vel. M) a závěsná oka SafeSeal (vzorek)</t>
        </is>
      </c>
      <c r="F18" s="7" t="inlineStr">
        <is>
          <t>CH</t>
        </is>
      </c>
      <c r="G18" s="8" t="n">
        <v>502</v>
      </c>
      <c r="H18" s="9" t="n">
        <v>18.04</v>
      </c>
      <c r="I18" s="10" t="n">
        <v>1.43</v>
      </c>
      <c r="J18" s="9" t="n">
        <v>19.47</v>
      </c>
      <c r="K18" s="9" t="n">
        <v>992</v>
      </c>
      <c r="L18" s="10" t="n">
        <v>11.38</v>
      </c>
      <c r="M18" s="9" t="n">
        <v>1003.38</v>
      </c>
      <c r="N18" s="7" t="inlineStr">
        <is>
          <t>EXW Raron</t>
        </is>
      </c>
      <c r="O18" s="7" t="inlineStr">
        <is>
          <t>6.5 %</t>
        </is>
      </c>
      <c r="P18" s="7" t="inlineStr">
        <is>
          <t>0 % (pref. CH)</t>
        </is>
      </c>
      <c r="Q18" s="7" t="inlineStr">
        <is>
          <t>3+4+6</t>
        </is>
      </c>
      <c r="R18" s="7" t="inlineStr">
        <is>
          <t>KN shodná se švýcarským kódem 3923.5090. Závěsné oko SafeSeal (pos. 6) je příslušenstvím uzávěru, nikoli uzávěrem – striktně vzato 3926 90 97; ponecháno dle kódu vývozce (2 ks, 0,04 kg, 2 CHF). Bez CBAM, bez antidumpingu.</t>
        </is>
      </c>
    </row>
    <row r="19" ht="104" customHeight="1">
      <c r="A19" s="7" t="inlineStr">
        <is>
          <t>Lugaia AG, Industriezone Basper 31, CH-3942 Raron (CH)</t>
        </is>
      </c>
      <c r="B19" s="7" t="inlineStr">
        <is>
          <t>8203 20 90</t>
        </is>
      </c>
      <c r="C19" s="7" t="inlineStr">
        <is>
          <t>8203209000</t>
        </is>
      </c>
      <c r="D19" s="7" t="inlineStr">
        <is>
          <t>Kleště (včetně štípacích kleští), kleštičky, pinzety a podobné nástroje – ostatní</t>
        </is>
      </c>
      <c r="E19" s="7" t="inlineStr">
        <is>
          <t>Otvírák SafeSeal (vel. M) – ruční nástroj kleštového typu</t>
        </is>
      </c>
      <c r="F19" s="7" t="inlineStr">
        <is>
          <t>CH</t>
        </is>
      </c>
      <c r="G19" s="8" t="n">
        <v>1</v>
      </c>
      <c r="H19" s="9" t="n">
        <v>0.1</v>
      </c>
      <c r="I19" s="10" t="n">
        <v>0.01</v>
      </c>
      <c r="J19" s="9" t="n">
        <v>0.11</v>
      </c>
      <c r="K19" s="9" t="n">
        <v>90</v>
      </c>
      <c r="L19" s="10" t="n">
        <v>1.03</v>
      </c>
      <c r="M19" s="9" t="n">
        <v>91.03</v>
      </c>
      <c r="N19" s="7" t="inlineStr">
        <is>
          <t>EXW Raron</t>
        </is>
      </c>
      <c r="O19" s="7" t="inlineStr">
        <is>
          <t>3.7 %</t>
        </is>
      </c>
      <c r="P19" s="7" t="inlineStr">
        <is>
          <t>0 % (pref. CH)</t>
        </is>
      </c>
      <c r="Q19" s="7" t="inlineStr">
        <is>
          <t>5</t>
        </is>
      </c>
      <c r="R19" s="7" t="inlineStr">
        <is>
          <t>Švýcarský kód 8203.2000; v KN je 8203 20 děleno na 8203 20 10 (pinzety) a 8203 20 90 (ostatní) – 8místné dělení OVĚŘIT v TARIC. Předpoklad: pracovní část z obecného kovu (pozn. 1 ke kap. 82). Antidumping na ruční nářadí míří na původ ČLR – zde CH, neuplatní se.</t>
        </is>
      </c>
    </row>
    <row r="20">
      <c r="A20" s="11" t="inlineStr">
        <is>
          <t>CELKEM (položky 1–6)</t>
        </is>
      </c>
      <c r="B20" s="11" t="inlineStr"/>
      <c r="C20" s="11" t="inlineStr"/>
      <c r="D20" s="11" t="inlineStr"/>
      <c r="E20" s="11" t="inlineStr"/>
      <c r="F20" s="11" t="inlineStr"/>
      <c r="G20" s="12" t="n">
        <v>523</v>
      </c>
      <c r="H20" s="13" t="n">
        <v>91.73999999999999</v>
      </c>
      <c r="I20" s="13" t="n">
        <v>7.26</v>
      </c>
      <c r="J20" s="13" t="n">
        <v>99</v>
      </c>
      <c r="K20" s="13" t="n">
        <v>7412</v>
      </c>
      <c r="L20" s="13" t="n">
        <v>85</v>
      </c>
      <c r="M20" s="13" t="n">
        <v>7497</v>
      </c>
      <c r="N20" s="11" t="inlineStr"/>
      <c r="O20" s="11" t="inlineStr"/>
      <c r="P20" s="11" t="inlineStr"/>
      <c r="Q20" s="11" t="inlineStr">
        <is>
          <t>1–7</t>
        </is>
      </c>
      <c r="R20" s="11" t="inlineStr"/>
    </row>
    <row r="22">
      <c r="A22" s="14" t="inlineStr">
        <is>
          <t>⚠ POLOŽKA 7 „packaging“ – BEZ HS KÓDU, ROZPUŠTĚNA DO OSTATNÍCH POLOŽEK (pravidlo „CCT/VPV KN tariff rule“)</t>
        </is>
      </c>
    </row>
    <row r="23" ht="60" customHeight="1">
      <c r="A23" s="15" t="inlineStr">
        <is>
          <t>Pos. 7 (1 × půlpaleta 80×60×99 cm, 85,00 CHF) nemá v dokladech sazební kód. Zařazení: samostatný KN kód se NEPŘIDĚLUJE – dle VPV KN 5(b) se obalové materiály předkládané se zbožím zařazují SPOLU SE ZBOŽÍM. Rozpouští se proto DVĚ veličiny, každá jiným klíčem:  (1) HMOTNOST obalu – tára 7,26 kg – poměrem ČISTÉ HMOTNOSTI → sloupec „Podíl táry obalu (kg)“;  (2) NÁKLAD na obal – 85,00 CHF – poměrem HODNOTY, dle čl. 71 odst. 1 písm. a) bodu ii) celního kodexu Unie → sloupec „Podíl nákladu na obal CHF“.  Kontrolní součty: 5,82 + 1,43 + 0,01 = 7,26 kg a 72,59 + 11,38 + 1,03 = 85,00 CHF.</t>
        </is>
      </c>
    </row>
    <row r="25">
      <c r="A25" s="14" t="inlineStr">
        <is>
          <t>⚠ HMOTNOSTI – hrubá hmotnost po HS kódech NENÍ v dokladech; je DOPOČTENA</t>
        </is>
      </c>
    </row>
    <row r="26" ht="75" customHeight="1">
      <c r="A26" s="15" t="inlineStr">
        <is>
          <t>Doklady uvádějí čisté hmotnosti po položkách (pos. 1: 29,44 | 2: 44,16 | 3: 16,00 | 4: 2,00 | 5: 0,10 | 6: 0,04 kg), ale hrubou hmotnost POUZE souhrnně za celou zásilku: 99,00 kg. Tára 7,26 kg proto byla rozpočtena poměrem čisté hmotnosti. UPOZORNĚNÍ NA NESROVNALOST: 7,26 kg je na obal MÁLO – samotná dřevěná půlpaleta 80×60 váží zhruba 9–10 kg, a tára má navíc pokrýt i krycí sáčky, náviny, stretch fólii a etikety. Buď jde o lehkou plastovou/lisovanou paletu (4–7 kg), nebo je údaj 99 kg zaokrouhlený či odhadnutý. DOPORUČENO ověřit u Lugaia skutečnou hrubou hmotnost a hmotnost palety – pokud celní úřad požaduje doložené hrubé hmotnosti po položkách, je nutné si je vyžádat.</t>
        </is>
      </c>
    </row>
    <row r="28">
      <c r="A28" s="14" t="inlineStr">
        <is>
          <t>⚠ POČET PALET = 1 (jedna půlpaleta). Pozor na čtení dokladu</t>
        </is>
      </c>
    </row>
    <row r="29" ht="45" customHeight="1">
      <c r="A29" s="15" t="inlineStr">
        <is>
          <t>V dokladech stojí „1 x 1/2 pallet 80x60x99cm - 99Kg.“ Zlomek „1/2“ označuje VELIKOST palety (půlpaleta, půdorys 80 × 60 cm – tzv. düsseldorfská paleta), nikoli počet. V zásilce je tedy JEDNA paleta a JEDEN nákladový kus, hrubá hmotnost 99 kg. Nejde o polovinu palety ani o dvě palety. Do JSD: počet kusů 1, druh obalu „PX – paleta“ (ověřit, zda systém nevyžaduje kód „AF“ pro modulární paletu 80×60 s nástavcem).</t>
        </is>
      </c>
    </row>
    <row r="31">
      <c r="A31" s="14" t="inlineStr">
        <is>
          <t>ℹ CELNÍ HODNOTA – EXW: DOPRAVU NUTNO PŘIČÍST</t>
        </is>
      </c>
    </row>
    <row r="32" ht="30" customHeight="1">
      <c r="A32" s="15" t="inlineStr">
        <is>
          <t>Uvedené částky jsou EXW Raron + obal (7 497,00 CHF). Při EXW nese dopravu kupující → dle čl. 71 celního kodexu Unie je nutné do celní hodnoty přičíst náklady dopravy a pojištění až na vnější hranici EU (fakturu dopravce Maurice Ward doplnit před podáním JSD).</t>
        </is>
      </c>
    </row>
    <row r="34">
      <c r="A34" s="16" t="inlineStr">
        <is>
          <t>ℹ CBAM a ANTIDUMPING – NEUPLATŇUJÍ SE</t>
        </is>
      </c>
    </row>
    <row r="35" ht="45" customHeight="1">
      <c r="A35" s="15" t="inlineStr">
        <is>
          <t>Žádný z kódů 3920 10 25 / 3923 50 90 / 8203 20 90 není v příloze I nařízení (EU) 2023/956 → CBAM se nevztahuje. Antidumpingová opatření jsou vázána na původ; původ zboží je CH → neuplatní se. Pozn. pro budoucí zásilky: příjemce Brenntag Specialties Czech a.s. NENÍ v registru reference/CBAM_receivers_CZ.xlsx.</t>
        </is>
      </c>
    </row>
  </sheetData>
  <mergeCells count="22">
    <mergeCell ref="A25:R25"/>
    <mergeCell ref="B7:I7"/>
    <mergeCell ref="B3:I3"/>
    <mergeCell ref="B12:I12"/>
    <mergeCell ref="A26:R26"/>
    <mergeCell ref="B11:I11"/>
    <mergeCell ref="A32:R32"/>
    <mergeCell ref="B14:I14"/>
    <mergeCell ref="A23:R23"/>
    <mergeCell ref="B8:I8"/>
    <mergeCell ref="A22:R22"/>
    <mergeCell ref="A35:R35"/>
    <mergeCell ref="B13:I13"/>
    <mergeCell ref="A29:R29"/>
    <mergeCell ref="A28:R28"/>
    <mergeCell ref="B10:I10"/>
    <mergeCell ref="A31:R31"/>
    <mergeCell ref="A34:R34"/>
    <mergeCell ref="B9:I9"/>
    <mergeCell ref="B6:I6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13" customWidth="1" min="4" max="4"/>
    <col width="14" customWidth="1" min="5" max="5"/>
    <col width="12" customWidth="1" min="6" max="6"/>
    <col width="16" customWidth="1" min="7" max="7"/>
    <col width="20" customWidth="1" min="8" max="8"/>
    <col width="58" customWidth="1" min="9" max="9"/>
  </cols>
  <sheetData>
    <row r="1">
      <c r="A1" s="17" t="inlineStr">
        <is>
          <t>ROZPAD POLOŽEK FAKTURY 28511 A JEJICH ZAŘAZENÍ</t>
        </is>
      </c>
    </row>
    <row r="3" ht="32" customHeight="1">
      <c r="A3" s="6" t="inlineStr">
        <is>
          <t>Pos.</t>
        </is>
      </c>
      <c r="B3" s="6" t="inlineStr">
        <is>
          <t>Art. No.</t>
        </is>
      </c>
      <c r="C3" s="6" t="inlineStr">
        <is>
          <t>Popis (orig.)</t>
        </is>
      </c>
      <c r="D3" s="6" t="inlineStr">
        <is>
          <t>Množství (ks)</t>
        </is>
      </c>
      <c r="E3" s="6" t="inlineStr">
        <is>
          <t>Čistá hm. (kg)</t>
        </is>
      </c>
      <c r="F3" s="6" t="inlineStr">
        <is>
          <t>Cena CHF</t>
        </is>
      </c>
      <c r="G3" s="6" t="inlineStr">
        <is>
          <t>KN kód (EU)</t>
        </is>
      </c>
      <c r="H3" s="6" t="inlineStr">
        <is>
          <t>Sazební kód CH (z dokladu)</t>
        </is>
      </c>
      <c r="I3" s="6" t="inlineStr">
        <is>
          <t>Poznámka</t>
        </is>
      </c>
    </row>
    <row r="4">
      <c r="A4" s="7" t="n">
        <v>1</v>
      </c>
      <c r="B4" s="7" t="inlineStr">
        <is>
          <t>1229.50.40.80</t>
        </is>
      </c>
      <c r="C4" s="7" t="inlineStr">
        <is>
          <t>Linerunit CLS-500</t>
        </is>
      </c>
      <c r="D4" s="8" t="n">
        <v>10</v>
      </c>
      <c r="E4" s="9" t="n">
        <v>29.44</v>
      </c>
      <c r="F4" s="9" t="n">
        <v>3050</v>
      </c>
      <c r="G4" s="7" t="inlineStr">
        <is>
          <t>3920 10 25</t>
        </is>
      </c>
      <c r="H4" s="7" t="inlineStr">
        <is>
          <t>3920.1000</t>
        </is>
      </c>
      <c r="I4" s="7" t="inlineStr"/>
    </row>
    <row r="5">
      <c r="A5" s="7" t="n">
        <v>2</v>
      </c>
      <c r="B5" s="7" t="inlineStr">
        <is>
          <t>1743.60.40.80</t>
        </is>
      </c>
      <c r="C5" s="7" t="inlineStr">
        <is>
          <t>Linerunit CLS-600</t>
        </is>
      </c>
      <c r="D5" s="8" t="n">
        <v>10</v>
      </c>
      <c r="E5" s="9" t="n">
        <v>44.16</v>
      </c>
      <c r="F5" s="9" t="n">
        <v>3280</v>
      </c>
      <c r="G5" s="7" t="inlineStr">
        <is>
          <t>3920 10 25</t>
        </is>
      </c>
      <c r="H5" s="7" t="inlineStr">
        <is>
          <t>3920.1000</t>
        </is>
      </c>
      <c r="I5" s="7" t="inlineStr"/>
    </row>
    <row r="6">
      <c r="A6" s="7" t="n">
        <v>3</v>
      </c>
      <c r="B6" s="7" t="inlineStr">
        <is>
          <t>1107.0.0.2</t>
        </is>
      </c>
      <c r="C6" s="7" t="inlineStr">
        <is>
          <t>Lugaia SafeSeal Crimp (Size M)</t>
        </is>
      </c>
      <c r="D6" s="8" t="n">
        <v>400</v>
      </c>
      <c r="E6" s="9" t="n">
        <v>16</v>
      </c>
      <c r="F6" s="9" t="n">
        <v>792</v>
      </c>
      <c r="G6" s="7" t="inlineStr">
        <is>
          <t>3923 50 90</t>
        </is>
      </c>
      <c r="H6" s="7" t="inlineStr">
        <is>
          <t>3923.5090</t>
        </is>
      </c>
      <c r="I6" s="7" t="inlineStr"/>
    </row>
    <row r="7">
      <c r="A7" s="7" t="n">
        <v>4</v>
      </c>
      <c r="B7" s="7" t="inlineStr">
        <is>
          <t>1626.0.0.1</t>
        </is>
      </c>
      <c r="C7" s="7" t="inlineStr">
        <is>
          <t>Lugaia SafeSeal Protection Cap (Size M)</t>
        </is>
      </c>
      <c r="D7" s="8" t="n">
        <v>100</v>
      </c>
      <c r="E7" s="9" t="n">
        <v>2</v>
      </c>
      <c r="F7" s="9" t="n">
        <v>198</v>
      </c>
      <c r="G7" s="7" t="inlineStr">
        <is>
          <t>3923 50 90</t>
        </is>
      </c>
      <c r="H7" s="7" t="inlineStr">
        <is>
          <t>3923.5090</t>
        </is>
      </c>
      <c r="I7" s="7" t="inlineStr"/>
    </row>
    <row r="8">
      <c r="A8" s="7" t="n">
        <v>5</v>
      </c>
      <c r="B8" s="7" t="inlineStr">
        <is>
          <t>1107.0.0.3</t>
        </is>
      </c>
      <c r="C8" s="7" t="inlineStr">
        <is>
          <t>Lugaia SafeSeal Opener (Size M)</t>
        </is>
      </c>
      <c r="D8" s="8" t="n">
        <v>1</v>
      </c>
      <c r="E8" s="9" t="n">
        <v>0.1</v>
      </c>
      <c r="F8" s="9" t="n">
        <v>90</v>
      </c>
      <c r="G8" s="7" t="inlineStr">
        <is>
          <t>8203 20 90</t>
        </is>
      </c>
      <c r="H8" s="7" t="inlineStr">
        <is>
          <t>8203.2000</t>
        </is>
      </c>
      <c r="I8" s="7" t="inlineStr">
        <is>
          <t>Ověřit 8místné dělení 8203 20 10 / 90 v TARIC</t>
        </is>
      </c>
    </row>
    <row r="9">
      <c r="A9" s="7" t="n">
        <v>6</v>
      </c>
      <c r="B9" s="7" t="inlineStr">
        <is>
          <t>—</t>
        </is>
      </c>
      <c r="C9" s="7" t="inlineStr">
        <is>
          <t>Lugaia SafeSeal Suspension Lug (vzorek, free of charge)</t>
        </is>
      </c>
      <c r="D9" s="8" t="n">
        <v>2</v>
      </c>
      <c r="E9" s="9" t="n">
        <v>0.04</v>
      </c>
      <c r="F9" s="9" t="n">
        <v>2</v>
      </c>
      <c r="G9" s="7" t="inlineStr">
        <is>
          <t>3923 50 90</t>
        </is>
      </c>
      <c r="H9" s="7" t="inlineStr">
        <is>
          <t>3923.5090</t>
        </is>
      </c>
      <c r="I9" s="7" t="inlineStr">
        <is>
          <t>Vzorek zdarma – „Value for customs purposes only“; hodnota 1,00 CHF/ks se do celní hodnoty zahrnuje</t>
        </is>
      </c>
    </row>
    <row r="10" ht="46" customHeight="1">
      <c r="A10" s="18" t="n">
        <v>7</v>
      </c>
      <c r="B10" s="18" t="inlineStr">
        <is>
          <t>1000</t>
        </is>
      </c>
      <c r="C10" s="18" t="inlineStr">
        <is>
          <t>packaging – 1 × PŮLPALETA 80×60×99 cm (1 paleta, 1 nákladový kus)</t>
        </is>
      </c>
      <c r="D10" s="19" t="n">
        <v>1</v>
      </c>
      <c r="E10" s="20" t="n">
        <v>7.26</v>
      </c>
      <c r="F10" s="21" t="n">
        <v>85</v>
      </c>
      <c r="G10" s="18" t="inlineStr">
        <is>
          <t>BEZ KN – VPV 5(b)</t>
        </is>
      </c>
      <c r="H10" s="18" t="inlineStr">
        <is>
          <t>—</t>
        </is>
      </c>
      <c r="I10" s="18" t="inlineStr">
        <is>
          <t>Obal se samostatně nezařazuje. Hmotnost (tára 7,26 kg) rozpuštěna poměrem čisté hmotnosti; náklad 85,00 CHF rozpuštěn poměrem hodnoty (čl. 71(1)(a)(ii) CKU). Materiál palety v dokladech NEUVEDEN.</t>
        </is>
      </c>
    </row>
    <row r="11">
      <c r="A11" s="22" t="inlineStr">
        <is>
          <t>CELKEM</t>
        </is>
      </c>
      <c r="B11" s="22" t="inlineStr"/>
      <c r="C11" s="22" t="inlineStr"/>
      <c r="D11" s="22" t="n">
        <v>523</v>
      </c>
      <c r="E11" s="23" t="n">
        <v>99</v>
      </c>
      <c r="F11" s="23" t="n">
        <v>7497</v>
      </c>
      <c r="G11" s="22" t="inlineStr"/>
      <c r="H11" s="22" t="inlineStr"/>
      <c r="I11" s="22" t="inlineStr">
        <is>
          <t>Hmotnost: 91,74 kg netto + 7,26 kg tára = 99,00 kg brutto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  <col width="20" customWidth="1" min="7" max="7"/>
    <col width="18" customWidth="1" min="8" max="8"/>
    <col width="20" customWidth="1" min="9" max="9"/>
  </cols>
  <sheetData>
    <row r="1">
      <c r="A1" s="17" t="inlineStr">
        <is>
          <t>OBAL, PALETY A HMOTNOSTI – zásilka 28511</t>
        </is>
      </c>
    </row>
    <row r="3">
      <c r="A3" s="24" t="inlineStr">
        <is>
          <t>ÚDAJ</t>
        </is>
      </c>
      <c r="B3" s="24" t="inlineStr">
        <is>
          <t>HODNOTA</t>
        </is>
      </c>
      <c r="C3" s="24" t="inlineStr">
        <is>
          <t>ZDROJ / POZNÁMKA</t>
        </is>
      </c>
    </row>
    <row r="4">
      <c r="A4" s="7" t="inlineStr">
        <is>
          <t>Počet palet</t>
        </is>
      </c>
      <c r="B4" s="8" t="n">
        <v>1</v>
      </c>
      <c r="C4" s="7" t="inlineStr">
        <is>
          <t>„1 x 1/2 pallet 80x60x99cm“ – jedna paleta poloviční velikosti</t>
        </is>
      </c>
    </row>
    <row r="5">
      <c r="A5" s="7" t="inlineStr">
        <is>
          <t>Rozměr palety</t>
        </is>
      </c>
      <c r="B5" s="8" t="inlineStr">
        <is>
          <t>80 × 60 × 99 cm</t>
        </is>
      </c>
      <c r="C5" s="7" t="inlineStr">
        <is>
          <t>půlpaleta (düsseldorfská), výška 99 cm i se zbožím</t>
        </is>
      </c>
    </row>
    <row r="6">
      <c r="A6" s="7" t="inlineStr">
        <is>
          <t>Počet nákladových kusů</t>
        </is>
      </c>
      <c r="B6" s="8" t="n">
        <v>1</v>
      </c>
      <c r="C6" s="7" t="inlineStr">
        <is>
          <t>paletová jednotka – JSD DE 6/10 = 1; druh obalu DE 6/9 „PX“ (ověřit „AF“)</t>
        </is>
      </c>
    </row>
    <row r="7">
      <c r="A7" s="18" t="inlineStr">
        <is>
          <t>Materiál palety</t>
        </is>
      </c>
      <c r="B7" s="19" t="inlineStr">
        <is>
          <t>NEUVEDEN</t>
        </is>
      </c>
      <c r="C7" s="18" t="inlineStr">
        <is>
          <t>⚠ chybí v dokladech – rozhoduje o VPV 5(b) i o plausibilitě táry</t>
        </is>
      </c>
    </row>
    <row r="8">
      <c r="A8" s="18" t="inlineStr">
        <is>
          <t>Vratná / jednorázová?</t>
        </is>
      </c>
      <c r="B8" s="19" t="inlineStr">
        <is>
          <t>NEUVEDENO</t>
        </is>
      </c>
      <c r="C8" s="18" t="inlineStr">
        <is>
          <t>⚠ pokud vratná/poolová → VPV 5(b) neplatí, paletu zařadit samostatně</t>
        </is>
      </c>
    </row>
    <row r="9">
      <c r="A9" s="7" t="inlineStr">
        <is>
          <t>Hrubá hmotnost celkem (kg)</t>
        </is>
      </c>
      <c r="B9" s="9" t="n">
        <v>99</v>
      </c>
      <c r="C9" s="7" t="inlineStr">
        <is>
          <t>jediný údaj o hrubé hmotnosti v dokladech</t>
        </is>
      </c>
    </row>
    <row r="10">
      <c r="A10" s="7" t="inlineStr">
        <is>
          <t>Čistá hmotnost celkem (kg)</t>
        </is>
      </c>
      <c r="B10" s="9" t="n">
        <v>91.73999999999999</v>
      </c>
      <c r="C10" s="7" t="inlineStr">
        <is>
          <t>součet pos. 1–6 z finálních dokladů z 16.09.2026</t>
        </is>
      </c>
    </row>
    <row r="11">
      <c r="A11" s="18" t="inlineStr">
        <is>
          <t>Tára = obal celkem (kg)</t>
        </is>
      </c>
      <c r="B11" s="21" t="n">
        <v>7.26</v>
      </c>
      <c r="C11" s="18" t="inlineStr">
        <is>
          <t>⚠ dopočet 99,00 − 91,74; na dřevěnou půlpaletu (9–10 kg) je to málo</t>
        </is>
      </c>
    </row>
    <row r="12">
      <c r="A12" s="7" t="inlineStr">
        <is>
          <t>Náklad na obal (CHF)</t>
        </is>
      </c>
      <c r="B12" s="9" t="n">
        <v>85</v>
      </c>
      <c r="C12" s="7" t="inlineStr">
        <is>
          <t>pos. 7 faktury – přičítá se k celní hodnotě dle čl. 71(1)(a)(ii) CKU</t>
        </is>
      </c>
    </row>
    <row r="14">
      <c r="A14" s="25" t="inlineStr">
        <is>
          <t>ROZPUŠTĚNÍ OBALU DO POLOŽEK – dva různé klíče</t>
        </is>
      </c>
    </row>
    <row r="15">
      <c r="A15" s="6" t="inlineStr">
        <is>
          <t>KN kód</t>
        </is>
      </c>
      <c r="B15" s="6" t="inlineStr">
        <is>
          <t>Čistá hm. (kg)</t>
        </is>
      </c>
      <c r="C15" s="6" t="inlineStr">
        <is>
          <t>klíč: podíl na čisté hm.</t>
        </is>
      </c>
      <c r="D15" s="6" t="inlineStr">
        <is>
          <t>Podíl táry (kg)</t>
        </is>
      </c>
      <c r="E15" s="6" t="inlineStr">
        <is>
          <t>Hrubá hm. (kg)</t>
        </is>
      </c>
      <c r="F15" s="6" t="inlineStr">
        <is>
          <t>Hodnota (CHF)</t>
        </is>
      </c>
      <c r="G15" s="6" t="inlineStr">
        <is>
          <t>klíč: podíl na hodnotě</t>
        </is>
      </c>
      <c r="H15" s="6" t="inlineStr">
        <is>
          <t>Podíl obalu (CHF)</t>
        </is>
      </c>
      <c r="I15" s="6" t="inlineStr">
        <is>
          <t>Celní hodnota (CHF)</t>
        </is>
      </c>
    </row>
    <row r="16">
      <c r="A16" s="26" t="inlineStr">
        <is>
          <t>3920 10 25</t>
        </is>
      </c>
      <c r="B16" s="27" t="n">
        <v>73.59999999999999</v>
      </c>
      <c r="C16" s="28" t="n">
        <v>0.802267277087421</v>
      </c>
      <c r="D16" s="29" t="n">
        <v>5.82</v>
      </c>
      <c r="E16" s="27" t="n">
        <v>79.42</v>
      </c>
      <c r="F16" s="27" t="n">
        <v>6330</v>
      </c>
      <c r="G16" s="28" t="n">
        <v>0.854020507285483</v>
      </c>
      <c r="H16" s="29" t="n">
        <v>72.59</v>
      </c>
      <c r="I16" s="27" t="n">
        <v>6402.59</v>
      </c>
    </row>
    <row r="17">
      <c r="A17" s="26" t="inlineStr">
        <is>
          <t>3923 50 90</t>
        </is>
      </c>
      <c r="B17" s="27" t="n">
        <v>18.04</v>
      </c>
      <c r="C17" s="28" t="n">
        <v>0.1966426858513189</v>
      </c>
      <c r="D17" s="29" t="n">
        <v>1.43</v>
      </c>
      <c r="E17" s="27" t="n">
        <v>19.47</v>
      </c>
      <c r="F17" s="27" t="n">
        <v>992</v>
      </c>
      <c r="G17" s="28" t="n">
        <v>0.1338370210469509</v>
      </c>
      <c r="H17" s="29" t="n">
        <v>11.38</v>
      </c>
      <c r="I17" s="27" t="n">
        <v>1003.38</v>
      </c>
    </row>
    <row r="18">
      <c r="A18" s="26" t="inlineStr">
        <is>
          <t>8203 20 90</t>
        </is>
      </c>
      <c r="B18" s="27" t="n">
        <v>0.1</v>
      </c>
      <c r="C18" s="28" t="n">
        <v>0.001090037061260083</v>
      </c>
      <c r="D18" s="29" t="n">
        <v>0.01</v>
      </c>
      <c r="E18" s="27" t="n">
        <v>0.11</v>
      </c>
      <c r="F18" s="27" t="n">
        <v>90</v>
      </c>
      <c r="G18" s="28" t="n">
        <v>0.01214247166756611</v>
      </c>
      <c r="H18" s="29" t="n">
        <v>1.03</v>
      </c>
      <c r="I18" s="27" t="n">
        <v>91.03</v>
      </c>
    </row>
    <row r="19">
      <c r="A19" s="11" t="inlineStr">
        <is>
          <t>CELKEM</t>
        </is>
      </c>
      <c r="B19" s="13" t="n">
        <v>91.73999999999999</v>
      </c>
      <c r="C19" s="30" t="n">
        <v>1</v>
      </c>
      <c r="D19" s="13" t="n">
        <v>7.26</v>
      </c>
      <c r="E19" s="13" t="n">
        <v>99</v>
      </c>
      <c r="F19" s="13" t="n">
        <v>7412</v>
      </c>
      <c r="G19" s="30" t="n">
        <v>1</v>
      </c>
      <c r="H19" s="13" t="n">
        <v>85</v>
      </c>
      <c r="I19" s="13" t="n">
        <v>7497</v>
      </c>
    </row>
    <row r="21">
      <c r="A21" s="31" t="inlineStr">
        <is>
          <t>Pozn.: hmotnost obalu se rozpouští poměrem ČISTÉ HMOTNOSTI, náklad na obal poměrem HODNOTY. Jde o dvě různé veličiny s různými klíči – proto se podíly v % liší.</t>
        </is>
      </c>
    </row>
  </sheetData>
  <mergeCells count="1"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0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ZÁSILKA 28511 – Lugaia AG (CH) → Brenntag Specialties Czech a.s. (CZ) – poznámky k celnímu odbavení</t>
        </is>
      </c>
    </row>
    <row r="3">
      <c r="A3" s="32">
        <f>== PODKLADY (stav 17.09.2026) ===</f>
        <v/>
      </c>
    </row>
    <row r="4" ht="15" customHeight="1">
      <c r="A4" s="15" t="inlineStr">
        <is>
          <t>✓ Delivery Note L.28511, 10.09.2026 – draft (bez hmotností a sazebních kódů)</t>
        </is>
      </c>
    </row>
    <row r="5" ht="15" customHeight="1">
      <c r="A5" s="15" t="inlineStr">
        <is>
          <t>✓ Commercial Invoice 28511, 10.09.2026 – DRAFT (vodoznak DRAFT)</t>
        </is>
      </c>
    </row>
    <row r="6" ht="30" customHeight="1">
      <c r="A6" s="15" t="inlineStr">
        <is>
          <t>✓ Shipping documents 28511 Brenntag, 16.09.2026 – FINÁLNÍ dodací list + faktura (s čistými hmotnostmi a sazebními kódy, podepsáno C. Nellen)</t>
        </is>
      </c>
    </row>
    <row r="7" ht="15" customHeight="1">
      <c r="A7" s="15" t="inlineStr">
        <is>
          <t>✓ E-mail Brenntag → Maurice Ward, 16.09.2026 (vyjádření dodavatele k výhradám celního deklaranta)</t>
        </is>
      </c>
    </row>
    <row r="8" ht="15" customHeight="1">
      <c r="A8" s="15" t="inlineStr">
        <is>
          <t>✓ BAZG Wertgrenzen 1.1.2026 (viersprachig) – tabulka hodnotových limitů pro preferenční prohlášení</t>
        </is>
      </c>
    </row>
    <row r="9" ht="15" customHeight="1">
      <c r="A9" s="15" t="inlineStr">
        <is>
          <t>→ Použita FINÁLNÍ verze z 16.09.2026.</t>
        </is>
      </c>
    </row>
    <row r="11">
      <c r="A11" s="32">
        <f>== ⚠ POČET PALET A HMOTNOSTI ===</f>
        <v/>
      </c>
    </row>
    <row r="12" ht="30" customHeight="1">
      <c r="A12" s="15" t="inlineStr">
        <is>
          <t>POČET PALET: 1 (jedna). Doklad uvádí „1 x 1/2 pallet 80x60x99cm - 99Kg.“ – zlomek 1/2 je VELIKOST palety (půlpaleta,</t>
        </is>
      </c>
    </row>
    <row r="13" ht="30" customHeight="1">
      <c r="A13" s="15" t="inlineStr">
        <is>
          <t xml:space="preserve">  půdorys 80 × 60 cm), nikoli počet. Jeden nákladový kus, hrubá hmotnost 99 kg. Není to půl palety ani dvě palety.</t>
        </is>
      </c>
    </row>
    <row r="14" ht="15" customHeight="1">
      <c r="A14" s="15" t="inlineStr"/>
    </row>
    <row r="15" ht="15" customHeight="1">
      <c r="A15" s="15" t="inlineStr">
        <is>
          <t>ČISTÉ HMOTNOSTI (doplnila Lugaia do finální verze 16.09.2026):</t>
        </is>
      </c>
    </row>
    <row r="16" ht="30" customHeight="1">
      <c r="A16" s="15" t="inlineStr">
        <is>
          <t xml:space="preserve">  pos. 1: 29,44 kg | pos. 2: 44,16 kg | pos. 3: 16,00 kg | pos. 4: 2,00 kg | pos. 5: 0,10 kg | pos. 6: 0,04 kg</t>
        </is>
      </c>
    </row>
    <row r="17" ht="15" customHeight="1">
      <c r="A17" s="15" t="inlineStr">
        <is>
          <t xml:space="preserve">  ČISTÁ HMOTNOST CELKEM: 91,74 kg      HRUBÁ HMOTNOST CELKEM: 99,00 kg      TÁRA (obal): 7,26 kg</t>
        </is>
      </c>
    </row>
    <row r="18" ht="15" customHeight="1">
      <c r="A18" s="15" t="inlineStr"/>
    </row>
    <row r="19" ht="15" customHeight="1">
      <c r="A19" s="15" t="inlineStr">
        <is>
          <t>Hrubá hmotnost PO HS KÓDECH v dokladech NENÍ – tára 7,26 kg rozpočtena poměrem čisté hmotnosti:</t>
        </is>
      </c>
    </row>
    <row r="20" ht="30" customHeight="1">
      <c r="A20" s="15" t="inlineStr">
        <is>
          <t xml:space="preserve">     3920 10 25 … 73,60 + 5,82 = 79,42 kg | 3923 50 90 … 18,04 + 1,43 = 19,47 kg | 8203 20 90 … 0,10 + 0,01 = 0,11 kg</t>
        </is>
      </c>
    </row>
    <row r="21" ht="15" customHeight="1">
      <c r="A21" s="15" t="inlineStr">
        <is>
          <t xml:space="preserve">     kontrola: 79,42 + 19,47 + 0,11 = 99,00 kg ✓</t>
        </is>
      </c>
    </row>
    <row r="22" ht="15" customHeight="1">
      <c r="A22" s="15" t="inlineStr"/>
    </row>
    <row r="23" ht="30" customHeight="1">
      <c r="A23" s="15" t="inlineStr">
        <is>
          <t>⚠ NESROVNALOST K OVĚŘENÍ: tára 7,26 kg je na obal málo. Samotná dřevěná půlpaleta 80×60 váží cca 9–10 kg a tára má</t>
        </is>
      </c>
    </row>
    <row r="24" ht="30" customHeight="1">
      <c r="A24" s="15" t="inlineStr">
        <is>
          <t xml:space="preserve">  navíc pokrýt krycí sáčky, náviny, stretch fólii a etikety. Možnosti: (a) jde o lehkou plastovou nebo lisovanou paletu</t>
        </is>
      </c>
    </row>
    <row r="25" ht="15" customHeight="1">
      <c r="A25" s="15" t="inlineStr">
        <is>
          <t xml:space="preserve">  (4–7 kg), (b) údaj 99 kg je zaokrouhlený/odhadnutý, (c) čisté hmotnosti jsou mírně nadhodnocené.</t>
        </is>
      </c>
    </row>
    <row r="26" ht="15" customHeight="1">
      <c r="A26" s="15" t="inlineStr">
        <is>
          <t xml:space="preserve">  → DOPORUČENO vyžádat od Lugaia skutečnou hrubou hmotnost zásilky a hmotnost palety.</t>
        </is>
      </c>
    </row>
    <row r="28">
      <c r="A28" s="32">
        <f>== ⚠ POLOŽKA 7 „packaging“ – ROZPUŠTĚNA, BEZ VLASTNÍHO HS KÓDU („CCT/VPV KN tariff rule“) ===</f>
        <v/>
      </c>
    </row>
    <row r="29" ht="15" customHeight="1">
      <c r="A29" s="15" t="inlineStr">
        <is>
          <t>Pos. 7, 1 ks, 85,00 CHF, 1 × půlpaleta 80×60×99 cm – v dokladech BEZ sazebního kódu a bez materiálu.</t>
        </is>
      </c>
    </row>
    <row r="30" ht="15" customHeight="1">
      <c r="A30" s="15" t="inlineStr">
        <is>
          <t>Zařazeno metodou společného celního sazebníku EU (reference/Common_Customs_Tariff_EU_CZ.pptx):</t>
        </is>
      </c>
    </row>
    <row r="31" ht="30" customHeight="1">
      <c r="A31" s="15" t="inlineStr">
        <is>
          <t xml:space="preserve">  CO TO JE?      = obal (paleta + fixace), ve kterém jsou předloženy položky 1–6; nejde o samostatně obchodované zboží.</t>
        </is>
      </c>
    </row>
    <row r="32" ht="15" customHeight="1">
      <c r="A32" s="15" t="inlineStr">
        <is>
          <t xml:space="preserve">  Z ČEHO TO JE?  = v dokladech NEUVEDENO (typicky dřevo; případně plast).</t>
        </is>
      </c>
    </row>
    <row r="33" ht="30" customHeight="1">
      <c r="A33" s="15" t="inlineStr">
        <is>
          <t xml:space="preserve">  K ČEMU SLOUŽÍ? = ochrana a přeprava zboží položek 1–6; předloženo spolu se zbožím, nikoli k opakovanému použití.</t>
        </is>
      </c>
    </row>
    <row r="34" ht="15" customHeight="1">
      <c r="A34" s="15" t="inlineStr"/>
    </row>
    <row r="35" ht="30" customHeight="1">
      <c r="A35" s="15" t="inlineStr">
        <is>
          <t xml:space="preserve">  VPV KN 5(b): obalové materiály předkládané se zbožím se zařazují spolu se zbožím, jsou-li druhu pro toto zboží obvyklého.</t>
        </is>
      </c>
    </row>
    <row r="36" ht="30" customHeight="1">
      <c r="A36" s="15" t="inlineStr">
        <is>
          <t xml:space="preserve">  Čl. 71 odst. 1 písm. a) bod ii) CKU: náklady na obaly (práce i materiál) se PŘIČÍTAJÍ k celní hodnotě zboží.</t>
        </is>
      </c>
    </row>
    <row r="37" ht="15" customHeight="1">
      <c r="A37" s="15" t="inlineStr"/>
    </row>
    <row r="38" ht="15" customHeight="1">
      <c r="A38" s="15" t="inlineStr">
        <is>
          <t>→ VÝSLEDEK: samostatný KN kód se NEPŘIDĚLUJE. Rozpouštějí se DVĚ veličiny, každá JINÝM KLÍČEM:</t>
        </is>
      </c>
    </row>
    <row r="39" ht="15" customHeight="1">
      <c r="A39" s="15" t="inlineStr">
        <is>
          <t xml:space="preserve">     HMOTNOST obalu (tára 7,26 kg) → poměrem ČISTÉ HMOTNOSTI:  5,82 | 1,43 | 0,01 kg   (součet 7,26 kg)</t>
        </is>
      </c>
    </row>
    <row r="40" ht="15" customHeight="1">
      <c r="A40" s="15" t="inlineStr">
        <is>
          <t xml:space="preserve">     NÁKLAD na obal (85,00 CHF)    → poměrem HODNOTY:         72,59 | 11,38 | 1,03 CHF (součet 85,00 CHF)</t>
        </is>
      </c>
    </row>
    <row r="41" ht="15" customHeight="1">
      <c r="A41" s="15" t="inlineStr"/>
    </row>
    <row r="42" ht="30" customHeight="1">
      <c r="A42" s="15" t="inlineStr">
        <is>
          <t>VÝHRADA: pokud by šlo o paletu ZJEVNĚ VHODNOU K OPAKOVANÉMU POUŽITÍ (vratná/poolová EUR, CHEP, plastová), VPV 5(b)</t>
        </is>
      </c>
    </row>
    <row r="43" ht="30" customHeight="1">
      <c r="A43" s="15" t="inlineStr">
        <is>
          <t xml:space="preserve">  závazné NENÍ a paletu je nutné zařadit samostatně: dřevěná plochá paleta → 4415 20 20, plastová → 3923 90 00.</t>
        </is>
      </c>
    </row>
    <row r="44" ht="30" customHeight="1">
      <c r="A44" s="15" t="inlineStr">
        <is>
          <t xml:space="preserve">  Navíc u vratné palety (přepravní prostředek dopravce) se její hmotnost do hrubé hmotnosti v JSD NEZAPOČÍTÁVÁ.</t>
        </is>
      </c>
    </row>
    <row r="45" ht="15" customHeight="1">
      <c r="A45" s="15" t="inlineStr">
        <is>
          <t xml:space="preserve">  Materiál ani vratnost palety v dokladech nejsou – DOPTAT SE LUGAIA.</t>
        </is>
      </c>
    </row>
    <row r="47">
      <c r="A47" s="32">
        <f>== ⚠ PREFERENČNÍ PŮVOD – LIMIT: DODAVATEL MÁ PRAVDU, NÁMITKA JE NEOPODSTATNĚNÁ ===</f>
        <v/>
      </c>
    </row>
    <row r="48" ht="15" customHeight="1">
      <c r="A48" s="15" t="inlineStr">
        <is>
          <t>Preferenční věta JE na faktuře (pos. 11) i na dodacím listu, ale BEZ čísla povolení schváleného vývozce.</t>
        </is>
      </c>
    </row>
    <row r="49" ht="15" customHeight="1">
      <c r="A49" s="15" t="inlineStr">
        <is>
          <t>Deklarant namítl: hodnota ~8 000 EUR &gt; limit 6 000 EUR → prohlášení neplatné. Lugaia: limit v CHF je 10 300.</t>
        </is>
      </c>
    </row>
    <row r="50" ht="15" customHeight="1">
      <c r="A50" s="15" t="inlineStr"/>
    </row>
    <row r="51" ht="15" customHeight="1">
      <c r="A51" s="15" t="inlineStr">
        <is>
          <t>ROZHODUJE čl. 30 odst. 2 Regionální úmluvy PEM (a čl. 30 Protokolu 3 dohody EU–CH):</t>
        </is>
      </c>
    </row>
    <row r="52" ht="15" customHeight="1">
      <c r="A52" s="15" t="inlineStr">
        <is>
          <t xml:space="preserve">  zásilka se posuzuje podle MĚNY, VE KTERÉ JE VYSTAVENA FAKTURA, ve výši stanovené dotčenou zemí.</t>
        </is>
      </c>
    </row>
    <row r="53" ht="30" customHeight="1">
      <c r="A53" s="15" t="inlineStr">
        <is>
          <t xml:space="preserve">  Faktura 28511 je v CHF → platí švýcarská částka 10 300 CHF. Limit 6 000 EUR / 153 000 CZK by platil při faktuře v EUR / CZK.</t>
        </is>
      </c>
    </row>
    <row r="54" ht="15" customHeight="1">
      <c r="A54" s="15" t="inlineStr">
        <is>
          <t xml:space="preserve">  Hodnota původního zboží 7 412,00 CHF, celá faktura 7 497,00 CHF – OBOJÍ POD 10 300 CHF.</t>
        </is>
      </c>
    </row>
    <row r="55" ht="30" customHeight="1">
      <c r="A55" s="15" t="inlineStr">
        <is>
          <t>→ ZÁVĚR: prohlášení je PLATNÉ i bez čísla povolení. Preferenční sazba 0 % místo 6,5 % / 3,7 %. Úspora cca 480 CHF.</t>
        </is>
      </c>
    </row>
    <row r="56" ht="15" customHeight="1">
      <c r="A56" s="15" t="inlineStr"/>
    </row>
    <row r="57" ht="15" customHeight="1">
      <c r="A57" s="15" t="inlineStr">
        <is>
          <t>FORMÁLNÍ VÝHRADY KE ZNĚNÍ (doporučeno nechat opravit):</t>
        </is>
      </c>
    </row>
    <row r="58" ht="30" customHeight="1">
      <c r="A58" s="15" t="inlineStr">
        <is>
          <t xml:space="preserve">  a) dle přílohy IV úmluvy PEM má znít „...are of Switzerland preferential origin.“ – v dokladu „swiss-preferential origine“.</t>
        </is>
      </c>
    </row>
    <row r="59" ht="30" customHeight="1">
      <c r="A59" s="15" t="inlineStr">
        <is>
          <t xml:space="preserve">  b) u vývozce BEZ povolení musí být prohlášení PODEPSÁNO VLASTNÍ RUKOU a jméno uvedeno čitelně (čl. 22 odst. 7 dodatku I).</t>
        </is>
      </c>
    </row>
    <row r="60" ht="15" customHeight="1">
      <c r="A60" s="15" t="inlineStr">
        <is>
          <t xml:space="preserve">  c) švýcarské vývozní celní prohlášení NENÍ dokladem o preferenčním původu pro dovoz do EU.</t>
        </is>
      </c>
    </row>
    <row r="61" ht="30" customHeight="1">
      <c r="A61" s="15" t="inlineStr">
        <is>
          <t>DOPORUČENÍ: vyžádat průvodní osvědčení EUR.1 – lze bez ohledu na hodnotu i bez statusu schváleného vývozce; spor odpadá.</t>
        </is>
      </c>
    </row>
    <row r="63">
      <c r="A63" s="32">
        <f>== ⚠ REX ČÍSLO ===</f>
        <v/>
      </c>
    </row>
    <row r="64" ht="15" customHeight="1">
      <c r="A64" s="15" t="inlineStr">
        <is>
          <t>NA FAKTUŘE ANI NA DODACÍM LISTU NENÍ UVEDENO ŽÁDNÉ REX ČÍSLO.</t>
        </is>
      </c>
    </row>
    <row r="65" ht="30" customHeight="1">
      <c r="A65" s="15" t="inlineStr">
        <is>
          <t>Pro švýcarský původ se REX nepoužívá – REX se vztahuje na GSP a na dohody typu EU–Japonsko, EU–Vietnam, EU–UK.</t>
        </is>
      </c>
    </row>
    <row r="66" ht="30" customHeight="1">
      <c r="A66" s="15" t="inlineStr">
        <is>
          <t>Dohoda EU–CH (PEM) používá prohlášení na faktuře, nad hodnotový limit doplněné číslem povolení SCHVÁLENÉHO VÝVOZCE.</t>
        </is>
      </c>
    </row>
    <row r="67" ht="15" customHeight="1">
      <c r="A67" s="15" t="inlineStr">
        <is>
          <t>Lugaia toto povolení NEMÁ a dle vlastního vyjádření ho nehodlá získat. Při hodnotě pod 10 300 CHF to nevadí.</t>
        </is>
      </c>
    </row>
    <row r="68" ht="30" customHeight="1">
      <c r="A68" s="15" t="inlineStr">
        <is>
          <t>→ POZOR: u budoucích zásilek Lugaia NAD 10 300 CHF nebude preferenční věta bez povolení platná – bude nutné EUR.1.</t>
        </is>
      </c>
    </row>
    <row r="70">
      <c r="A70" s="32">
        <f>== ⚠ INCOTERM – ROZPOR V DOKLADECH NEBYL PLNĚ ODSTRANĚN ===</f>
        <v/>
      </c>
    </row>
    <row r="71" ht="15" customHeight="1">
      <c r="A71" s="15" t="inlineStr">
        <is>
          <t>Platí EXW Raron (hlavička faktury i dodacího listu; potvrzeno e-mailem Lugaia 16.09.2026).</t>
        </is>
      </c>
    </row>
    <row r="72" ht="30" customHeight="1">
      <c r="A72" s="15" t="inlineStr">
        <is>
          <t>⚠ Pos. 7 OBOU finálních dokladů však stále uvádí „DAP - CZ-74245 Fulnek“ (v draftu z 10.09. tam bylo „EXW - CZ-74245 Fulnek“</t>
        </is>
      </c>
    </row>
    <row r="73" ht="30" customHeight="1">
      <c r="A73" s="15" t="inlineStr">
        <is>
          <t xml:space="preserve">   – rovněž nesmysl, EXW s místem určení). Rozpor nebyl opraven, pouze změněn. Doporučeno vyžádat opravu řádku pos. 7.</t>
        </is>
      </c>
    </row>
    <row r="74" ht="15" customHeight="1">
      <c r="A74" s="15" t="inlineStr">
        <is>
          <t>→ Při EXW zajišťuje přepravu a vývozní odbavení kupující (Maurice Ward); T1 a CMR vystavuje dopravce.</t>
        </is>
      </c>
    </row>
    <row r="75" ht="15" customHeight="1">
      <c r="A75" s="15" t="inlineStr">
        <is>
          <t>→ Do celní hodnoty PŘIČÍST dopravu a pojištění až na vnější hranici EU (čl. 71 CKU).</t>
        </is>
      </c>
    </row>
    <row r="77">
      <c r="A77" s="32">
        <f>== SAZEBNÍ KÓDY V DOKLADECH NEJSOU KÓDY KN (EU) ===</f>
        <v/>
      </c>
    </row>
    <row r="78" ht="15" customHeight="1">
      <c r="A78" s="15" t="inlineStr">
        <is>
          <t>Lugaia uvedla ŠVÝCARSKÉ sazební kódy (švýcarský tarif je též 8místný, ale za 6. číslicí se od KN liší):</t>
        </is>
      </c>
    </row>
    <row r="79" ht="30" customHeight="1">
      <c r="A79" s="15" t="inlineStr">
        <is>
          <t xml:space="preserve">  3920.1000 (CH) → v KN NEEXISTUJE. Pro EU: KN 3920 10 25 (LDPE, měrná hmotnost &lt; 0,94; tl. 80 µm ≤ 0,125 mm; nepotištěná; není stretch).</t>
        </is>
      </c>
    </row>
    <row r="80" ht="15" customHeight="1">
      <c r="A80" s="15" t="inlineStr">
        <is>
          <t xml:space="preserve">  3923.5090 (CH) → KN 3923 50 90 – shodné.</t>
        </is>
      </c>
    </row>
    <row r="81" ht="30" customHeight="1">
      <c r="A81" s="15" t="inlineStr">
        <is>
          <t xml:space="preserve">  8203.2000 (CH) → v KN je 8203 20 dále děleno; pro kleštový nástroj 8203 20 90 (8203 20 10 = pinzety). OVĚŘIT V TARIC.</t>
        </is>
      </c>
    </row>
    <row r="82" ht="15" customHeight="1">
      <c r="A82" s="15" t="inlineStr">
        <is>
          <t>→ Do JSD uvádět kódy KN/TARIC z listu „HS Summary“, NIKOLI kódy z faktury.</t>
        </is>
      </c>
    </row>
    <row r="84">
      <c r="A84" s="32">
        <f>== POCHYBNOST K ZAŘAZENÍ LINERUNITŮ (pos. 1+2) – KONZULTOVAT TARIFNÍ TÝM ===</f>
        <v/>
      </c>
    </row>
    <row r="85" ht="30" customHeight="1">
      <c r="A85" s="15" t="inlineStr">
        <is>
          <t>Zboží je HADICOVÁ (layflat) fólie z LDPE, nikoli plochý film. Na úrovni 6 míst se obě strany shodují na 3920.10 a popis</t>
        </is>
      </c>
    </row>
    <row r="86" ht="30" customHeight="1">
      <c r="A86" s="15" t="inlineStr">
        <is>
          <t>na faktuře doslova cituje znění čísla 3920 → jako hlavní varianta použito KN 3920 10 25. V úvahu však přicházejí i:</t>
        </is>
      </c>
    </row>
    <row r="87" ht="15" customHeight="1">
      <c r="A87" s="15" t="inlineStr">
        <is>
          <t xml:space="preserve">  3923 21 00 (pytle a sáčky z polymerů ethylenu) – pokud by šlo o zhotovený obalový výrobek;</t>
        </is>
      </c>
    </row>
    <row r="88" ht="30" customHeight="1">
      <c r="A88" s="15" t="inlineStr">
        <is>
          <t xml:space="preserve">  3917 32 00 (trubky) – pozn. 8 ke kap. 39 to však omezuje na výrobky pro vedení plynů/kapalin, což zde neplatí.</t>
        </is>
      </c>
    </row>
    <row r="89" ht="15" customHeight="1">
      <c r="A89" s="15" t="inlineStr">
        <is>
          <t>Hodnota položky 6 330 CHF = většina zásilky → doporučeno potvrzení: customs.tariff@mauriceward.com</t>
        </is>
      </c>
    </row>
    <row r="91">
      <c r="A91" s="32">
        <f>== CBAM ===</f>
        <v/>
      </c>
    </row>
    <row r="92" ht="15" customHeight="1">
      <c r="A92" s="15" t="inlineStr">
        <is>
          <t>CBAM se NEVZTAHUJE. Kódy 3920 10 25, 3923 50 90 a 8203 20 90 nejsou v příloze I nařízení (EU) 2023/956</t>
        </is>
      </c>
    </row>
    <row r="93" ht="30" customHeight="1">
      <c r="A93" s="15" t="inlineStr">
        <is>
          <t>(cement, elektřina, hnojiva, železo a ocel, hliník, vodík). Plasty ani ruční nářadí kap. 82 nejsou zbožím CBAM.</t>
        </is>
      </c>
    </row>
    <row r="94" ht="30" customHeight="1">
      <c r="A94" s="15" t="inlineStr">
        <is>
          <t>⚠ POZNÁMKA PRO BUDOUCÍ ZÁSILKY: příjemce „Brenntag Specialties Czech a.s.“ (Stachovice 176, CZ-74245 Fulnek) NENÍ</t>
        </is>
      </c>
    </row>
    <row r="95" ht="30" customHeight="1">
      <c r="A95" s="15" t="inlineStr">
        <is>
          <t xml:space="preserve">   v souboru reference/CBAM_receivers_CZ.xlsx (list List1, 100 záznamů) – prověřeno podle názvu firmy i adresy.</t>
        </is>
      </c>
    </row>
    <row r="96" ht="30" customHeight="1">
      <c r="A96" s="15" t="inlineStr">
        <is>
          <t xml:space="preserve">   Pokud pro něj budeme odbavovat zboží CBAM, je nutné zjistit status (Y128 / Y238 / Y137) a doplnit do registru.</t>
        </is>
      </c>
    </row>
    <row r="98">
      <c r="A98" s="32">
        <f>== ANTIDUMPING / SLEVA / CELNÍ HODNOTA ===</f>
        <v/>
      </c>
    </row>
    <row r="99" ht="30" customHeight="1">
      <c r="A99" s="15" t="inlineStr">
        <is>
          <t>ANTIDUMPING: neuplatní se. Původ CH; antidumpingová cla na ruční nářadí i plastové fólie míří na jiné původy (zejm. ČLR).</t>
        </is>
      </c>
    </row>
    <row r="100" ht="30" customHeight="1">
      <c r="A100" s="15" t="inlineStr">
        <is>
          <t>SLEVA: v dokladech ŽÁDNÁ – poměrné rozpouštění slevy se neuplatnilo. Rozpouštěn byl pouze náklad na obal (přičtení).</t>
        </is>
      </c>
    </row>
    <row r="101" ht="30" customHeight="1">
      <c r="A101" s="15" t="inlineStr">
        <is>
          <t>Pos. 6 je vzorek zdarma „Value for customs purposes only!!“ (2 ks à 1,00 CHF) – hodnota se do celní hodnoty zahrnuje.</t>
        </is>
      </c>
    </row>
    <row r="102" ht="15" customHeight="1">
      <c r="A102" s="15" t="inlineStr">
        <is>
          <t>CELNÍ HODNOTA (EXW + obal): 7 497,00 CHF. Před podáním JSD doplnit dopravné/pojistné na vnější hranici EU.</t>
        </is>
      </c>
    </row>
    <row r="104">
      <c r="A104" s="32">
        <f>== CO VYŽÁDAT OD DODAVATELE / CO OVĚŘIT ===</f>
        <v/>
      </c>
    </row>
    <row r="105" ht="15" customHeight="1">
      <c r="A105" s="15" t="inlineStr">
        <is>
          <t>1) EUR.1 – nejjistější řešení sporu o hodnotový limit preferenčního prohlášení (lze bez ohledu na hodnotu).</t>
        </is>
      </c>
    </row>
    <row r="106" ht="15" customHeight="1">
      <c r="A106" s="15" t="inlineStr">
        <is>
          <t>2) Skutečná hrubá hmotnost zásilky a hmotnost palety – tára 7,26 kg nesedí na dřevěnou půlpaletu.</t>
        </is>
      </c>
    </row>
    <row r="107" ht="15" customHeight="1">
      <c r="A107" s="15" t="inlineStr">
        <is>
          <t>3) Materiál palety (dřevo / plast) a zda je VRATNÁ – rozhoduje o VPV 5(b) i o započtení do hrubé hmotnosti.</t>
        </is>
      </c>
    </row>
    <row r="108" ht="15" customHeight="1">
      <c r="A108" s="15" t="inlineStr">
        <is>
          <t>4) Oprava pos. 7: odstranit „DAP - CZ-74245 Fulnek“, aby doklad uváděl jen EXW Raron.</t>
        </is>
      </c>
    </row>
    <row r="109" ht="15" customHeight="1">
      <c r="A109" s="15" t="inlineStr">
        <is>
          <t>5) Oprava znění preferenční věty na text přílohy IV úmluvy PEM („...of Switzerland preferential origin.“).</t>
        </is>
      </c>
    </row>
    <row r="110" ht="15" customHeight="1">
      <c r="A110" s="15" t="inlineStr">
        <is>
          <t>6) Ověřit 8místné dělení 8203 20 v TARIC a potvrdit zařazení linerunitů (3920 10 25) tarifním týmem.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2026-09-17T12:42:22Z</dcterms:created>
  <dcterms:modified xmlns:dcterms="http://purl.org/dc/terms/" xmlns:xsi="http://www.w3.org/2001/XMLSchema-instance" xsi:type="dcterms:W3CDTF">2026-09-17T12:42:22Z</dcterms:modified>
</cp:coreProperties>
</file>