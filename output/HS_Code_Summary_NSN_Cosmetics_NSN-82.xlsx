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" sheetId="1" state="visible" r:id="rId1"/>
    <sheet name="Zařazení VPV KN" sheetId="2" state="visible" r:id="rId2"/>
    <sheet name="Položky (detail)" sheetId="3" state="visible" r:id="rId3"/>
    <sheet name="Poznámky a kontro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</font>
    <font>
      <b val="1"/>
      <color rgb="009C0006"/>
    </font>
    <font>
      <b val="1"/>
      <color rgb="00FFFFFF"/>
      <sz val="10"/>
    </font>
    <font>
      <b val="1"/>
      <color rgb="009C6500"/>
    </font>
    <font>
      <b val="1"/>
      <color rgb="00006100"/>
    </font>
    <font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4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top" wrapText="1"/>
    </xf>
    <xf numFmtId="3" fontId="3" fillId="4" borderId="1" pivotButton="0" quotePrefix="0" xfId="0"/>
    <xf numFmtId="4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22" customWidth="1" min="4" max="4"/>
    <col width="13" customWidth="1" min="5" max="5"/>
    <col width="13" customWidth="1" min="6" max="6"/>
    <col width="11" customWidth="1" min="7" max="7"/>
    <col width="16" customWidth="1" min="8" max="8"/>
    <col width="9" customWidth="1" min="9" max="9"/>
    <col width="13" customWidth="1" min="10" max="10"/>
    <col width="13" customWidth="1" min="11" max="11"/>
    <col width="14" customWidth="1" min="12" max="12"/>
    <col width="24" customWidth="1" min="13" max="13"/>
  </cols>
  <sheetData>
    <row r="1">
      <c r="A1" s="1" t="inlineStr">
        <is>
          <t>SOUHRN HS KÓDŮ / HS CODE SUMMARY</t>
        </is>
      </c>
    </row>
    <row r="2">
      <c r="A2" s="2" t="inlineStr">
        <is>
          <t>NSN Cosmetics s.r.o. — zásilka NSN-82 — kontejner MRKU3227650</t>
        </is>
      </c>
    </row>
    <row r="4">
      <c r="A4" s="3" t="inlineStr">
        <is>
          <t>Klient / příjemce (CZ)</t>
        </is>
      </c>
      <c r="C4" s="4" t="inlineStr">
        <is>
          <t>NSN Cosmetics s.r.o., Plovdivská 3266/2, 143 00 Praha 4 – Modřany</t>
        </is>
      </c>
    </row>
    <row r="5">
      <c r="A5" s="3" t="inlineStr">
        <is>
          <t>IČO / DIČ</t>
        </is>
      </c>
      <c r="C5" s="4" t="inlineStr">
        <is>
          <t>04127137 / CZ04127137</t>
        </is>
      </c>
    </row>
    <row r="6">
      <c r="A6" s="3" t="inlineStr">
        <is>
          <t>Odesílatel / sender</t>
        </is>
      </c>
      <c r="C6" s="4" t="inlineStr">
        <is>
          <t>ANJI MAOCHANG FURNITURE CO., LTD., 198 Yangguang Road, 3rd Floor, Dipu Town, Anji County, Zhejiang, ČÍNA</t>
        </is>
      </c>
    </row>
    <row r="7">
      <c r="A7" s="3" t="inlineStr">
        <is>
          <t>Země původu</t>
        </is>
      </c>
      <c r="C7" s="4" t="inlineStr">
        <is>
          <t>Čína (CN)</t>
        </is>
      </c>
    </row>
    <row r="8">
      <c r="A8" s="3" t="inlineStr">
        <is>
          <t>B/L</t>
        </is>
      </c>
      <c r="C8" s="4" t="inlineStr">
        <is>
          <t>ENBBRV2605491 (Maersk, MURCIA MAERSK 630W)</t>
        </is>
      </c>
    </row>
    <row r="9">
      <c r="A9" s="3" t="inlineStr">
        <is>
          <t>Kontejner</t>
        </is>
      </c>
      <c r="C9" s="4" t="inlineStr">
        <is>
          <t>MRKU3227650 / 40'HQ / 710 kartonů / 7 486,000 kg / 68,000 CBM</t>
        </is>
      </c>
    </row>
    <row r="10" ht="58" customHeight="1">
      <c r="A10" s="5" t="inlineStr">
        <is>
          <t>ROZSAH TOHOTO JSD</t>
        </is>
      </c>
      <c r="B10" s="6" t="n"/>
      <c r="C10" s="7" t="inlineStr">
        <is>
          <t>POUZE kontejner MRKU3227650 (710 kartonů / 7 486,000 kg / 980 ks / 12 400,00 USD). B/L pokrývá 2 kontejnery; druhý — CAAU5953508 (408 kartonů / 4 908,500 kg) — zatím NEDORAZIL, není pokryt předloženou fakturou ani packing listem a bude odbaven SAMOSTATNÝM JSD s vlastními doklady. Dělení podle kontejneru tedy není nutné dopočítávat — předložené doklady se týkají výhradně kontejneru MRKU3227650.</t>
        </is>
      </c>
      <c r="D10" s="6" t="n"/>
      <c r="E10" s="6" t="n"/>
      <c r="F10" s="6" t="n"/>
      <c r="G10" s="6" t="n"/>
      <c r="H10" s="6" t="n"/>
      <c r="I10" s="6" t="n"/>
    </row>
    <row r="11">
      <c r="A11" s="3" t="inlineStr">
        <is>
          <t>Trasa</t>
        </is>
      </c>
      <c r="C11" s="4" t="inlineStr">
        <is>
          <t>Ningbo → Mělník → Praha, Česká republika (naloženo 28. 7. 2026)</t>
        </is>
      </c>
    </row>
    <row r="12">
      <c r="A12" s="3" t="inlineStr">
        <is>
          <t>Faktura</t>
        </is>
      </c>
      <c r="C12" s="4" t="inlineStr">
        <is>
          <t>26200232C ze dne 21. 7. 2026 (pozor – instrukce a packing list uvádějí 26200131C, viz list „Poznámky a kontroly“)</t>
        </is>
      </c>
    </row>
    <row r="13">
      <c r="A13" s="3" t="inlineStr">
        <is>
          <t>INCOTERM</t>
        </is>
      </c>
      <c r="C13" s="4" t="inlineStr">
        <is>
          <t>FOB Ningbo  (dodací podmínka FOB, přístav nalodění Ningbo, Čína)</t>
        </is>
      </c>
    </row>
    <row r="14">
      <c r="A14" s="3" t="inlineStr">
        <is>
          <t>Měna</t>
        </is>
      </c>
      <c r="C14" s="4" t="inlineStr">
        <is>
          <t>USD</t>
        </is>
      </c>
    </row>
    <row r="15">
      <c r="A15" s="3" t="inlineStr">
        <is>
          <t>Celkem hodnota faktury</t>
        </is>
      </c>
      <c r="C15" s="4" t="inlineStr">
        <is>
          <t>12 400,00 USD  (řádek TOTAL na faktuře)</t>
        </is>
      </c>
    </row>
    <row r="16">
      <c r="A16" s="3" t="inlineStr">
        <is>
          <t>Druh odbavení</t>
        </is>
      </c>
      <c r="C16" s="4" t="inlineStr">
        <is>
          <t>JSD – propuštění do volného oběhu</t>
        </is>
      </c>
    </row>
    <row r="17">
      <c r="A17" s="3" t="inlineStr">
        <is>
          <t>Datum zpracování</t>
        </is>
      </c>
      <c r="C17" s="4" t="inlineStr">
        <is>
          <t>16. 10. 2026</t>
        </is>
      </c>
    </row>
    <row r="19" ht="30" customHeight="1">
      <c r="A19" s="5" t="inlineStr">
        <is>
          <t>⚠ ZAŘAZENÍ JE PŘEDBĚŽNÉ — finální HS kód závisí na odpovědích na 3 otázky z e-mailu (materiál rámu / skutečné čalounění / otáčení + nastavitelná výška). Rozhodovací matice je na listu „Zařazení VPV KN“.</t>
        </is>
      </c>
    </row>
    <row r="21" ht="34" customHeight="1">
      <c r="A21" s="8" t="inlineStr">
        <is>
          <t>Odesílatel (sender)</t>
        </is>
      </c>
      <c r="B21" s="8" t="inlineStr">
        <is>
          <t>HS kód (KN)</t>
        </is>
      </c>
      <c r="C21" s="8" t="inlineStr">
        <is>
          <t>Popis zboží (CZ – popis klienta, doslovně)</t>
        </is>
      </c>
      <c r="D21" s="8" t="inlineStr">
        <is>
          <t>Zahrnuté modely</t>
        </is>
      </c>
      <c r="E21" s="8" t="inlineStr">
        <is>
          <t>Čistá hmotnost (kg)</t>
        </is>
      </c>
      <c r="F21" s="8" t="inlineStr">
        <is>
          <t>Hrubá hmotnost (kg)</t>
        </is>
      </c>
      <c r="G21" s="8" t="inlineStr">
        <is>
          <t>Množství (ks)</t>
        </is>
      </c>
      <c r="H21" s="8" t="inlineStr">
        <is>
          <t>Cena / celní hodnota (USD)</t>
        </is>
      </c>
      <c r="I21" s="8" t="inlineStr">
        <is>
          <t>Kartony</t>
        </is>
      </c>
      <c r="J21" s="8" t="inlineStr">
        <is>
          <t>INCOTERM</t>
        </is>
      </c>
      <c r="K21" s="8" t="inlineStr">
        <is>
          <t>CBAM</t>
        </is>
      </c>
      <c r="L21" s="8" t="inlineStr">
        <is>
          <t>Antidumping</t>
        </is>
      </c>
      <c r="M21" s="8" t="inlineStr">
        <is>
          <t>Status zařazení</t>
        </is>
      </c>
    </row>
    <row r="22" ht="46" customHeight="1">
      <c r="A22" s="9" t="inlineStr">
        <is>
          <t>ANJI MAOCHANG FURNITURE CO., LTD. (CN)</t>
        </is>
      </c>
      <c r="B22" s="10" t="inlineStr">
        <is>
          <t>9401 39 00</t>
        </is>
      </c>
      <c r="C22" s="9" t="inlineStr">
        <is>
          <t>otočná židle s pochromovaným podstavcem,kozenka</t>
        </is>
      </c>
      <c r="D22" s="9" t="inlineStr">
        <is>
          <t>KIRA (240 ks), NORA (300 ks)</t>
        </is>
      </c>
      <c r="E22" s="11" t="n">
        <v>3774</v>
      </c>
      <c r="F22" s="11" t="n">
        <v>4314</v>
      </c>
      <c r="G22" s="12" t="n">
        <v>540</v>
      </c>
      <c r="H22" s="11" t="n">
        <v>7662</v>
      </c>
      <c r="I22" s="12" t="n">
        <v>270</v>
      </c>
      <c r="J22" s="13" t="inlineStr">
        <is>
          <t>FOB Ningbo</t>
        </is>
      </c>
      <c r="K22" s="13" t="inlineStr">
        <is>
          <t>Neaplikuje se</t>
        </is>
      </c>
      <c r="L22" s="13" t="inlineStr">
        <is>
          <t>Neidentifikováno</t>
        </is>
      </c>
      <c r="M22" s="14" t="inlineStr">
        <is>
          <t>PŘEDBĚŽNÉ – potvrdit otázku 3</t>
        </is>
      </c>
    </row>
    <row r="23" ht="46" customHeight="1">
      <c r="A23" s="9" t="inlineStr">
        <is>
          <t>ANJI MAOCHANG FURNITURE CO., LTD. (CN)</t>
        </is>
      </c>
      <c r="B23" s="10" t="inlineStr">
        <is>
          <t>9401 71 00</t>
        </is>
      </c>
      <c r="C23" s="9" t="inlineStr">
        <is>
          <t>Křeslo do jídelny nebo kanceláře koženka</t>
        </is>
      </c>
      <c r="D23" s="9" t="inlineStr">
        <is>
          <t>ETAN (40 ks), MC-015 (400 ks)</t>
        </is>
      </c>
      <c r="E23" s="11" t="n">
        <v>2732</v>
      </c>
      <c r="F23" s="11" t="n">
        <v>3172</v>
      </c>
      <c r="G23" s="12" t="n">
        <v>440</v>
      </c>
      <c r="H23" s="11" t="n">
        <v>4738</v>
      </c>
      <c r="I23" s="12" t="n">
        <v>440</v>
      </c>
      <c r="J23" s="13" t="inlineStr">
        <is>
          <t>FOB Ningbo</t>
        </is>
      </c>
      <c r="K23" s="13" t="inlineStr">
        <is>
          <t>Neaplikuje se</t>
        </is>
      </c>
      <c r="L23" s="13" t="inlineStr">
        <is>
          <t>Neidentifikováno</t>
        </is>
      </c>
      <c r="M23" s="14" t="inlineStr">
        <is>
          <t>PŘEDBĚŽNÉ – potvrdit otázky 1 a 2</t>
        </is>
      </c>
    </row>
    <row r="24">
      <c r="A24" s="15" t="inlineStr">
        <is>
          <t>CELKEM</t>
        </is>
      </c>
      <c r="B24" s="16" t="n"/>
      <c r="C24" s="16" t="n"/>
      <c r="D24" s="16" t="n"/>
      <c r="E24" s="17">
        <f>SUM(E22:E23)</f>
        <v/>
      </c>
      <c r="F24" s="17">
        <f>SUM(F22:F23)</f>
        <v/>
      </c>
      <c r="G24" s="18">
        <f>SUM(G22:G23)</f>
        <v/>
      </c>
      <c r="H24" s="17">
        <f>SUM(H22:H23)</f>
        <v/>
      </c>
      <c r="I24" s="18">
        <f>SUM(I22:I23)</f>
        <v/>
      </c>
      <c r="J24" s="19" t="n"/>
      <c r="K24" s="19" t="n"/>
      <c r="L24" s="19" t="n"/>
      <c r="M24" s="19" t="n"/>
    </row>
    <row r="26" ht="26" customHeight="1">
      <c r="A26" s="20" t="inlineStr">
        <is>
          <t>Kontrola proti packing listu / faktuře: 6 506,00 kg netto · 7 486,00 kg brutto · 980 ks · 710 kartonů · 12 400,00 USD — vše souhlasí. ✓</t>
        </is>
      </c>
    </row>
    <row r="27" ht="26" customHeight="1">
      <c r="A27" s="21" t="inlineStr">
        <is>
          <t>Popis zboží: použit český popis klienta z instrukce k odbavení, DOSLOVNĚ (nepřeformulováno, nepřeloženo, nenahrazeno zněním sazebníku). Znění podpoložek KN je na listu „Zařazení VPV KN“.</t>
        </is>
      </c>
    </row>
    <row r="28" ht="26" customHeight="1">
      <c r="A28" s="21" t="inlineStr">
        <is>
          <t>Cena / celní hodnota: faktura obsahuje řádek označený TOTAL = 12 400,00 USD; tato částka je použita. Hodnoty u jednotlivých HS kódů jsou součtem sloupce AMOUNT a jejich součet se rovná TOTAL. Žádná sleva (před/po slevě) se nedopočítává.</t>
        </is>
      </c>
    </row>
    <row r="29" ht="26" customHeight="1">
      <c r="A29" s="21" t="inlineStr">
        <is>
          <t>Celní hodnota: fakturovaná hodnota je FOB Ningbo. Pro JSD je nutné k celní hodnotě připočíst náklady na přepravu a pojištění až na hranice EU (čl. 71 UCC). Přepočet USD celním kurzem.</t>
        </is>
      </c>
    </row>
  </sheetData>
  <mergeCells count="20">
    <mergeCell ref="C17:I17"/>
    <mergeCell ref="C8:I8"/>
    <mergeCell ref="C7:I7"/>
    <mergeCell ref="A29:M29"/>
    <mergeCell ref="A28:M28"/>
    <mergeCell ref="A19:M19"/>
    <mergeCell ref="C13:I13"/>
    <mergeCell ref="C6:I6"/>
    <mergeCell ref="A24:D24"/>
    <mergeCell ref="C15:I15"/>
    <mergeCell ref="C5:I5"/>
    <mergeCell ref="C14:I14"/>
    <mergeCell ref="C4:I4"/>
    <mergeCell ref="C10:I10"/>
    <mergeCell ref="C16:I16"/>
    <mergeCell ref="C9:I9"/>
    <mergeCell ref="A27:M27"/>
    <mergeCell ref="C12:I12"/>
    <mergeCell ref="A26:M26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30" customWidth="1" min="4" max="4"/>
    <col width="18" customWidth="1" min="5" max="5"/>
    <col width="40" customWidth="1" min="6" max="6"/>
    <col width="14" customWidth="1" min="7" max="7"/>
  </cols>
  <sheetData>
    <row r="1">
      <c r="A1" s="1" t="inlineStr">
        <is>
          <t>SAZEBNÍ ZAŘAZENÍ — pravidlo CCT/VPV KN</t>
        </is>
      </c>
    </row>
    <row r="2">
      <c r="A2" s="22" t="inlineStr">
        <is>
          <t>Postup dle reference/Common_Customs_Tariff_EU_CZ.pptx (Společný celní sazebník EU)</t>
        </is>
      </c>
    </row>
    <row r="4" ht="30" customHeight="1">
      <c r="A4" s="5" t="inlineStr">
        <is>
          <t>⚠ HS kódy nebyly v zákaznické instrukci uvedeny — byly odvozeny pravidlem CCT/VPV KN pro všechny čtyři modely (ETAN, KIRA, NORA, MC-221/MC-015). Návrh v souboru „návrh HS“ tímto potvrzuji jako nejpravděpodobnější, ale je PODMÍNĚNÝ odpověďmi na 3 otázky.</t>
        </is>
      </c>
    </row>
    <row r="6">
      <c r="A6" s="2" t="inlineStr">
        <is>
          <t>1) Tři zbožíznalecké otázky</t>
        </is>
      </c>
    </row>
    <row r="7" ht="46" customHeight="1">
      <c r="A7" s="3" t="inlineStr">
        <is>
          <t>CO TO JE?</t>
        </is>
      </c>
      <c r="B7" s="4" t="inlineStr">
        <is>
          <t>Sedadla (židle a křesla) určená k postavení na podlahu — kapitola 94, číslo 9401 HS „Sedadla (jiná než čísla 9402), též proměnitelná v lůžka, a jejich části a součásti“. Poznámky ke kapitole 94 zboží nevylučují; poznámka 2 (nábytek určený k postavení na zem) je splněna.</t>
        </is>
      </c>
    </row>
    <row r="8" ht="46" customHeight="1">
      <c r="A8" s="3" t="inlineStr">
        <is>
          <t>Z ČEHO TO JE?</t>
        </is>
      </c>
      <c r="B8" s="4" t="inlineStr">
        <is>
          <t>Konstrukce/podstavec: kov (dle faktury „SILVER FRAME“ / „GOLDEN FRAME“ u ETAN; „pochromovaný podstavec“ u KIRA a NORA). Potah: koženka. Měkká výplň pod potahem: NEPOTVRZENO (otázka 2). Materiál rámu u MC-015: NEPOTVRZENO (otázka 1).</t>
        </is>
      </c>
    </row>
    <row r="9" ht="46" customHeight="1">
      <c r="A9" s="3" t="inlineStr">
        <is>
          <t>K ČEMU SLOUŽÍ?</t>
        </is>
      </c>
      <c r="B9" s="4" t="inlineStr">
        <is>
          <t>K sezení. Faktura i B/L popisují zboží souhrnně jako „OFFICE CHAIR“; instrukce rozlišuje „Křeslo do jídelny nebo kanceláře“ (ETAN, MC-015) a „otočnou židli“ (KIRA, NORA).</t>
        </is>
      </c>
    </row>
    <row r="11">
      <c r="A11" s="2" t="inlineStr">
        <is>
          <t>2) Průchod nomenklaturou</t>
        </is>
      </c>
    </row>
    <row r="12" ht="16" customHeight="1">
      <c r="A12" s="4" t="inlineStr">
        <is>
          <t>TŘÍDA XX „RŮZNÉ VÝROBKY“ → KAPITOLA 94 → číslo 9401 HS (VPV 1 — dle znění čísla a poznámek ke kapitole).</t>
        </is>
      </c>
    </row>
    <row r="13" ht="16" customHeight="1">
      <c r="A13" s="4" t="inlineStr">
        <is>
          <t>V rámci čísla 9401 se dále postupuje dle VPV 6 (porovnávat lze pouze položky/podpoložky stejné úrovně).</t>
        </is>
      </c>
    </row>
    <row r="14" ht="30" customHeight="1">
      <c r="A14" s="4" t="inlineStr">
        <is>
          <t>PRVNÍ VĚTVENÍ: je zboží „otočné sedadlo s nastavitelnou výškou“ (9401 31 / 9401 39)? Tyto podpoložky vyžadují OBĚ vlastnosti KUMULATIVNĚ — otáčení A ZÁROVEŇ výškové nastavení. Pokud židle pouze rotuje bez výškového nastavení, do 9401 31/39 NEPATŘÍ.</t>
        </is>
      </c>
    </row>
    <row r="15" ht="16" customHeight="1">
      <c r="A15" s="4" t="inlineStr">
        <is>
          <t xml:space="preserve">   → dřevěné: 9401 31 00   |   ostatní (kov, chrom): 9401 39 00</t>
        </is>
      </c>
    </row>
    <row r="16" ht="30" customHeight="1">
      <c r="A16" s="4" t="inlineStr">
        <is>
          <t>DRUHÉ VĚTVENÍ (ostatní sedadla): materiál konstrukce — dřevěná 9401 61/69, kovová 9401 71/79, ostatní (plast) 9401 80 00.</t>
        </is>
      </c>
    </row>
    <row r="17" ht="16" customHeight="1">
      <c r="A17" s="4" t="inlineStr">
        <is>
          <t>TŘETÍ VĚTVENÍ: čalouněné (9401 61 / 9401 71) vs. nečalouněné (9401 69 / 9401 79).</t>
        </is>
      </c>
    </row>
    <row r="18" ht="30" customHeight="1">
      <c r="A18" s="4" t="inlineStr">
        <is>
          <t>Test „čalouněné“ dle vysvětlivek k HS/KN: sedadlo má pod potahem měkkou výplň (pěna, molitan, pérování apod.). Je-li potah (koženka) natažen přímo na pevnou konstrukci BEZ výplně, sedadlo se za čalouněné NEPOVAŽUJE → 9401 79 00. Toto je přesně otázka 2 z e-mailu.</t>
        </is>
      </c>
    </row>
    <row r="19" ht="30" customHeight="1">
      <c r="A19" s="4" t="inlineStr">
        <is>
          <t>Rozhodujícím kritériem jsou objektivní charakteristiky zboží (judikatura SDEU) — proto je nutné doplnit údaje od zákazníka, nikoli dovozovat z obchodního názvu na faktuře.</t>
        </is>
      </c>
    </row>
    <row r="21">
      <c r="A21" s="2" t="inlineStr">
        <is>
          <t>3) ROZHODOVACÍ MATICE — jakmile přijdou odpovědi, finální kód se odečte zde</t>
        </is>
      </c>
    </row>
    <row r="22" ht="32" customHeight="1">
      <c r="A22" s="8" t="inlineStr">
        <is>
          <t>Model</t>
        </is>
      </c>
      <c r="B22" s="8" t="inlineStr">
        <is>
          <t>Otázka 3: otočné + nastavitelná výška?</t>
        </is>
      </c>
      <c r="C22" s="8" t="inlineStr">
        <is>
          <t>Otázka 1: materiál rámu</t>
        </is>
      </c>
      <c r="D22" s="8" t="inlineStr">
        <is>
          <t>Otázka 2: skutečné čalounění?</t>
        </is>
      </c>
      <c r="E22" s="8" t="inlineStr">
        <is>
          <t>→ FINÁLNÍ KÓD KN</t>
        </is>
      </c>
      <c r="F22" s="8" t="inlineStr">
        <is>
          <t>Poznámka</t>
        </is>
      </c>
    </row>
    <row r="23" ht="28" customHeight="1">
      <c r="A23" s="13" t="inlineStr">
        <is>
          <t>KIRA / NORA</t>
        </is>
      </c>
      <c r="B23" s="9" t="inlineStr">
        <is>
          <t>ANO (otáčí se i výškově staví)</t>
        </is>
      </c>
      <c r="C23" s="9" t="inlineStr">
        <is>
          <t>kov (pochromovaný podstavec)</t>
        </is>
      </c>
      <c r="D23" s="9" t="inlineStr">
        <is>
          <t>nerozhoduje</t>
        </is>
      </c>
      <c r="E23" s="23" t="inlineStr">
        <is>
          <t>9401 39 00</t>
        </is>
      </c>
      <c r="F23" s="9">
        <f> návrh v souboru. Čalounění v této podpoložce nehraje roli.</f>
        <v/>
      </c>
    </row>
    <row r="24" ht="28" customHeight="1">
      <c r="A24" s="13" t="inlineStr">
        <is>
          <t>KIRA / NORA</t>
        </is>
      </c>
      <c r="B24" s="9" t="inlineStr">
        <is>
          <t>NE (jen se otáčí, výška pevná)</t>
        </is>
      </c>
      <c r="C24" s="9" t="inlineStr">
        <is>
          <t>kov</t>
        </is>
      </c>
      <c r="D24" s="9" t="inlineStr">
        <is>
          <t>ANO – měkká výplň pod potahem</t>
        </is>
      </c>
      <c r="E24" s="24" t="inlineStr">
        <is>
          <t>9401 71 00</t>
        </is>
      </c>
      <c r="F24" s="9" t="inlineStr">
        <is>
          <t>Přesun do „ostatních sedadel“.</t>
        </is>
      </c>
    </row>
    <row r="25" ht="28" customHeight="1">
      <c r="A25" s="13" t="inlineStr">
        <is>
          <t>KIRA / NORA</t>
        </is>
      </c>
      <c r="B25" s="9" t="inlineStr">
        <is>
          <t>NE (jen se otáčí, výška pevná)</t>
        </is>
      </c>
      <c r="C25" s="9" t="inlineStr">
        <is>
          <t>kov</t>
        </is>
      </c>
      <c r="D25" s="9" t="inlineStr">
        <is>
          <t>NE – koženka přímo na konstrukci</t>
        </is>
      </c>
      <c r="E25" s="24" t="inlineStr">
        <is>
          <t>9401 79 00</t>
        </is>
      </c>
      <c r="F25" s="9" t="inlineStr">
        <is>
          <t>Přesun do „ostatních sedadel“, nečalouněné.</t>
        </is>
      </c>
    </row>
    <row r="26" ht="28" customHeight="1">
      <c r="A26" s="13" t="inlineStr">
        <is>
          <t>ETAN / MC-015</t>
        </is>
      </c>
      <c r="B26" s="9" t="inlineStr">
        <is>
          <t>NE (předpoklad dle popisu)</t>
        </is>
      </c>
      <c r="C26" s="9" t="inlineStr">
        <is>
          <t>kov</t>
        </is>
      </c>
      <c r="D26" s="9" t="inlineStr">
        <is>
          <t>ANO – měkká výplň pod potahem</t>
        </is>
      </c>
      <c r="E26" s="23" t="inlineStr">
        <is>
          <t>9401 71 00</t>
        </is>
      </c>
      <c r="F26" s="9">
        <f> návrh v souboru.</f>
        <v/>
      </c>
    </row>
    <row r="27" ht="28" customHeight="1">
      <c r="A27" s="13" t="inlineStr">
        <is>
          <t>ETAN / MC-015</t>
        </is>
      </c>
      <c r="B27" s="9" t="inlineStr">
        <is>
          <t>NE</t>
        </is>
      </c>
      <c r="C27" s="9" t="inlineStr">
        <is>
          <t>kov</t>
        </is>
      </c>
      <c r="D27" s="9" t="inlineStr">
        <is>
          <t>NE – koženka přímo na konstrukci</t>
        </is>
      </c>
      <c r="E27" s="24" t="inlineStr">
        <is>
          <t>9401 79 00</t>
        </is>
      </c>
      <c r="F27" s="9" t="inlineStr">
        <is>
          <t>Návrh by byl chybný.</t>
        </is>
      </c>
    </row>
    <row r="28" ht="28" customHeight="1">
      <c r="A28" s="13" t="inlineStr">
        <is>
          <t>ETAN / MC-015</t>
        </is>
      </c>
      <c r="B28" s="9" t="inlineStr">
        <is>
          <t>NE</t>
        </is>
      </c>
      <c r="C28" s="9" t="inlineStr">
        <is>
          <t>dřevo</t>
        </is>
      </c>
      <c r="D28" s="9" t="inlineStr">
        <is>
          <t>ANO</t>
        </is>
      </c>
      <c r="E28" s="24" t="inlineStr">
        <is>
          <t>9401 61 00</t>
        </is>
      </c>
      <c r="F28" s="9" t="inlineStr">
        <is>
          <t>Návrh by byl chybný.</t>
        </is>
      </c>
    </row>
    <row r="29" ht="28" customHeight="1">
      <c r="A29" s="13" t="inlineStr">
        <is>
          <t>ETAN / MC-015</t>
        </is>
      </c>
      <c r="B29" s="9" t="inlineStr">
        <is>
          <t>NE</t>
        </is>
      </c>
      <c r="C29" s="9" t="inlineStr">
        <is>
          <t>dřevo</t>
        </is>
      </c>
      <c r="D29" s="9" t="inlineStr">
        <is>
          <t>NE</t>
        </is>
      </c>
      <c r="E29" s="24" t="inlineStr">
        <is>
          <t>9401 69 00</t>
        </is>
      </c>
      <c r="F29" s="9" t="inlineStr">
        <is>
          <t>Návrh by byl chybný.</t>
        </is>
      </c>
    </row>
    <row r="30" ht="28" customHeight="1">
      <c r="A30" s="13" t="inlineStr">
        <is>
          <t>ETAN / MC-015</t>
        </is>
      </c>
      <c r="B30" s="9" t="inlineStr">
        <is>
          <t>NE</t>
        </is>
      </c>
      <c r="C30" s="9" t="inlineStr">
        <is>
          <t>plast / jiný materiál</t>
        </is>
      </c>
      <c r="D30" s="9" t="inlineStr">
        <is>
          <t>nerozhoduje</t>
        </is>
      </c>
      <c r="E30" s="24" t="inlineStr">
        <is>
          <t>9401 80 00</t>
        </is>
      </c>
      <c r="F30" s="9" t="inlineStr">
        <is>
          <t>Návrh by byl chybný.</t>
        </is>
      </c>
    </row>
    <row r="31" ht="28" customHeight="1">
      <c r="A31" s="13" t="inlineStr">
        <is>
          <t>ETAN / MC-015</t>
        </is>
      </c>
      <c r="B31" s="9" t="inlineStr">
        <is>
          <t>ANO</t>
        </is>
      </c>
      <c r="C31" s="9" t="inlineStr">
        <is>
          <t>kov</t>
        </is>
      </c>
      <c r="D31" s="9" t="inlineStr">
        <is>
          <t>nerozhoduje</t>
        </is>
      </c>
      <c r="E31" s="24" t="inlineStr">
        <is>
          <t>9401 39 00</t>
        </is>
      </c>
      <c r="F31" s="9" t="inlineStr">
        <is>
          <t>Pouze pokud by se potvrdilo otáčení + výškové nastavení.</t>
        </is>
      </c>
    </row>
    <row r="33" ht="30" customHeight="1">
      <c r="A33" s="25" t="inlineStr">
        <is>
          <t>Escalation: v případě přetrvávající pochybnosti kontaktovat tarifní tým — customs.tariff@mauriceward.com (dle referenční prezentace), s popisem zboží, složením, funkcí, původem a doklady.</t>
        </is>
      </c>
    </row>
  </sheetData>
  <mergeCells count="13">
    <mergeCell ref="A13:G13"/>
    <mergeCell ref="A14:G14"/>
    <mergeCell ref="A33:F33"/>
    <mergeCell ref="A17:G17"/>
    <mergeCell ref="A18:G18"/>
    <mergeCell ref="A12:G12"/>
    <mergeCell ref="B9:G9"/>
    <mergeCell ref="B8:G8"/>
    <mergeCell ref="A4:G4"/>
    <mergeCell ref="A16:G16"/>
    <mergeCell ref="A15:G15"/>
    <mergeCell ref="A19:G19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9" customWidth="1" min="4" max="4"/>
    <col width="12" customWidth="1" min="5" max="5"/>
    <col width="13" customWidth="1" min="6" max="6"/>
    <col width="13" customWidth="1" min="7" max="7"/>
    <col width="15" customWidth="1" min="8" max="8"/>
    <col width="15" customWidth="1" min="9" max="9"/>
    <col width="20" customWidth="1" min="10" max="10"/>
    <col width="13" customWidth="1" min="11" max="11"/>
  </cols>
  <sheetData>
    <row r="1">
      <c r="A1" s="1" t="inlineStr">
        <is>
          <t>DETAIL POLOŽEK — podklad pro sloučení na unikátní HS kódy</t>
        </is>
      </c>
    </row>
    <row r="2">
      <c r="A2" s="22" t="inlineStr">
        <is>
          <t>Zdroj: Packing list INV 26200131C (kontejner MRKU3227650) + Commercial invoice INV 26200232C</t>
        </is>
      </c>
    </row>
    <row r="4" ht="32" customHeight="1">
      <c r="A4" s="8" t="inlineStr">
        <is>
          <t>Odesílatel</t>
        </is>
      </c>
      <c r="B4" s="8" t="inlineStr">
        <is>
          <t>Model (faktura)</t>
        </is>
      </c>
      <c r="C4" s="8" t="inlineStr">
        <is>
          <t>Popis CZ (klient, doslovně)</t>
        </is>
      </c>
      <c r="D4" s="8" t="inlineStr">
        <is>
          <t>Kartony</t>
        </is>
      </c>
      <c r="E4" s="8" t="inlineStr">
        <is>
          <t>Množství (ks)</t>
        </is>
      </c>
      <c r="F4" s="8" t="inlineStr">
        <is>
          <t>Jedn. cena (USD)</t>
        </is>
      </c>
      <c r="G4" s="8" t="inlineStr">
        <is>
          <t>Hodnota (USD)</t>
        </is>
      </c>
      <c r="H4" s="8" t="inlineStr">
        <is>
          <t>Čistá hmotnost (kg)</t>
        </is>
      </c>
      <c r="I4" s="8" t="inlineStr">
        <is>
          <t>Hrubá hmotnost (kg)</t>
        </is>
      </c>
      <c r="J4" s="8" t="inlineStr">
        <is>
          <t>Rozměr balení (cm)</t>
        </is>
      </c>
      <c r="K4" s="8" t="inlineStr">
        <is>
          <t>HS kód (KN)</t>
        </is>
      </c>
    </row>
    <row r="5" ht="30" customHeight="1">
      <c r="A5" s="9" t="inlineStr">
        <is>
          <t>ANJI MAOCHANG FURNITURE CO., LTD. (CN)</t>
        </is>
      </c>
      <c r="B5" s="9" t="inlineStr">
        <is>
          <t>ETAN CLIENT CHAIR – SILVER FRAME</t>
        </is>
      </c>
      <c r="C5" s="9" t="inlineStr">
        <is>
          <t>Křeslo do jídelny nebo kanceláře koženka</t>
        </is>
      </c>
      <c r="D5" s="12" t="n">
        <v>20</v>
      </c>
      <c r="E5" s="12" t="n">
        <v>20</v>
      </c>
      <c r="F5" s="11" t="n">
        <v>20.3</v>
      </c>
      <c r="G5" s="11" t="n">
        <v>406</v>
      </c>
      <c r="H5" s="11" t="n">
        <v>166</v>
      </c>
      <c r="I5" s="11" t="n">
        <v>186</v>
      </c>
      <c r="J5" s="13" t="inlineStr">
        <is>
          <t>55*47*43 / 72*52*54</t>
        </is>
      </c>
      <c r="K5" s="13" t="inlineStr">
        <is>
          <t>9401 71 00</t>
        </is>
      </c>
    </row>
    <row r="6" ht="30" customHeight="1">
      <c r="A6" s="9" t="inlineStr">
        <is>
          <t>ANJI MAOCHANG FURNITURE CO., LTD. (CN)</t>
        </is>
      </c>
      <c r="B6" s="9" t="inlineStr">
        <is>
          <t>ETAN CLIENT CHAIR – GOLDEN FRAME</t>
        </is>
      </c>
      <c r="C6" s="9" t="inlineStr">
        <is>
          <t>Křeslo do jídelny nebo kanceláře koženka</t>
        </is>
      </c>
      <c r="D6" s="12" t="n">
        <v>20</v>
      </c>
      <c r="E6" s="12" t="n">
        <v>20</v>
      </c>
      <c r="F6" s="11" t="n">
        <v>22.6</v>
      </c>
      <c r="G6" s="11" t="n">
        <v>452</v>
      </c>
      <c r="H6" s="11" t="n">
        <v>166</v>
      </c>
      <c r="I6" s="11" t="n">
        <v>186</v>
      </c>
      <c r="J6" s="13" t="inlineStr">
        <is>
          <t>55*47*43 / 72*52*54</t>
        </is>
      </c>
      <c r="K6" s="13" t="inlineStr">
        <is>
          <t>9401 71 00</t>
        </is>
      </c>
    </row>
    <row r="7" ht="30" customHeight="1">
      <c r="A7" s="9" t="inlineStr">
        <is>
          <t>ANJI MAOCHANG FURNITURE CO., LTD. (CN)</t>
        </is>
      </c>
      <c r="B7" s="9" t="inlineStr">
        <is>
          <t>KIRA TECHNICIAN CHAIR</t>
        </is>
      </c>
      <c r="C7" s="9" t="inlineStr">
        <is>
          <t>otočná židle s pochromovaným podstavcem,kozenka</t>
        </is>
      </c>
      <c r="D7" s="12" t="n">
        <v>60</v>
      </c>
      <c r="E7" s="12" t="n">
        <v>120</v>
      </c>
      <c r="F7" s="11" t="n">
        <v>15.6</v>
      </c>
      <c r="G7" s="11" t="n">
        <v>1872</v>
      </c>
      <c r="H7" s="11" t="n">
        <v>852</v>
      </c>
      <c r="I7" s="11" t="n">
        <v>972</v>
      </c>
      <c r="J7" s="13" t="inlineStr">
        <is>
          <t>61*56,5*52</t>
        </is>
      </c>
      <c r="K7" s="13" t="inlineStr">
        <is>
          <t>9401 39 00</t>
        </is>
      </c>
    </row>
    <row r="8" ht="30" customHeight="1">
      <c r="A8" s="9" t="inlineStr">
        <is>
          <t>ANJI MAOCHANG FURNITURE CO., LTD. (CN)</t>
        </is>
      </c>
      <c r="B8" s="9" t="inlineStr">
        <is>
          <t>KIRA TECHNICIAN CHAIR (gold color)</t>
        </is>
      </c>
      <c r="C8" s="9" t="inlineStr">
        <is>
          <t>otočná židle s pochromovaným podstavcem,kozenka</t>
        </is>
      </c>
      <c r="D8" s="12" t="n">
        <v>60</v>
      </c>
      <c r="E8" s="12" t="n">
        <v>120</v>
      </c>
      <c r="F8" s="11" t="n">
        <v>16.5</v>
      </c>
      <c r="G8" s="11" t="n">
        <v>1980</v>
      </c>
      <c r="H8" s="11" t="n">
        <v>852</v>
      </c>
      <c r="I8" s="11" t="n">
        <v>972</v>
      </c>
      <c r="J8" s="13" t="inlineStr">
        <is>
          <t>61*56,5*52</t>
        </is>
      </c>
      <c r="K8" s="13" t="inlineStr">
        <is>
          <t>9401 39 00</t>
        </is>
      </c>
    </row>
    <row r="9" ht="30" customHeight="1">
      <c r="A9" s="9" t="inlineStr">
        <is>
          <t>ANJI MAOCHANG FURNITURE CO., LTD. (CN)</t>
        </is>
      </c>
      <c r="B9" s="9" t="inlineStr">
        <is>
          <t>NORA TECHNICIAN CHAIR</t>
        </is>
      </c>
      <c r="C9" s="9" t="inlineStr">
        <is>
          <t>otočná židle s pochromovaným podstavcem,kozenka</t>
        </is>
      </c>
      <c r="D9" s="12" t="n">
        <v>75</v>
      </c>
      <c r="E9" s="12" t="n">
        <v>150</v>
      </c>
      <c r="F9" s="11" t="n">
        <v>12.4</v>
      </c>
      <c r="G9" s="11" t="n">
        <v>1860</v>
      </c>
      <c r="H9" s="11" t="n">
        <v>1035</v>
      </c>
      <c r="I9" s="11" t="n">
        <v>1185</v>
      </c>
      <c r="J9" s="13" t="inlineStr">
        <is>
          <t>62*45*48</t>
        </is>
      </c>
      <c r="K9" s="13" t="inlineStr">
        <is>
          <t>9401 39 00</t>
        </is>
      </c>
    </row>
    <row r="10" ht="30" customHeight="1">
      <c r="A10" s="9" t="inlineStr">
        <is>
          <t>ANJI MAOCHANG FURNITURE CO., LTD. (CN)</t>
        </is>
      </c>
      <c r="B10" s="9" t="inlineStr">
        <is>
          <t>NORA TECHNICIAN CHAIR (gold color)</t>
        </is>
      </c>
      <c r="C10" s="9" t="inlineStr">
        <is>
          <t>otočná židle s pochromovaným podstavcem,kozenka</t>
        </is>
      </c>
      <c r="D10" s="12" t="n">
        <v>75</v>
      </c>
      <c r="E10" s="12" t="n">
        <v>150</v>
      </c>
      <c r="F10" s="11" t="n">
        <v>13</v>
      </c>
      <c r="G10" s="11" t="n">
        <v>1950</v>
      </c>
      <c r="H10" s="11" t="n">
        <v>1035</v>
      </c>
      <c r="I10" s="11" t="n">
        <v>1185</v>
      </c>
      <c r="J10" s="13" t="inlineStr">
        <is>
          <t>62*45*48</t>
        </is>
      </c>
      <c r="K10" s="13" t="inlineStr">
        <is>
          <t>9401 39 00</t>
        </is>
      </c>
    </row>
    <row r="11" ht="30" customHeight="1">
      <c r="A11" s="9" t="inlineStr">
        <is>
          <t>ANJI MAOCHANG FURNITURE CO., LTD. (CN)</t>
        </is>
      </c>
      <c r="B11" s="9" t="inlineStr">
        <is>
          <t>MC-015  (v instrukci uveden jako MC-221)</t>
        </is>
      </c>
      <c r="C11" s="9" t="inlineStr">
        <is>
          <t>Křeslo do jídelny nebo kanceláře koženka</t>
        </is>
      </c>
      <c r="D11" s="12" t="n">
        <v>400</v>
      </c>
      <c r="E11" s="12" t="n">
        <v>400</v>
      </c>
      <c r="F11" s="11" t="n">
        <v>9.699999999999999</v>
      </c>
      <c r="G11" s="11" t="n">
        <v>3880</v>
      </c>
      <c r="H11" s="11" t="n">
        <v>2400</v>
      </c>
      <c r="I11" s="11" t="n">
        <v>2800</v>
      </c>
      <c r="J11" s="13" t="inlineStr">
        <is>
          <t>43,5*43,5*25</t>
        </is>
      </c>
      <c r="K11" s="13" t="inlineStr">
        <is>
          <t>9401 71 00</t>
        </is>
      </c>
    </row>
    <row r="12">
      <c r="A12" s="15" t="inlineStr">
        <is>
          <t>CELKEM</t>
        </is>
      </c>
      <c r="B12" s="16" t="n"/>
      <c r="C12" s="16" t="n"/>
      <c r="D12" s="26">
        <f>SUM(D5:D11)</f>
        <v/>
      </c>
      <c r="E12" s="26">
        <f>SUM(E5:E11)</f>
        <v/>
      </c>
      <c r="F12" s="16" t="n"/>
      <c r="G12" s="27">
        <f>SUM(G5:G11)</f>
        <v/>
      </c>
      <c r="H12" s="27">
        <f>SUM(H5:H11)</f>
        <v/>
      </c>
      <c r="I12" s="27">
        <f>SUM(I5:I11)</f>
        <v/>
      </c>
      <c r="J12" s="16" t="n"/>
      <c r="K12" s="16" t="n"/>
    </row>
    <row r="14" ht="30" customHeight="1">
      <c r="A14" s="21" t="inlineStr">
        <is>
          <t>Pozn.: packing list uvádí hmotnosti souhrnně za model (ETAN 40 ks / KIRA 240 ks / NORA 300 ks / MC-015 400 ks). Pro barevné varianty na faktuře byly hmotnosti rozděleny poměrně podle počtu kusů; součty za model i za celou zásilku zůstávají shodné s packing listem.</t>
        </is>
      </c>
    </row>
    <row r="15" ht="30" customHeight="1">
      <c r="A15" s="21" t="inlineStr">
        <is>
          <t>Pozn.: sloupec „Popis CZ“ přebírá popis klienta z instrukce k odbavení doslovně, včetně původního pravopisu („kozenka“).</t>
        </is>
      </c>
    </row>
  </sheetData>
  <mergeCells count="3">
    <mergeCell ref="A12:C12"/>
    <mergeCell ref="A15:K15"/>
    <mergeCell ref="A14:K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</cols>
  <sheetData>
    <row r="1">
      <c r="A1" s="1" t="inlineStr">
        <is>
          <t>POVINNÉ KONTROLY A UPOZORNĚNÍ</t>
        </is>
      </c>
    </row>
    <row r="3">
      <c r="A3" s="8" t="inlineStr">
        <is>
          <t>Kontrola</t>
        </is>
      </c>
      <c r="B3" s="8" t="inlineStr">
        <is>
          <t>Výsledek</t>
        </is>
      </c>
      <c r="C3" s="8" t="inlineStr">
        <is>
          <t>Detail / dopad</t>
        </is>
      </c>
    </row>
    <row r="4" ht="72" customHeight="1">
      <c r="A4" s="28" t="inlineStr">
        <is>
          <t>Rozsah – dělení po kontejnerech</t>
        </is>
      </c>
      <c r="B4" s="23" t="inlineStr">
        <is>
          <t>JEN MRKU3227650</t>
        </is>
      </c>
      <c r="C4" s="9" t="inlineStr">
        <is>
          <t>B/L ENBBRV2605491 pokrývá 2 kontejnery (1 118 kartonů / 12 394,500 kg). Dorazil pouze MRKU3227650. Packing list je v záhlaví výslovně označen „Container No.: MRKU3227650“ a faktura (980 ks / 12 400,00 USD) přesně odpovídá jeho obsahu — předložené doklady se tedy týkají VÝHRADNĚ tohoto kontejneru a nic se nemusí dělit. Kontejner CAAU5953508 (408 kartonů / 4 908,500 kg) nemá v podkladech vlastní fakturu ani packing list — je nutné si je vyžádat a odbavit samostatným JSD.</t>
        </is>
      </c>
    </row>
    <row r="5" ht="62" customHeight="1">
      <c r="A5" s="28" t="inlineStr">
        <is>
          <t>Preferenční věta (COO)</t>
        </is>
      </c>
      <c r="B5" s="29" t="inlineStr">
        <is>
          <t>NENÍ NA FAKTUŘE</t>
        </is>
      </c>
      <c r="C5" s="9" t="inlineStr">
        <is>
          <t>Na obchodní faktuře 26200232C ani na packing listu NENÍ uvedena preferenční věta / deklarace o původu. Zboží je čínského původu a EU nemá s Čínou dohodu o volném obchodu — preferenční sazební zacházení proto NELZE uplatnit. Uplatní se standardní třetizemní (erga omnes) celní sazba.</t>
        </is>
      </c>
    </row>
    <row r="6" ht="62" customHeight="1">
      <c r="A6" s="28" t="inlineStr">
        <is>
          <t>REX číslo na faktuře</t>
        </is>
      </c>
      <c r="B6" s="29" t="inlineStr">
        <is>
          <t>NENÍ UVEDENO</t>
        </is>
      </c>
      <c r="C6" s="9" t="inlineStr">
        <is>
          <t>Na faktuře NENÍ uvedeno žádné REX číslo ani číslo celního povolení vývozce. Výslovně upozorňuji na jeho absenci. Pro čínský původ je to bez praktického dopadu (Čína není v systému GSP/REX pro EU a nemá s EU FTA), ale konstatuji explicitně, že doklad o preferenčním původu chybí.</t>
        </is>
      </c>
    </row>
    <row r="7" ht="72" customHeight="1">
      <c r="A7" s="28" t="inlineStr">
        <is>
          <t>Melt and pour (země tavby a odlití)</t>
        </is>
      </c>
      <c r="B7" s="23" t="inlineStr">
        <is>
          <t>NEAPLIKUJE SE</t>
        </is>
      </c>
      <c r="C7" s="9" t="inlineStr">
        <is>
          <t>Kontrola provedena. Zásilka NENÍ dovozem oceli/železa — jde o hotová sedadla čísla 9401 (kapitola 94), nikoli o výrobky ze železa a oceli (kap. 72/73). Povinnost doložit zemi tavby a odlití (hutní atest / mill test certificate) se proto na tuto zásilku nevztahuje a atest se nevyžaduje. Pokud by se u některého modelu potvrdila ocelová konstrukce, nemění to nic — rozhodující je sazební zařazení zboží do kap. 94, ne materiál komponentu.</t>
        </is>
      </c>
    </row>
    <row r="8" ht="62" customHeight="1">
      <c r="A8" s="28" t="inlineStr">
        <is>
          <t>CBAM</t>
        </is>
      </c>
      <c r="B8" s="23" t="inlineStr">
        <is>
          <t>NEAPLIKUJE SE</t>
        </is>
      </c>
      <c r="C8" s="9" t="inlineStr">
        <is>
          <t>Zásilka neobsahuje žádnou CBAM-relevantní položku — sedadla čísla 9401 (kapitola 94) nespadají do rozsahu CBAM (cement, železo a ocel, hliník, hnojiva, elektřina, vodík). Nahlášení CBAM se pro tuto zásilku nevyžaduje.</t>
        </is>
      </c>
    </row>
    <row r="9" ht="72" customHeight="1">
      <c r="A9" s="28" t="inlineStr">
        <is>
          <t>CBAM — příjemce v registru</t>
        </is>
      </c>
      <c r="B9" s="30" t="inlineStr">
        <is>
          <t>NENALEZEN (bez dopadu)</t>
        </is>
      </c>
      <c r="C9" s="9" t="inlineStr">
        <is>
          <t>Doplňková kontrola: NSN Cosmetics s.r.o. (IČO 04127137) NENÍ v souboru reference/CBAM_receivers_CZ.xlsx (list List1, 100 záznamů) — ani podle názvu firmy, ani podle EORI/IČO. Protože zásilka žádné CBAM zboží neobsahuje, nemá to na toto odbavení vliv. Pokud by firma měla někdy dovážet CBAM zboží, je třeba ji do registru doplnit.</t>
        </is>
      </c>
    </row>
    <row r="10" ht="62" customHeight="1">
      <c r="A10" s="28" t="inlineStr">
        <is>
          <t>Antidumping</t>
        </is>
      </c>
      <c r="B10" s="30" t="inlineStr">
        <is>
          <t>NEIDENTIFIKOVÁNO — ověřit v TARIC</t>
        </is>
      </c>
      <c r="C10" s="9" t="inlineStr">
        <is>
          <t>K sedadlům čísla 9401 původem z Číny mi není známo žádné platné antidumpingové ani vyrovnávací opatření EU. Vzhledem k tomu, že finální kód zatím není potvrzen, doporučuji ověřit opatření v TARIC až na finální kód před podáním JSD.</t>
        </is>
      </c>
    </row>
    <row r="11" ht="62" customHeight="1">
      <c r="A11" s="28" t="inlineStr">
        <is>
          <t>Celková částka (Total)</t>
        </is>
      </c>
      <c r="B11" s="23" t="inlineStr">
        <is>
          <t>PŘEVZAT ŘÁDEK TOTAL</t>
        </is>
      </c>
      <c r="C11" s="9" t="inlineStr">
        <is>
          <t>Faktura obsahuje řádek označený TOTAL = 12 400,00 USD; tato částka je použita jako cena / celní hodnota zásilky. Hodnoty u jednotlivých HS kódů jsou součtem sloupce AMOUNT a jejich součet se rovná TOTAL. Faktura neuvádí žádnou částku před/po slevě, takže se nic nedopočítává.</t>
        </is>
      </c>
    </row>
    <row r="12" ht="72" customHeight="1">
      <c r="A12" s="28" t="inlineStr">
        <is>
          <t>Popis zboží</t>
        </is>
      </c>
      <c r="B12" s="23" t="inlineStr">
        <is>
          <t>POPIS KLIENTA, DOSLOVNĚ</t>
        </is>
      </c>
      <c r="C12" s="9" t="inlineStr">
        <is>
          <t>Do sloupce Popis je převzat český popis klienta z instrukce k odbavení, doslovně — „Křeslo do jídelny nebo kanceláře koženka“ a „otočná židle s pochromovaným podstavcem,kozenka“ (včetně původního pravopisu). Popis nebyl přeformulován ani nahrazen zněním sazebníku; znění podpoložek KN je samostatně na listu „Zařazení VPV KN“.</t>
        </is>
      </c>
    </row>
    <row r="13" ht="62" customHeight="1">
      <c r="A13" s="28" t="inlineStr">
        <is>
          <t>Obchodní sleva</t>
        </is>
      </c>
      <c r="B13" s="23" t="inlineStr">
        <is>
          <t>ŽÁDNÁ</t>
        </is>
      </c>
      <c r="C13" s="9" t="inlineStr">
        <is>
          <t>Faktura neuvádí žádnou obchodní slevu — proporcionální rozpuštění slevy do celní hodnoty se neaplikuje.</t>
        </is>
      </c>
    </row>
    <row r="14" ht="62" customHeight="1">
      <c r="A14" s="28" t="inlineStr">
        <is>
          <t>INCOTERM</t>
        </is>
      </c>
      <c r="B14" s="23" t="inlineStr">
        <is>
          <t>FOB Ningbo</t>
        </is>
      </c>
      <c r="C14" s="9" t="inlineStr">
        <is>
          <t>Dodací podmínka FOB s přístavem nalodění Ningbo (Čína). Odpovídá údaji „FREIGHT COLLECT“ na B/L. POZOR: u FOB je nutné k celní hodnotě připočíst přepravné a pojištění až na hranice EU (čl. 71 UCC).</t>
        </is>
      </c>
    </row>
    <row r="15" ht="62" customHeight="1">
      <c r="A15" s="28" t="inlineStr">
        <is>
          <t>Kontrola součtů</t>
        </is>
      </c>
      <c r="B15" s="23" t="inlineStr">
        <is>
          <t>SOUHLASÍ</t>
        </is>
      </c>
      <c r="C15" s="9" t="inlineStr">
        <is>
          <t>Souhrn sedí na packing list i fakturu: 980 ks · 710 kartonů · netto 6 506,00 kg · brutto 7 486,00 kg · hodnota 12 400,00 USD. Brutto odpovídá i údaji na B/L pro kontejner MRKU3227650.</t>
        </is>
      </c>
    </row>
    <row r="17">
      <c r="A17" s="2" t="inlineStr">
        <is>
          <t>NESROVNALOSTI V DOKLADECH — k vyjasnění s klientem</t>
        </is>
      </c>
    </row>
    <row r="18">
      <c r="A18" s="8" t="inlineStr">
        <is>
          <t>#</t>
        </is>
      </c>
      <c r="B18" s="8" t="inlineStr">
        <is>
          <t>Nesrovnalost</t>
        </is>
      </c>
      <c r="C18" s="8" t="inlineStr">
        <is>
          <t>Doporučení</t>
        </is>
      </c>
    </row>
    <row r="19" ht="60" customHeight="1">
      <c r="A19" s="13" t="n">
        <v>1</v>
      </c>
      <c r="B19" s="9" t="inlineStr">
        <is>
          <t>Číslo faktury se liší: instrukce k odbavení i packing list uvádějí 26200131C, ale obchodní faktura je označena 26200232C (stejně tak S/C). Obsah faktury (980 ks / 12 400,00 USD) přitom přesně odpovídá packing listu pro kontejner MRKU3227650. Vzhledem ke druhému kontejneru hrozí záměna — je možné, že 26200232C patří ke kontejneru CAAU5953508.</t>
        </is>
      </c>
      <c r="C19" s="9" t="inlineStr">
        <is>
          <t>Před podáním JSD si u klienta potvrdit, které číslo faktury patří ke kontejneru MRKU3227650, a vyžádat doklady ke druhému kontejneru.</t>
        </is>
      </c>
    </row>
    <row r="20" ht="48" customHeight="1">
      <c r="A20" s="13" t="n">
        <v>2</v>
      </c>
      <c r="B20" s="9" t="inlineStr">
        <is>
          <t>Označení modelu: instrukce a e-mail uvádějí „MC-221“, faktura i packing list uvádějí „MC-015“ (shodně 400 ks / 400 kartonů).</t>
        </is>
      </c>
      <c r="C20" s="9" t="inlineStr">
        <is>
          <t>Potvrdit, že jde o tentýž výrobek; do popisu zboží v kolonce 31 uvést označení podle faktury.</t>
        </is>
      </c>
    </row>
    <row r="21" ht="48" customHeight="1">
      <c r="A21" s="13" t="n">
        <v>3</v>
      </c>
      <c r="B21" s="9" t="inlineStr">
        <is>
          <t>B/L deklaruje pro celou zásilku jediný kód „HS CODE: 94013900“ a popis „OFFICE CHAIR“ — zjednodušení přepravce, které neodpovídá skutečnému zařazení jednotlivých modelů.</t>
        </is>
      </c>
      <c r="C21" s="9" t="inlineStr">
        <is>
          <t>Údaj z B/L nepřebírat; zařazení provést dle skutečných vlastností zboží.</t>
        </is>
      </c>
    </row>
    <row r="22" ht="48" customHeight="1">
      <c r="A22" s="13" t="n">
        <v>4</v>
      </c>
      <c r="B22" s="9" t="inlineStr">
        <is>
          <t>Druhý kontejner CAAU5953508 (408 kartonů / 4 908,500 kg) dosud nedorazil a nemá v podkladech vlastní fakturu ani packing list.</t>
        </is>
      </c>
      <c r="C22" s="9" t="inlineStr">
        <is>
          <t>Vyžádat fakturu a packing list ke kontejneru CAAU5953508; odbavit samostatným JSD po jeho příchodu.</t>
        </is>
      </c>
    </row>
    <row r="23" ht="48" customHeight="1">
      <c r="A23" s="13" t="n">
        <v>5</v>
      </c>
      <c r="B23" s="9" t="inlineStr">
        <is>
          <t>Faktura má v záhlaví tabulky „AMOUNT IN RMB“, ale všechny částky jsou v USD a slovní vyjádření zní „…TWELVE THOUSAND FOUR HUNDRED USD ONLY“; instrukce rovněž uvádí 12 400 USD.</t>
        </is>
      </c>
      <c r="C23" s="9" t="inlineStr">
        <is>
          <t>Měna = USD. Doporučuji vyžádat opravu záhlaví faktury, aby nevznikl spor o měnu při kontrole.</t>
        </is>
      </c>
    </row>
    <row r="24" ht="48" customHeight="1">
      <c r="A24" s="13" t="n">
        <v>6</v>
      </c>
      <c r="B24" s="9" t="inlineStr">
        <is>
          <t>Faktura neobsahuje popis zboží po modelech — všechny řádky mají souhrnný popis „OFFICE CHAIR“.</t>
        </is>
      </c>
      <c r="C24" s="9" t="inlineStr">
        <is>
          <t>Pro kolonku 31 použít konkrétní české popisy klienta z instrukce.</t>
        </is>
      </c>
    </row>
    <row r="25" ht="60" customHeight="1">
      <c r="A25" s="13" t="n">
        <v>7</v>
      </c>
      <c r="B25" s="9" t="inlineStr">
        <is>
          <t>Packing list — nesrovnalost v jednotkové hmotnosti u ETAN: 40 kartonů × 18,60 kg = 744 kg, ale uvedený součet je 372 kg (netto 16,60 × 40 = 664 vs. uvedeno 332). Součty za celou zásilku jsou přitom správné a sedí na B/L.</t>
        </is>
      </c>
      <c r="C25" s="9" t="inlineStr">
        <is>
          <t>Jednotková hmotnost ETAN má být 9,30 kg brutto / 8,30 kg netto. Upozornit odesílatele na chybu; na souhrn ani na JSD to nemá vliv, protože se pracuje se správnými součty.</t>
        </is>
      </c>
    </row>
    <row r="27">
      <c r="A27" s="2" t="inlineStr">
        <is>
          <t>OTEVŘENÉ OTÁZKY NA KLIENTA (dle e-mailu — nutné pro finální zařazení)</t>
        </is>
      </c>
    </row>
    <row r="28" ht="30" customHeight="1">
      <c r="A28" s="7" t="inlineStr">
        <is>
          <t>1) Materiál nosné konstrukce / rámu: kov / dřevo / plast / jiný — jaký? (rozhoduje mezi 9401 61/69 × 9401 71/79 × 9401 80)</t>
        </is>
      </c>
    </row>
    <row r="29" ht="30" customHeight="1">
      <c r="A29" s="7" t="inlineStr">
        <is>
          <t>2) Konstrukce sedáku a opěradla: je pod potahem / koženkou měkká výplň (např. pěna) = skutečné čalounění, nebo je potah natažen přímo na pevnou konstrukci? (rozhoduje mezi 9401 71 × 9401 79)</t>
        </is>
      </c>
    </row>
    <row r="30" ht="30" customHeight="1">
      <c r="A30" s="7" t="inlineStr">
        <is>
          <t>3) Je sedadlo otočné a ZÁROVEŇ má nastavitelnou výšku? (rozhoduje, zda vůbec patří do 9401 39 — obě vlastnosti musí být splněny současně)</t>
        </is>
      </c>
    </row>
    <row r="31" ht="30" customHeight="1">
      <c r="A31" s="7" t="inlineStr">
        <is>
          <t>Otázky je třeba zodpovědět zvlášť pro každý model: ETAN / KIRA / NORA / MC-221 (MC-015).</t>
        </is>
      </c>
    </row>
  </sheetData>
  <mergeCells count="4">
    <mergeCell ref="A29:C29"/>
    <mergeCell ref="A28:C28"/>
    <mergeCell ref="A31:C3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2026-10-16T07:51:11Z</dcterms:created>
  <dcterms:modified xsi:type="dcterms:W3CDTF">2026-10-16T07:51:11Z</dcterms:modified>
</cp:coreProperties>
</file>