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hrn HS kodu" sheetId="1" state="visible" r:id="rId1"/>
    <sheet name="Polozky detail" sheetId="2" state="visible" r:id="rId2"/>
    <sheet name="Poznamky a upozorneni" sheetId="3" state="visible" r:id="rId3"/>
  </sheets>
  <definedNames>
    <definedName name="_xlnm._FilterDatabase" localSheetId="0" hidden="1">'Souhrn HS kodu'!$A$5:$N$67</definedName>
    <definedName name="_xlnm._FilterDatabase" localSheetId="1" hidden="1">'Polozky detail'!$A$1:$Q$73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00"/>
  </numFmts>
  <fonts count="8">
    <font>
      <name val="Calibri"/>
      <family val="2"/>
      <color theme="1"/>
      <sz val="11"/>
      <scheme val="minor"/>
    </font>
    <font>
      <b val="1"/>
      <sz val="13"/>
    </font>
    <font>
      <sz val="10"/>
    </font>
    <font>
      <b val="1"/>
      <color rgb="00FFFFFF"/>
    </font>
    <font>
      <b val="1"/>
    </font>
    <font>
      <b val="1"/>
      <sz val="11"/>
    </font>
    <font>
      <i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/>
    </xf>
    <xf numFmtId="164" fontId="0" fillId="4" borderId="1" applyAlignment="1" pivotButton="0" quotePrefix="0" xfId="0">
      <alignment vertical="top"/>
    </xf>
    <xf numFmtId="4" fontId="0" fillId="4" borderId="1" applyAlignment="1" pivotButton="0" quotePrefix="0" xfId="0">
      <alignment vertical="top"/>
    </xf>
    <xf numFmtId="0" fontId="0" fillId="5" borderId="1" pivotButton="0" quotePrefix="0" xfId="0"/>
    <xf numFmtId="0" fontId="4" fillId="5" borderId="1" pivotButton="0" quotePrefix="0" xfId="0"/>
    <xf numFmtId="3" fontId="4" fillId="5" borderId="1" pivotButton="0" quotePrefix="0" xfId="0"/>
    <xf numFmtId="164" fontId="4" fillId="5" borderId="1" pivotButton="0" quotePrefix="0" xfId="0"/>
    <xf numFmtId="4" fontId="4" fillId="5" borderId="1" pivotButton="0" quotePrefix="0" xfId="0"/>
    <xf numFmtId="0" fontId="5" fillId="5" borderId="1" pivotButton="0" quotePrefix="0" xfId="0"/>
    <xf numFmtId="3" fontId="5" fillId="5" borderId="1" pivotButton="0" quotePrefix="0" xfId="0"/>
    <xf numFmtId="164" fontId="5" fillId="5" borderId="1" pivotButton="0" quotePrefix="0" xfId="0"/>
    <xf numFmtId="4" fontId="5" fillId="5" borderId="1" pivotButton="0" quotePrefix="0" xfId="0"/>
    <xf numFmtId="0" fontId="4" fillId="0" borderId="0" pivotButton="0" quotePrefix="0" xfId="0"/>
    <xf numFmtId="4" fontId="0" fillId="0" borderId="0" pivotButton="0" quotePrefix="0" xfId="0"/>
    <xf numFmtId="0" fontId="6" fillId="0" borderId="0" pivotButton="0" quotePrefix="0" xfId="0"/>
    <xf numFmtId="4" fontId="4" fillId="0" borderId="0" pivotButton="0" quotePrefix="0" xfId="0"/>
    <xf numFmtId="165" fontId="0" fillId="4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7" fillId="2" borderId="1" pivotButton="0" quotePrefix="0" xfId="0"/>
    <xf numFmtId="0" fontId="0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6" customWidth="1" min="3" max="3"/>
    <col width="62" customWidth="1" min="4" max="4"/>
    <col width="13" customWidth="1" min="5" max="5"/>
    <col width="16" customWidth="1" min="6" max="6"/>
    <col width="17" customWidth="1" min="7" max="7"/>
    <col width="18" customWidth="1" min="8" max="8"/>
    <col width="13" customWidth="1" min="9" max="9"/>
    <col width="17" customWidth="1" min="10" max="10"/>
    <col width="14" customWidth="1" min="11" max="11"/>
    <col width="34" customWidth="1" min="12" max="12"/>
    <col width="40" customWidth="1" min="13" max="13"/>
    <col width="14" customWidth="1" min="14" max="14"/>
  </cols>
  <sheetData>
    <row r="1">
      <c r="A1" s="1" t="inlineStr">
        <is>
          <t>Souhrn HS kodu - 4Leaders, s.r.o. - zasilka LCL14 (2026LCL14)</t>
        </is>
      </c>
    </row>
    <row r="2">
      <c r="A2" s="2" t="inlineStr">
        <is>
          <t>Prijemce: 4Leaders, s.r.o., Pribenicka 695/5, 390 01 Tabor, CZ, EORI CZ28144708</t>
        </is>
      </c>
    </row>
    <row r="3">
      <c r="A3" s="2" t="inlineStr">
        <is>
          <t>Kontejner: MRKU4193663 / CN6483808   |   Incoterms: FOB Ningbo   |   Mena: USD   |   Puvod: Cina</t>
        </is>
      </c>
    </row>
    <row r="5" ht="32" customHeight="1">
      <c r="A5" s="3" t="inlineStr">
        <is>
          <t>Odesilatel</t>
        </is>
      </c>
      <c r="B5" s="3" t="inlineStr">
        <is>
          <t>Faktura c.</t>
        </is>
      </c>
      <c r="C5" s="3" t="inlineStr">
        <is>
          <t>HS / KN kod</t>
        </is>
      </c>
      <c r="D5" s="3" t="inlineStr">
        <is>
          <t>Popis (CZ - popis klienta)</t>
        </is>
      </c>
      <c r="E5" s="3" t="inlineStr">
        <is>
          <t>Mnozstvi (ks)</t>
        </is>
      </c>
      <c r="F5" s="3" t="inlineStr">
        <is>
          <t>Cista hmotnost (kg)</t>
        </is>
      </c>
      <c r="G5" s="3" t="inlineStr">
        <is>
          <t>Hruba hmotnost (kg)</t>
        </is>
      </c>
      <c r="H5" s="3" t="inlineStr">
        <is>
          <t>Cena dle faktury (USD)</t>
        </is>
      </c>
      <c r="I5" s="3" t="inlineStr">
        <is>
          <t>Sleva (USD)</t>
        </is>
      </c>
      <c r="J5" s="3" t="inlineStr">
        <is>
          <t>Celni hodnota (USD)</t>
        </is>
      </c>
      <c r="K5" s="3" t="inlineStr">
        <is>
          <t>Incoterms</t>
        </is>
      </c>
      <c r="L5" s="3" t="inlineStr">
        <is>
          <t>CBAM</t>
        </is>
      </c>
      <c r="M5" s="3" t="inlineStr">
        <is>
          <t>Antidumping</t>
        </is>
      </c>
      <c r="N5" s="3" t="inlineStr">
        <is>
          <t>Polozky c.</t>
        </is>
      </c>
    </row>
    <row r="6">
      <c r="A6" s="4" t="inlineStr">
        <is>
          <t>ODESILATEL: Ningbo Onway Imp &amp; Exp Co., Ltd.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6" t="n"/>
    </row>
    <row r="7">
      <c r="A7" s="7" t="inlineStr">
        <is>
          <t>Ningbo Onway Imp &amp; Exp Co., Ltd.</t>
        </is>
      </c>
      <c r="B7" s="7" t="inlineStr">
        <is>
          <t>26OW08001 LCL14</t>
        </is>
      </c>
      <c r="C7" s="7" t="inlineStr">
        <is>
          <t>3916 90 10 90</t>
        </is>
      </c>
      <c r="D7" s="8" t="inlineStr">
        <is>
          <t>Pomůcka pro zmenšení prstýnku</t>
        </is>
      </c>
      <c r="E7" s="9" t="n">
        <v>1000</v>
      </c>
      <c r="F7" s="10" t="n">
        <v>2</v>
      </c>
      <c r="G7" s="10" t="n">
        <v>2.5</v>
      </c>
      <c r="H7" s="11" t="n">
        <v>150</v>
      </c>
      <c r="I7" s="11" t="n">
        <v>0</v>
      </c>
      <c r="J7" s="11" t="n">
        <v>150</v>
      </c>
      <c r="K7" s="7" t="inlineStr">
        <is>
          <t>FOB Ningbo</t>
        </is>
      </c>
      <c r="L7" s="8" t="inlineStr">
        <is>
          <t>Ne</t>
        </is>
      </c>
      <c r="M7" s="8" t="inlineStr">
        <is>
          <t>Ne</t>
        </is>
      </c>
      <c r="N7" s="7" t="inlineStr">
        <is>
          <t>27</t>
        </is>
      </c>
    </row>
    <row r="8">
      <c r="A8" s="7" t="inlineStr">
        <is>
          <t>Ningbo Onway Imp &amp; Exp Co., Ltd.</t>
        </is>
      </c>
      <c r="B8" s="7" t="inlineStr">
        <is>
          <t>26OW08001 LCL14</t>
        </is>
      </c>
      <c r="C8" s="7" t="inlineStr">
        <is>
          <t>3919 90 80 99</t>
        </is>
      </c>
      <c r="D8" s="8" t="inlineStr">
        <is>
          <t>Matná okenní fólie 100x60 cm - pruhy; Protiskluzové pásky - transparentní; Nálepky na okno svítící ve tmě - sněhové vločky 64 ks</t>
        </is>
      </c>
      <c r="E8" s="9" t="n">
        <v>1820</v>
      </c>
      <c r="F8" s="10" t="n">
        <v>116.4</v>
      </c>
      <c r="G8" s="10" t="n">
        <v>126.4</v>
      </c>
      <c r="H8" s="11" t="n">
        <v>737.6</v>
      </c>
      <c r="I8" s="11" t="n">
        <v>0</v>
      </c>
      <c r="J8" s="11" t="n">
        <v>737.6</v>
      </c>
      <c r="K8" s="7" t="inlineStr">
        <is>
          <t>FOB Ningbo</t>
        </is>
      </c>
      <c r="L8" s="8" t="inlineStr">
        <is>
          <t>Ne</t>
        </is>
      </c>
      <c r="M8" s="8" t="inlineStr">
        <is>
          <t>Ne</t>
        </is>
      </c>
      <c r="N8" s="7" t="inlineStr">
        <is>
          <t>5, 26, 51</t>
        </is>
      </c>
    </row>
    <row r="9">
      <c r="A9" s="7" t="inlineStr">
        <is>
          <t>Ningbo Onway Imp &amp; Exp Co., Ltd.</t>
        </is>
      </c>
      <c r="B9" s="7" t="inlineStr">
        <is>
          <t>26OW08001 LCL14</t>
        </is>
      </c>
      <c r="C9" s="7" t="inlineStr">
        <is>
          <t>3923 50 10 00</t>
        </is>
      </c>
      <c r="D9" s="8" t="inlineStr">
        <is>
          <t>Silikonové víčko na lahev</t>
        </is>
      </c>
      <c r="E9" s="9" t="n">
        <v>500</v>
      </c>
      <c r="F9" s="10" t="n">
        <v>4</v>
      </c>
      <c r="G9" s="10" t="n">
        <v>5</v>
      </c>
      <c r="H9" s="11" t="n">
        <v>80</v>
      </c>
      <c r="I9" s="11" t="n">
        <v>0</v>
      </c>
      <c r="J9" s="11" t="n">
        <v>80</v>
      </c>
      <c r="K9" s="7" t="inlineStr">
        <is>
          <t>FOB Ningbo</t>
        </is>
      </c>
      <c r="L9" s="8" t="inlineStr">
        <is>
          <t>Ne</t>
        </is>
      </c>
      <c r="M9" s="8" t="inlineStr">
        <is>
          <t>Ne</t>
        </is>
      </c>
      <c r="N9" s="7" t="inlineStr">
        <is>
          <t>47</t>
        </is>
      </c>
    </row>
    <row r="10">
      <c r="A10" s="7" t="inlineStr">
        <is>
          <t>Ningbo Onway Imp &amp; Exp Co., Ltd.</t>
        </is>
      </c>
      <c r="B10" s="7" t="inlineStr">
        <is>
          <t>26OW08001 LCL14</t>
        </is>
      </c>
      <c r="C10" s="7" t="inlineStr">
        <is>
          <t>3924 10 00 90</t>
        </is>
      </c>
      <c r="D10" s="8" t="inlineStr">
        <is>
          <t>Transparentní organizér - obdélníkový; Prostírání - pařez; Dávkovač na med</t>
        </is>
      </c>
      <c r="E10" s="9" t="n">
        <v>1200</v>
      </c>
      <c r="F10" s="10" t="n">
        <v>108.3</v>
      </c>
      <c r="G10" s="10" t="n">
        <v>117.3</v>
      </c>
      <c r="H10" s="11" t="n">
        <v>558.6</v>
      </c>
      <c r="I10" s="11" t="n">
        <v>0</v>
      </c>
      <c r="J10" s="11" t="n">
        <v>558.6</v>
      </c>
      <c r="K10" s="7" t="inlineStr">
        <is>
          <t>FOB Ningbo</t>
        </is>
      </c>
      <c r="L10" s="8" t="inlineStr">
        <is>
          <t>Ne</t>
        </is>
      </c>
      <c r="M10" s="8" t="inlineStr">
        <is>
          <t>Ne</t>
        </is>
      </c>
      <c r="N10" s="7" t="inlineStr">
        <is>
          <t>13, 30, 48</t>
        </is>
      </c>
    </row>
    <row r="11">
      <c r="A11" s="7" t="inlineStr">
        <is>
          <t>Ningbo Onway Imp &amp; Exp Co., Ltd.</t>
        </is>
      </c>
      <c r="B11" s="7" t="inlineStr">
        <is>
          <t>26OW08001 LCL14</t>
        </is>
      </c>
      <c r="C11" s="7" t="inlineStr">
        <is>
          <t>3924 90 00 90</t>
        </is>
      </c>
      <c r="D11" s="8" t="inlineStr">
        <is>
          <t>Masážní protiskluzová podložka do sprchy</t>
        </is>
      </c>
      <c r="E11" s="9" t="n">
        <v>200</v>
      </c>
      <c r="F11" s="10" t="n">
        <v>124</v>
      </c>
      <c r="G11" s="10" t="n">
        <v>132</v>
      </c>
      <c r="H11" s="11" t="n">
        <v>292</v>
      </c>
      <c r="I11" s="11" t="n">
        <v>0</v>
      </c>
      <c r="J11" s="11" t="n">
        <v>292</v>
      </c>
      <c r="K11" s="7" t="inlineStr">
        <is>
          <t>FOB Ningbo</t>
        </is>
      </c>
      <c r="L11" s="8" t="inlineStr">
        <is>
          <t>Ne</t>
        </is>
      </c>
      <c r="M11" s="8" t="inlineStr">
        <is>
          <t>Ne</t>
        </is>
      </c>
      <c r="N11" s="7" t="inlineStr">
        <is>
          <t>35</t>
        </is>
      </c>
    </row>
    <row r="12">
      <c r="A12" s="7" t="inlineStr">
        <is>
          <t>Ningbo Onway Imp &amp; Exp Co., Ltd.</t>
        </is>
      </c>
      <c r="B12" s="7" t="inlineStr">
        <is>
          <t>26OW08001 LCL14</t>
        </is>
      </c>
      <c r="C12" s="7" t="inlineStr">
        <is>
          <t>3926 40 00 00</t>
        </is>
      </c>
      <c r="D12" s="8" t="inlineStr">
        <is>
          <t>Dekorace na strom - obličej s krmítkem</t>
        </is>
      </c>
      <c r="E12" s="9" t="n">
        <v>352</v>
      </c>
      <c r="F12" s="10" t="n">
        <v>126.5</v>
      </c>
      <c r="G12" s="10" t="n">
        <v>137.5</v>
      </c>
      <c r="H12" s="11" t="n">
        <v>644.16</v>
      </c>
      <c r="I12" s="11" t="n">
        <v>0</v>
      </c>
      <c r="J12" s="11" t="n">
        <v>644.16</v>
      </c>
      <c r="K12" s="7" t="inlineStr">
        <is>
          <t>FOB Ningbo</t>
        </is>
      </c>
      <c r="L12" s="8" t="inlineStr">
        <is>
          <t>Ne</t>
        </is>
      </c>
      <c r="M12" s="8" t="inlineStr">
        <is>
          <t>Ne</t>
        </is>
      </c>
      <c r="N12" s="7" t="inlineStr">
        <is>
          <t>22</t>
        </is>
      </c>
    </row>
    <row r="13">
      <c r="A13" s="7" t="inlineStr">
        <is>
          <t>Ningbo Onway Imp &amp; Exp Co., Ltd.</t>
        </is>
      </c>
      <c r="B13" s="7" t="inlineStr">
        <is>
          <t>26OW08001 LCL14</t>
        </is>
      </c>
      <c r="C13" s="7" t="inlineStr">
        <is>
          <t>3926 90 97 90</t>
        </is>
      </c>
      <c r="D13" s="8" t="inlineStr">
        <is>
          <t>Líný držák na mobil; Silikonová podložka na sezení; Deska na rychloskládání oblečení - červená; Organizér na kabely - 5 otvorů; Obal na skládací deštník; Protiskluzové podložky 4 ks</t>
        </is>
      </c>
      <c r="E13" s="9" t="n">
        <v>3193</v>
      </c>
      <c r="F13" s="10" t="n">
        <v>470.7</v>
      </c>
      <c r="G13" s="10" t="n">
        <v>497.2</v>
      </c>
      <c r="H13" s="11" t="n">
        <v>1866.4</v>
      </c>
      <c r="I13" s="11" t="n">
        <v>0</v>
      </c>
      <c r="J13" s="11" t="n">
        <v>1866.4</v>
      </c>
      <c r="K13" s="7" t="inlineStr">
        <is>
          <t>FOB Ningbo</t>
        </is>
      </c>
      <c r="L13" s="8" t="inlineStr">
        <is>
          <t>Ne</t>
        </is>
      </c>
      <c r="M13" s="8" t="inlineStr">
        <is>
          <t>Ne</t>
        </is>
      </c>
      <c r="N13" s="7" t="inlineStr">
        <is>
          <t>14, 19, 32, 37, 39, 40</t>
        </is>
      </c>
    </row>
    <row r="14">
      <c r="A14" s="7" t="inlineStr">
        <is>
          <t>Ningbo Onway Imp &amp; Exp Co., Ltd.</t>
        </is>
      </c>
      <c r="B14" s="7" t="inlineStr">
        <is>
          <t>26OW08001 LCL14</t>
        </is>
      </c>
      <c r="C14" s="7" t="inlineStr">
        <is>
          <t>4202 12 50 00</t>
        </is>
      </c>
      <c r="D14" s="8" t="inlineStr">
        <is>
          <t>Kufříkový organizér</t>
        </is>
      </c>
      <c r="E14" s="9" t="n">
        <v>270</v>
      </c>
      <c r="F14" s="10" t="n">
        <v>111.6</v>
      </c>
      <c r="G14" s="10" t="n">
        <v>120.6</v>
      </c>
      <c r="H14" s="11" t="n">
        <v>472.5</v>
      </c>
      <c r="I14" s="11" t="n">
        <v>0</v>
      </c>
      <c r="J14" s="11" t="n">
        <v>472.5</v>
      </c>
      <c r="K14" s="7" t="inlineStr">
        <is>
          <t>FOB Ningbo</t>
        </is>
      </c>
      <c r="L14" s="8" t="inlineStr">
        <is>
          <t>Ne</t>
        </is>
      </c>
      <c r="M14" s="8" t="inlineStr">
        <is>
          <t>Ne</t>
        </is>
      </c>
      <c r="N14" s="7" t="inlineStr">
        <is>
          <t>17</t>
        </is>
      </c>
    </row>
    <row r="15">
      <c r="A15" s="7" t="inlineStr">
        <is>
          <t>Ningbo Onway Imp &amp; Exp Co., Ltd.</t>
        </is>
      </c>
      <c r="B15" s="7" t="inlineStr">
        <is>
          <t>26OW08001 LCL14</t>
        </is>
      </c>
      <c r="C15" s="7" t="inlineStr">
        <is>
          <t>4202 32 90 90</t>
        </is>
      </c>
      <c r="D15" s="8" t="inlineStr">
        <is>
          <t>Organizér do kabelky - modrý</t>
        </is>
      </c>
      <c r="E15" s="9" t="n">
        <v>600</v>
      </c>
      <c r="F15" s="10" t="n">
        <v>48</v>
      </c>
      <c r="G15" s="10" t="n">
        <v>51</v>
      </c>
      <c r="H15" s="11" t="n">
        <v>624</v>
      </c>
      <c r="I15" s="11" t="n">
        <v>0</v>
      </c>
      <c r="J15" s="11" t="n">
        <v>624</v>
      </c>
      <c r="K15" s="7" t="inlineStr">
        <is>
          <t>FOB Ningbo</t>
        </is>
      </c>
      <c r="L15" s="8" t="inlineStr">
        <is>
          <t>Ne</t>
        </is>
      </c>
      <c r="M15" s="8" t="inlineStr">
        <is>
          <t>Ne</t>
        </is>
      </c>
      <c r="N15" s="7" t="inlineStr">
        <is>
          <t>41</t>
        </is>
      </c>
    </row>
    <row r="16">
      <c r="A16" s="7" t="inlineStr">
        <is>
          <t>Ningbo Onway Imp &amp; Exp Co., Ltd.</t>
        </is>
      </c>
      <c r="B16" s="7" t="inlineStr">
        <is>
          <t>26OW08001 LCL14</t>
        </is>
      </c>
      <c r="C16" s="7" t="inlineStr">
        <is>
          <t>4202 92 11 00</t>
        </is>
      </c>
      <c r="D16" s="8" t="inlineStr">
        <is>
          <t>Velkokapacitní cestovní kosmetická taštička</t>
        </is>
      </c>
      <c r="E16" s="9" t="n">
        <v>200</v>
      </c>
      <c r="F16" s="10" t="n">
        <v>34.8</v>
      </c>
      <c r="G16" s="10" t="n">
        <v>36.8</v>
      </c>
      <c r="H16" s="11" t="n">
        <v>290</v>
      </c>
      <c r="I16" s="11" t="n">
        <v>0</v>
      </c>
      <c r="J16" s="11" t="n">
        <v>290</v>
      </c>
      <c r="K16" s="7" t="inlineStr">
        <is>
          <t>FOB Ningbo</t>
        </is>
      </c>
      <c r="L16" s="8" t="inlineStr">
        <is>
          <t>Ne</t>
        </is>
      </c>
      <c r="M16" s="8" t="inlineStr">
        <is>
          <t>Ne</t>
        </is>
      </c>
      <c r="N16" s="7" t="inlineStr">
        <is>
          <t>16</t>
        </is>
      </c>
    </row>
    <row r="17">
      <c r="A17" s="7" t="inlineStr">
        <is>
          <t>Ningbo Onway Imp &amp; Exp Co., Ltd.</t>
        </is>
      </c>
      <c r="B17" s="7" t="inlineStr">
        <is>
          <t>26OW08001 LCL14</t>
        </is>
      </c>
      <c r="C17" s="7" t="inlineStr">
        <is>
          <t>4202 92 98 90</t>
        </is>
      </c>
      <c r="D17" s="8" t="inlineStr">
        <is>
          <t>Organizér do auta na suchý zip - 50x16 cm</t>
        </is>
      </c>
      <c r="E17" s="9" t="n">
        <v>525</v>
      </c>
      <c r="F17" s="10" t="n">
        <v>171.5</v>
      </c>
      <c r="G17" s="10" t="n">
        <v>178.5</v>
      </c>
      <c r="H17" s="11" t="n">
        <v>567</v>
      </c>
      <c r="I17" s="11" t="n">
        <v>0</v>
      </c>
      <c r="J17" s="11" t="n">
        <v>567</v>
      </c>
      <c r="K17" s="7" t="inlineStr">
        <is>
          <t>FOB Ningbo</t>
        </is>
      </c>
      <c r="L17" s="8" t="inlineStr">
        <is>
          <t>Ne</t>
        </is>
      </c>
      <c r="M17" s="8" t="inlineStr">
        <is>
          <t>Ne</t>
        </is>
      </c>
      <c r="N17" s="7" t="inlineStr">
        <is>
          <t>25</t>
        </is>
      </c>
    </row>
    <row r="18">
      <c r="A18" s="7" t="inlineStr">
        <is>
          <t>Ningbo Onway Imp &amp; Exp Co., Ltd.</t>
        </is>
      </c>
      <c r="B18" s="7" t="inlineStr">
        <is>
          <t>26OW08001 LCL14</t>
        </is>
      </c>
      <c r="C18" s="7" t="inlineStr">
        <is>
          <t>4402 10 00 90</t>
        </is>
      </c>
      <c r="D18" s="8" t="inlineStr">
        <is>
          <t>Sáčky s aktivním uhlím do bot proti zápachu a vlhkosti</t>
        </is>
      </c>
      <c r="E18" s="9" t="n">
        <v>600</v>
      </c>
      <c r="F18" s="10" t="n">
        <v>60</v>
      </c>
      <c r="G18" s="10" t="n">
        <v>66</v>
      </c>
      <c r="H18" s="11" t="n">
        <v>282</v>
      </c>
      <c r="I18" s="11" t="n">
        <v>0</v>
      </c>
      <c r="J18" s="11" t="n">
        <v>282</v>
      </c>
      <c r="K18" s="7" t="inlineStr">
        <is>
          <t>FOB Ningbo</t>
        </is>
      </c>
      <c r="L18" s="8" t="inlineStr">
        <is>
          <t>Ne</t>
        </is>
      </c>
      <c r="M18" s="8" t="inlineStr">
        <is>
          <t>Ne</t>
        </is>
      </c>
      <c r="N18" s="7" t="inlineStr">
        <is>
          <t>38</t>
        </is>
      </c>
    </row>
    <row r="19">
      <c r="A19" s="7" t="inlineStr">
        <is>
          <t>Ningbo Onway Imp &amp; Exp Co., Ltd.</t>
        </is>
      </c>
      <c r="B19" s="7" t="inlineStr">
        <is>
          <t>26OW08001 LCL14</t>
        </is>
      </c>
      <c r="C19" s="7" t="inlineStr">
        <is>
          <t>4905 90 00 90</t>
        </is>
      </c>
      <c r="D19" s="8" t="inlineStr">
        <is>
          <t>Stírací mapa České republiky</t>
        </is>
      </c>
      <c r="E19" s="9" t="n">
        <v>1000</v>
      </c>
      <c r="F19" s="10" t="n">
        <v>212</v>
      </c>
      <c r="G19" s="10" t="n">
        <v>236</v>
      </c>
      <c r="H19" s="11" t="n">
        <v>1550</v>
      </c>
      <c r="I19" s="11" t="n">
        <v>0</v>
      </c>
      <c r="J19" s="11" t="n">
        <v>1550</v>
      </c>
      <c r="K19" s="7" t="inlineStr">
        <is>
          <t>FOB Ningbo</t>
        </is>
      </c>
      <c r="L19" s="8" t="inlineStr">
        <is>
          <t>Ne</t>
        </is>
      </c>
      <c r="M19" s="8" t="inlineStr">
        <is>
          <t>Ne</t>
        </is>
      </c>
      <c r="N19" s="7" t="inlineStr">
        <is>
          <t>2</t>
        </is>
      </c>
    </row>
    <row r="20">
      <c r="A20" s="7" t="inlineStr">
        <is>
          <t>Ningbo Onway Imp &amp; Exp Co., Ltd.</t>
        </is>
      </c>
      <c r="B20" s="7" t="inlineStr">
        <is>
          <t>26OW08001 LCL14</t>
        </is>
      </c>
      <c r="C20" s="7" t="inlineStr">
        <is>
          <t>6110 30 99 00</t>
        </is>
      </c>
      <c r="D20" s="8" t="inlineStr">
        <is>
          <t>Hřejivá mikinová deka - vínová</t>
        </is>
      </c>
      <c r="E20" s="9" t="n">
        <v>1960</v>
      </c>
      <c r="F20" s="10" t="n">
        <v>1685.6</v>
      </c>
      <c r="G20" s="10" t="n">
        <v>1783.6</v>
      </c>
      <c r="H20" s="11" t="n">
        <v>9506</v>
      </c>
      <c r="I20" s="11" t="n">
        <v>0</v>
      </c>
      <c r="J20" s="11" t="n">
        <v>9506</v>
      </c>
      <c r="K20" s="7" t="inlineStr">
        <is>
          <t>FOB Ningbo</t>
        </is>
      </c>
      <c r="L20" s="8" t="inlineStr">
        <is>
          <t>Ne</t>
        </is>
      </c>
      <c r="M20" s="8" t="inlineStr">
        <is>
          <t>Ne</t>
        </is>
      </c>
      <c r="N20" s="7" t="inlineStr">
        <is>
          <t>1</t>
        </is>
      </c>
    </row>
    <row r="21">
      <c r="A21" s="7" t="inlineStr">
        <is>
          <t>Ningbo Onway Imp &amp; Exp Co., Ltd.</t>
        </is>
      </c>
      <c r="B21" s="7" t="inlineStr">
        <is>
          <t>26OW08001 LCL14</t>
        </is>
      </c>
      <c r="C21" s="7" t="inlineStr">
        <is>
          <t>6115 21 00 00</t>
        </is>
      </c>
      <c r="D21" s="8" t="inlineStr">
        <is>
          <t>Nezničitelné silonky - černé</t>
        </is>
      </c>
      <c r="E21" s="9" t="n">
        <v>1250</v>
      </c>
      <c r="F21" s="10" t="n">
        <v>89</v>
      </c>
      <c r="G21" s="10" t="n">
        <v>94</v>
      </c>
      <c r="H21" s="11" t="n">
        <v>1725</v>
      </c>
      <c r="I21" s="11" t="n">
        <v>0</v>
      </c>
      <c r="J21" s="11" t="n">
        <v>1725</v>
      </c>
      <c r="K21" s="7" t="inlineStr">
        <is>
          <t>FOB Ningbo</t>
        </is>
      </c>
      <c r="L21" s="8" t="inlineStr">
        <is>
          <t>Ne</t>
        </is>
      </c>
      <c r="M21" s="8" t="inlineStr">
        <is>
          <t>Ne</t>
        </is>
      </c>
      <c r="N21" s="7" t="inlineStr">
        <is>
          <t>9</t>
        </is>
      </c>
    </row>
    <row r="22">
      <c r="A22" s="7" t="inlineStr">
        <is>
          <t>Ningbo Onway Imp &amp; Exp Co., Ltd.</t>
        </is>
      </c>
      <c r="B22" s="7" t="inlineStr">
        <is>
          <t>26OW08001 LCL14</t>
        </is>
      </c>
      <c r="C22" s="7" t="inlineStr">
        <is>
          <t>6115 96 99 00</t>
        </is>
      </c>
      <c r="D22" s="8" t="inlineStr">
        <is>
          <t>Ponožky - Přines mi kávu</t>
        </is>
      </c>
      <c r="E22" s="9" t="n">
        <v>1700</v>
      </c>
      <c r="F22" s="10" t="n">
        <v>93.5</v>
      </c>
      <c r="G22" s="10" t="n">
        <v>110.5</v>
      </c>
      <c r="H22" s="11" t="n">
        <v>884</v>
      </c>
      <c r="I22" s="11" t="n">
        <v>0</v>
      </c>
      <c r="J22" s="11" t="n">
        <v>884</v>
      </c>
      <c r="K22" s="7" t="inlineStr">
        <is>
          <t>FOB Ningbo</t>
        </is>
      </c>
      <c r="L22" s="8" t="inlineStr">
        <is>
          <t>Ne</t>
        </is>
      </c>
      <c r="M22" s="8" t="inlineStr">
        <is>
          <t>Ne</t>
        </is>
      </c>
      <c r="N22" s="7" t="inlineStr">
        <is>
          <t>3</t>
        </is>
      </c>
    </row>
    <row r="23">
      <c r="A23" s="7" t="inlineStr">
        <is>
          <t>Ningbo Onway Imp &amp; Exp Co., Ltd.</t>
        </is>
      </c>
      <c r="B23" s="7" t="inlineStr">
        <is>
          <t>26OW08001 LCL14</t>
        </is>
      </c>
      <c r="C23" s="7" t="inlineStr">
        <is>
          <t>6116 93 00 00</t>
        </is>
      </c>
      <c r="D23" s="8" t="inlineStr">
        <is>
          <t>Pletené návleky na ruce - černé</t>
        </is>
      </c>
      <c r="E23" s="9" t="n">
        <v>200</v>
      </c>
      <c r="F23" s="10" t="n">
        <v>5.8</v>
      </c>
      <c r="G23" s="10" t="n">
        <v>6.8</v>
      </c>
      <c r="H23" s="11" t="n">
        <v>130</v>
      </c>
      <c r="I23" s="11" t="n">
        <v>0</v>
      </c>
      <c r="J23" s="11" t="n">
        <v>130</v>
      </c>
      <c r="K23" s="7" t="inlineStr">
        <is>
          <t>FOB Ningbo</t>
        </is>
      </c>
      <c r="L23" s="8" t="inlineStr">
        <is>
          <t>Ne</t>
        </is>
      </c>
      <c r="M23" s="8" t="inlineStr">
        <is>
          <t>Ne</t>
        </is>
      </c>
      <c r="N23" s="7" t="inlineStr">
        <is>
          <t>52</t>
        </is>
      </c>
    </row>
    <row r="24">
      <c r="A24" s="7" t="inlineStr">
        <is>
          <t>Ningbo Onway Imp &amp; Exp Co., Ltd.</t>
        </is>
      </c>
      <c r="B24" s="7" t="inlineStr">
        <is>
          <t>26OW08001 LCL14</t>
        </is>
      </c>
      <c r="C24" s="7" t="inlineStr">
        <is>
          <t>6307 90 10 00</t>
        </is>
      </c>
      <c r="D24" s="8" t="inlineStr">
        <is>
          <t>Televizní deka s rukávy - modrá</t>
        </is>
      </c>
      <c r="E24" s="9" t="n">
        <v>336</v>
      </c>
      <c r="F24" s="10" t="n">
        <v>292.5</v>
      </c>
      <c r="G24" s="10" t="n">
        <v>307.5</v>
      </c>
      <c r="H24" s="11" t="n">
        <v>1293.6</v>
      </c>
      <c r="I24" s="11" t="n">
        <v>0</v>
      </c>
      <c r="J24" s="11" t="n">
        <v>1293.6</v>
      </c>
      <c r="K24" s="7" t="inlineStr">
        <is>
          <t>FOB Ningbo</t>
        </is>
      </c>
      <c r="L24" s="8" t="inlineStr">
        <is>
          <t>Ne</t>
        </is>
      </c>
      <c r="M24" s="8" t="inlineStr">
        <is>
          <t>Ne</t>
        </is>
      </c>
      <c r="N24" s="7" t="inlineStr">
        <is>
          <t>50</t>
        </is>
      </c>
    </row>
    <row r="25">
      <c r="A25" s="7" t="inlineStr">
        <is>
          <t>Ningbo Onway Imp &amp; Exp Co., Ltd.</t>
        </is>
      </c>
      <c r="B25" s="7" t="inlineStr">
        <is>
          <t>26OW08001 LCL14</t>
        </is>
      </c>
      <c r="C25" s="7" t="inlineStr">
        <is>
          <t>6307 90 98 99</t>
        </is>
      </c>
      <c r="D25" s="8" t="inlineStr">
        <is>
          <t>Reflexní kšandy; Vánoční obal na láhev</t>
        </is>
      </c>
      <c r="E25" s="9" t="n">
        <v>2000</v>
      </c>
      <c r="F25" s="10" t="n">
        <v>140.1</v>
      </c>
      <c r="G25" s="10" t="n">
        <v>156.1</v>
      </c>
      <c r="H25" s="11" t="n">
        <v>1025</v>
      </c>
      <c r="I25" s="11" t="n">
        <v>0</v>
      </c>
      <c r="J25" s="11" t="n">
        <v>1025</v>
      </c>
      <c r="K25" s="7" t="inlineStr">
        <is>
          <t>FOB Ningbo</t>
        </is>
      </c>
      <c r="L25" s="8" t="inlineStr">
        <is>
          <t>Ne</t>
        </is>
      </c>
      <c r="M25" s="8" t="inlineStr">
        <is>
          <t>Ne</t>
        </is>
      </c>
      <c r="N25" s="7" t="inlineStr">
        <is>
          <t>15, 42</t>
        </is>
      </c>
    </row>
    <row r="26">
      <c r="A26" s="12" t="inlineStr">
        <is>
          <t>Ningbo Onway Imp &amp; Exp Co., Ltd.</t>
        </is>
      </c>
      <c r="B26" s="12" t="inlineStr">
        <is>
          <t>26OW08001 LCL14</t>
        </is>
      </c>
      <c r="C26" s="12" t="inlineStr">
        <is>
          <t>7616 99 90 99</t>
        </is>
      </c>
      <c r="D26" s="13" t="inlineStr">
        <is>
          <t>Přenosný polohovací stolek na notebook s větracími štěrbinami</t>
        </is>
      </c>
      <c r="E26" s="14" t="n">
        <v>700</v>
      </c>
      <c r="F26" s="15" t="n">
        <v>875</v>
      </c>
      <c r="G26" s="15" t="n">
        <v>945</v>
      </c>
      <c r="H26" s="16" t="n">
        <v>4305</v>
      </c>
      <c r="I26" s="16" t="n">
        <v>0</v>
      </c>
      <c r="J26" s="16" t="n">
        <v>4305</v>
      </c>
      <c r="K26" s="12" t="inlineStr">
        <is>
          <t>FOB Ningbo</t>
        </is>
      </c>
      <c r="L26" s="13" t="inlineStr">
        <is>
          <t>ANO - hlinik, KN 7616 (priloha I nar. 2023/956)</t>
        </is>
      </c>
      <c r="M26" s="13" t="inlineStr">
        <is>
          <t>OVERIT - ex 7616 99 90 spada do rozsahu AD opatreni na hlinikove vytlacovane vyrobky z CN (nar. (EU) 2021/546), pokud jde o extrudovany profil</t>
        </is>
      </c>
      <c r="N26" s="12" t="inlineStr">
        <is>
          <t>4</t>
        </is>
      </c>
    </row>
    <row r="27">
      <c r="A27" s="7" t="inlineStr">
        <is>
          <t>Ningbo Onway Imp &amp; Exp Co., Ltd.</t>
        </is>
      </c>
      <c r="B27" s="7" t="inlineStr">
        <is>
          <t>26OW08001 LCL14</t>
        </is>
      </c>
      <c r="C27" s="7" t="inlineStr">
        <is>
          <t>8205 51 00 00</t>
        </is>
      </c>
      <c r="D27" s="8" t="inlineStr">
        <is>
          <t>Otvírák na zavařovací sklenice</t>
        </is>
      </c>
      <c r="E27" s="9" t="n">
        <v>400</v>
      </c>
      <c r="F27" s="10" t="n">
        <v>46</v>
      </c>
      <c r="G27" s="10" t="n">
        <v>48</v>
      </c>
      <c r="H27" s="11" t="n">
        <v>208</v>
      </c>
      <c r="I27" s="11" t="n">
        <v>0</v>
      </c>
      <c r="J27" s="11" t="n">
        <v>208</v>
      </c>
      <c r="K27" s="7" t="inlineStr">
        <is>
          <t>FOB Ningbo</t>
        </is>
      </c>
      <c r="L27" s="8" t="inlineStr">
        <is>
          <t>Ne</t>
        </is>
      </c>
      <c r="M27" s="8" t="inlineStr">
        <is>
          <t>Ne</t>
        </is>
      </c>
      <c r="N27" s="7" t="inlineStr">
        <is>
          <t>45</t>
        </is>
      </c>
    </row>
    <row r="28">
      <c r="A28" s="7" t="inlineStr">
        <is>
          <t>Ningbo Onway Imp &amp; Exp Co., Ltd.</t>
        </is>
      </c>
      <c r="B28" s="7" t="inlineStr">
        <is>
          <t>26OW08001 LCL14</t>
        </is>
      </c>
      <c r="C28" s="7" t="inlineStr">
        <is>
          <t>8213 00 00 00</t>
        </is>
      </c>
      <c r="D28" s="8" t="inlineStr">
        <is>
          <t>Nůžky na bylinky</t>
        </is>
      </c>
      <c r="E28" s="9" t="n">
        <v>800</v>
      </c>
      <c r="F28" s="10" t="n">
        <v>114.4</v>
      </c>
      <c r="G28" s="10" t="n">
        <v>122.4</v>
      </c>
      <c r="H28" s="11" t="n">
        <v>696</v>
      </c>
      <c r="I28" s="11" t="n">
        <v>0</v>
      </c>
      <c r="J28" s="11" t="n">
        <v>696</v>
      </c>
      <c r="K28" s="7" t="inlineStr">
        <is>
          <t>FOB Ningbo</t>
        </is>
      </c>
      <c r="L28" s="8" t="inlineStr">
        <is>
          <t>Ne</t>
        </is>
      </c>
      <c r="M28" s="8" t="inlineStr">
        <is>
          <t>Ne</t>
        </is>
      </c>
      <c r="N28" s="7" t="inlineStr">
        <is>
          <t>10</t>
        </is>
      </c>
    </row>
    <row r="29">
      <c r="A29" s="7" t="inlineStr">
        <is>
          <t>Ningbo Onway Imp &amp; Exp Co., Ltd.</t>
        </is>
      </c>
      <c r="B29" s="7" t="inlineStr">
        <is>
          <t>26OW08001 LCL14</t>
        </is>
      </c>
      <c r="C29" s="7" t="inlineStr">
        <is>
          <t>8424 89 70 00</t>
        </is>
      </c>
      <c r="D29" s="8" t="inlineStr">
        <is>
          <t>Úsporná sprchová hlavice; Úsporná rotující sprchová hlavice - stříbrná</t>
        </is>
      </c>
      <c r="E29" s="9" t="n">
        <v>400</v>
      </c>
      <c r="F29" s="10" t="n">
        <v>58</v>
      </c>
      <c r="G29" s="10" t="n">
        <v>60</v>
      </c>
      <c r="H29" s="11" t="n">
        <v>336</v>
      </c>
      <c r="I29" s="11" t="n">
        <v>0</v>
      </c>
      <c r="J29" s="11" t="n">
        <v>336</v>
      </c>
      <c r="K29" s="7" t="inlineStr">
        <is>
          <t>FOB Ningbo</t>
        </is>
      </c>
      <c r="L29" s="8" t="inlineStr">
        <is>
          <t>Ne</t>
        </is>
      </c>
      <c r="M29" s="8" t="inlineStr">
        <is>
          <t>Ne</t>
        </is>
      </c>
      <c r="N29" s="7" t="inlineStr">
        <is>
          <t>6, 28</t>
        </is>
      </c>
    </row>
    <row r="30">
      <c r="A30" s="7" t="inlineStr">
        <is>
          <t>Ningbo Onway Imp &amp; Exp Co., Ltd.</t>
        </is>
      </c>
      <c r="B30" s="7" t="inlineStr">
        <is>
          <t>26OW08001 LCL14</t>
        </is>
      </c>
      <c r="C30" s="7" t="inlineStr">
        <is>
          <t>8479 89 97 90</t>
        </is>
      </c>
      <c r="D30" s="8" t="inlineStr">
        <is>
          <t>Průhledný dávkovač mýdla 300 ml</t>
        </is>
      </c>
      <c r="E30" s="9" t="n">
        <v>405</v>
      </c>
      <c r="F30" s="10" t="n">
        <v>47.1</v>
      </c>
      <c r="G30" s="10" t="n">
        <v>50.1</v>
      </c>
      <c r="H30" s="11" t="n">
        <v>178.2</v>
      </c>
      <c r="I30" s="11" t="n">
        <v>0</v>
      </c>
      <c r="J30" s="11" t="n">
        <v>178.2</v>
      </c>
      <c r="K30" s="7" t="inlineStr">
        <is>
          <t>FOB Ningbo</t>
        </is>
      </c>
      <c r="L30" s="8" t="inlineStr">
        <is>
          <t>Ne</t>
        </is>
      </c>
      <c r="M30" s="8" t="inlineStr">
        <is>
          <t>Ne</t>
        </is>
      </c>
      <c r="N30" s="7" t="inlineStr">
        <is>
          <t>29</t>
        </is>
      </c>
    </row>
    <row r="31">
      <c r="A31" s="7" t="inlineStr">
        <is>
          <t>Ningbo Onway Imp &amp; Exp Co., Ltd.</t>
        </is>
      </c>
      <c r="B31" s="7" t="inlineStr">
        <is>
          <t>26OW08001 LCL14</t>
        </is>
      </c>
      <c r="C31" s="7" t="inlineStr">
        <is>
          <t>8481 90 00 90</t>
        </is>
      </c>
      <c r="D31" s="8" t="inlineStr">
        <is>
          <t>Úsporný adaptér na vodu</t>
        </is>
      </c>
      <c r="E31" s="9" t="n">
        <v>250</v>
      </c>
      <c r="F31" s="10" t="n">
        <v>17.5</v>
      </c>
      <c r="G31" s="10" t="n">
        <v>18.5</v>
      </c>
      <c r="H31" s="11" t="n">
        <v>125</v>
      </c>
      <c r="I31" s="11" t="n">
        <v>0</v>
      </c>
      <c r="J31" s="11" t="n">
        <v>125</v>
      </c>
      <c r="K31" s="7" t="inlineStr">
        <is>
          <t>FOB Ningbo</t>
        </is>
      </c>
      <c r="L31" s="8" t="inlineStr">
        <is>
          <t>Ne</t>
        </is>
      </c>
      <c r="M31" s="8" t="inlineStr">
        <is>
          <t>Ne</t>
        </is>
      </c>
      <c r="N31" s="7" t="inlineStr">
        <is>
          <t>44</t>
        </is>
      </c>
    </row>
    <row r="32">
      <c r="A32" s="7" t="inlineStr">
        <is>
          <t>Ningbo Onway Imp &amp; Exp Co., Ltd.</t>
        </is>
      </c>
      <c r="B32" s="7" t="inlineStr">
        <is>
          <t>26OW08001 LCL14</t>
        </is>
      </c>
      <c r="C32" s="7" t="inlineStr">
        <is>
          <t>8518 10 00 90</t>
        </is>
      </c>
      <c r="D32" s="8" t="inlineStr">
        <is>
          <t>Bezdrátový karaoke mikrofon s reproduktorem a Bluetooth stříbrný</t>
        </is>
      </c>
      <c r="E32" s="9" t="n">
        <v>250</v>
      </c>
      <c r="F32" s="10" t="n">
        <v>66.5</v>
      </c>
      <c r="G32" s="10" t="n">
        <v>71.5</v>
      </c>
      <c r="H32" s="11" t="n">
        <v>612.5</v>
      </c>
      <c r="I32" s="11" t="n">
        <v>0</v>
      </c>
      <c r="J32" s="11" t="n">
        <v>612.5</v>
      </c>
      <c r="K32" s="7" t="inlineStr">
        <is>
          <t>FOB Ningbo</t>
        </is>
      </c>
      <c r="L32" s="8" t="inlineStr">
        <is>
          <t>Ne</t>
        </is>
      </c>
      <c r="M32" s="8" t="inlineStr">
        <is>
          <t>Ne</t>
        </is>
      </c>
      <c r="N32" s="7" t="inlineStr">
        <is>
          <t>43</t>
        </is>
      </c>
    </row>
    <row r="33">
      <c r="A33" s="7" t="inlineStr">
        <is>
          <t>Ningbo Onway Imp &amp; Exp Co., Ltd.</t>
        </is>
      </c>
      <c r="B33" s="7" t="inlineStr">
        <is>
          <t>26OW08001 LCL14</t>
        </is>
      </c>
      <c r="C33" s="7" t="inlineStr">
        <is>
          <t>8518 21 00 00</t>
        </is>
      </c>
      <c r="D33" s="8" t="inlineStr">
        <is>
          <t>Reproduktory - Tančící voda</t>
        </is>
      </c>
      <c r="E33" s="9" t="n">
        <v>90</v>
      </c>
      <c r="F33" s="10" t="n">
        <v>61.8</v>
      </c>
      <c r="G33" s="10" t="n">
        <v>64.8</v>
      </c>
      <c r="H33" s="11" t="n">
        <v>652.5</v>
      </c>
      <c r="I33" s="11" t="n">
        <v>0</v>
      </c>
      <c r="J33" s="11" t="n">
        <v>652.5</v>
      </c>
      <c r="K33" s="7" t="inlineStr">
        <is>
          <t>FOB Ningbo</t>
        </is>
      </c>
      <c r="L33" s="8" t="inlineStr">
        <is>
          <t>Ne</t>
        </is>
      </c>
      <c r="M33" s="8" t="inlineStr">
        <is>
          <t>Ne</t>
        </is>
      </c>
      <c r="N33" s="7" t="inlineStr">
        <is>
          <t>18</t>
        </is>
      </c>
    </row>
    <row r="34">
      <c r="A34" s="7" t="inlineStr">
        <is>
          <t>Ningbo Onway Imp &amp; Exp Co., Ltd.</t>
        </is>
      </c>
      <c r="B34" s="7" t="inlineStr">
        <is>
          <t>26OW08001 LCL14</t>
        </is>
      </c>
      <c r="C34" s="7" t="inlineStr">
        <is>
          <t>9019 10 90 00</t>
        </is>
      </c>
      <c r="D34" s="8" t="inlineStr">
        <is>
          <t>Akupresurní podložka 35 x 35 cm</t>
        </is>
      </c>
      <c r="E34" s="9" t="n">
        <v>960</v>
      </c>
      <c r="F34" s="10" t="n">
        <v>128</v>
      </c>
      <c r="G34" s="10" t="n">
        <v>134.4</v>
      </c>
      <c r="H34" s="11" t="n">
        <v>1036.8</v>
      </c>
      <c r="I34" s="11" t="n">
        <v>0</v>
      </c>
      <c r="J34" s="11" t="n">
        <v>1036.8</v>
      </c>
      <c r="K34" s="7" t="inlineStr">
        <is>
          <t>FOB Ningbo</t>
        </is>
      </c>
      <c r="L34" s="8" t="inlineStr">
        <is>
          <t>Ne</t>
        </is>
      </c>
      <c r="M34" s="8" t="inlineStr">
        <is>
          <t>Ne</t>
        </is>
      </c>
      <c r="N34" s="7" t="inlineStr">
        <is>
          <t>8</t>
        </is>
      </c>
    </row>
    <row r="35">
      <c r="A35" s="7" t="inlineStr">
        <is>
          <t>Ningbo Onway Imp &amp; Exp Co., Ltd.</t>
        </is>
      </c>
      <c r="B35" s="7" t="inlineStr">
        <is>
          <t>26OW08001 LCL14</t>
        </is>
      </c>
      <c r="C35" s="7" t="inlineStr">
        <is>
          <t>9403 70 00 00</t>
        </is>
      </c>
      <c r="D35" s="8" t="inlineStr">
        <is>
          <t>Koupelnový regál na kolečkách 3-patrový; Polička na zeď - šestiúhelník</t>
        </is>
      </c>
      <c r="E35" s="9" t="n">
        <v>420</v>
      </c>
      <c r="F35" s="10" t="n">
        <v>241.4</v>
      </c>
      <c r="G35" s="10" t="n">
        <v>251.9</v>
      </c>
      <c r="H35" s="11" t="n">
        <v>817</v>
      </c>
      <c r="I35" s="11" t="n">
        <v>0</v>
      </c>
      <c r="J35" s="11" t="n">
        <v>817</v>
      </c>
      <c r="K35" s="7" t="inlineStr">
        <is>
          <t>FOB Ningbo</t>
        </is>
      </c>
      <c r="L35" s="8" t="inlineStr">
        <is>
          <t>Ne</t>
        </is>
      </c>
      <c r="M35" s="8" t="inlineStr">
        <is>
          <t>Ne</t>
        </is>
      </c>
      <c r="N35" s="7" t="inlineStr">
        <is>
          <t>11, 31</t>
        </is>
      </c>
    </row>
    <row r="36">
      <c r="A36" s="7" t="inlineStr">
        <is>
          <t>Ningbo Onway Imp &amp; Exp Co., Ltd.</t>
        </is>
      </c>
      <c r="B36" s="7" t="inlineStr">
        <is>
          <t>26OW08001 LCL14</t>
        </is>
      </c>
      <c r="C36" s="7" t="inlineStr">
        <is>
          <t>9405 42 31 00</t>
        </is>
      </c>
      <c r="D36" s="8" t="inlineStr">
        <is>
          <t>Svítící vánoční stromeček ve skleněné váze v dárkovém balení; Samolepící lampička 3 LED stříbrná; Svítící LED pásek se senzorem pohybu</t>
        </is>
      </c>
      <c r="E36" s="9" t="n">
        <v>2776</v>
      </c>
      <c r="F36" s="10" t="n">
        <v>293</v>
      </c>
      <c r="G36" s="10" t="n">
        <v>321</v>
      </c>
      <c r="H36" s="11" t="n">
        <v>2507.6</v>
      </c>
      <c r="I36" s="11" t="n">
        <v>0</v>
      </c>
      <c r="J36" s="11" t="n">
        <v>2507.6</v>
      </c>
      <c r="K36" s="7" t="inlineStr">
        <is>
          <t>FOB Ningbo</t>
        </is>
      </c>
      <c r="L36" s="8" t="inlineStr">
        <is>
          <t>Ne</t>
        </is>
      </c>
      <c r="M36" s="8" t="inlineStr">
        <is>
          <t>Ne</t>
        </is>
      </c>
      <c r="N36" s="7" t="inlineStr">
        <is>
          <t>21, 24, 36</t>
        </is>
      </c>
    </row>
    <row r="37">
      <c r="A37" s="7" t="inlineStr">
        <is>
          <t>Ningbo Onway Imp &amp; Exp Co., Ltd.</t>
        </is>
      </c>
      <c r="B37" s="7" t="inlineStr">
        <is>
          <t>26OW08001 LCL14</t>
        </is>
      </c>
      <c r="C37" s="7" t="inlineStr">
        <is>
          <t>9405 42 31 90</t>
        </is>
      </c>
      <c r="D37" s="8" t="inlineStr">
        <is>
          <t>Venkovní LED projektor 16 motivů</t>
        </is>
      </c>
      <c r="E37" s="9" t="n">
        <v>72</v>
      </c>
      <c r="F37" s="10" t="n">
        <v>43.5</v>
      </c>
      <c r="G37" s="10" t="n">
        <v>46.5</v>
      </c>
      <c r="H37" s="11" t="n">
        <v>734.4</v>
      </c>
      <c r="I37" s="11" t="n">
        <v>0</v>
      </c>
      <c r="J37" s="11" t="n">
        <v>734.4</v>
      </c>
      <c r="K37" s="7" t="inlineStr">
        <is>
          <t>FOB Ningbo</t>
        </is>
      </c>
      <c r="L37" s="8" t="inlineStr">
        <is>
          <t>Ne</t>
        </is>
      </c>
      <c r="M37" s="8" t="inlineStr">
        <is>
          <t>Ne</t>
        </is>
      </c>
      <c r="N37" s="7" t="inlineStr">
        <is>
          <t>20</t>
        </is>
      </c>
    </row>
    <row r="38">
      <c r="A38" s="7" t="inlineStr">
        <is>
          <t>Ningbo Onway Imp &amp; Exp Co., Ltd.</t>
        </is>
      </c>
      <c r="B38" s="7" t="inlineStr">
        <is>
          <t>26OW08001 LCL14</t>
        </is>
      </c>
      <c r="C38" s="7" t="inlineStr">
        <is>
          <t>9503 00 61 90</t>
        </is>
      </c>
      <c r="D38" s="8" t="inlineStr">
        <is>
          <t>Tajná schránka</t>
        </is>
      </c>
      <c r="E38" s="9" t="n">
        <v>3000</v>
      </c>
      <c r="F38" s="10" t="n">
        <v>420</v>
      </c>
      <c r="G38" s="10" t="n">
        <v>450</v>
      </c>
      <c r="H38" s="11" t="n">
        <v>2490</v>
      </c>
      <c r="I38" s="11" t="n">
        <v>0</v>
      </c>
      <c r="J38" s="11" t="n">
        <v>2490</v>
      </c>
      <c r="K38" s="7" t="inlineStr">
        <is>
          <t>FOB Ningbo</t>
        </is>
      </c>
      <c r="L38" s="8" t="inlineStr">
        <is>
          <t>Ne</t>
        </is>
      </c>
      <c r="M38" s="8" t="inlineStr">
        <is>
          <t>Ne</t>
        </is>
      </c>
      <c r="N38" s="7" t="inlineStr">
        <is>
          <t>49</t>
        </is>
      </c>
    </row>
    <row r="39">
      <c r="A39" s="7" t="inlineStr">
        <is>
          <t>Ningbo Onway Imp &amp; Exp Co., Ltd.</t>
        </is>
      </c>
      <c r="B39" s="7" t="inlineStr">
        <is>
          <t>26OW08001 LCL14</t>
        </is>
      </c>
      <c r="C39" s="7" t="inlineStr">
        <is>
          <t>9503 00 69 00</t>
        </is>
      </c>
      <c r="D39" s="8" t="inlineStr">
        <is>
          <t>Dětské puzzle svítící ve tmě 96 dílků - princezny; Barevný Hlavolam</t>
        </is>
      </c>
      <c r="E39" s="9" t="n">
        <v>828</v>
      </c>
      <c r="F39" s="10" t="n">
        <v>149.4</v>
      </c>
      <c r="G39" s="10" t="n">
        <v>154.4</v>
      </c>
      <c r="H39" s="11" t="n">
        <v>790.5599999999999</v>
      </c>
      <c r="I39" s="11" t="n">
        <v>0</v>
      </c>
      <c r="J39" s="11" t="n">
        <v>790.5599999999999</v>
      </c>
      <c r="K39" s="7" t="inlineStr">
        <is>
          <t>FOB Ningbo</t>
        </is>
      </c>
      <c r="L39" s="8" t="inlineStr">
        <is>
          <t>Ne</t>
        </is>
      </c>
      <c r="M39" s="8" t="inlineStr">
        <is>
          <t>Ne</t>
        </is>
      </c>
      <c r="N39" s="7" t="inlineStr">
        <is>
          <t>7, 23</t>
        </is>
      </c>
    </row>
    <row r="40">
      <c r="A40" s="7" t="inlineStr">
        <is>
          <t>Ningbo Onway Imp &amp; Exp Co., Ltd.</t>
        </is>
      </c>
      <c r="B40" s="7" t="inlineStr">
        <is>
          <t>26OW08001 LCL14</t>
        </is>
      </c>
      <c r="C40" s="7" t="inlineStr">
        <is>
          <t>9503 00 99 90</t>
        </is>
      </c>
      <c r="D40" s="8" t="inlineStr">
        <is>
          <t>Kniha plná samolepek - zvířátka</t>
        </is>
      </c>
      <c r="E40" s="9" t="n">
        <v>200</v>
      </c>
      <c r="F40" s="10" t="n">
        <v>19.5</v>
      </c>
      <c r="G40" s="10" t="n">
        <v>20.5</v>
      </c>
      <c r="H40" s="11" t="n">
        <v>164</v>
      </c>
      <c r="I40" s="11" t="n">
        <v>0</v>
      </c>
      <c r="J40" s="11" t="n">
        <v>164</v>
      </c>
      <c r="K40" s="7" t="inlineStr">
        <is>
          <t>FOB Ningbo</t>
        </is>
      </c>
      <c r="L40" s="8" t="inlineStr">
        <is>
          <t>Ne</t>
        </is>
      </c>
      <c r="M40" s="8" t="inlineStr">
        <is>
          <t>Ne</t>
        </is>
      </c>
      <c r="N40" s="7" t="inlineStr">
        <is>
          <t>46</t>
        </is>
      </c>
    </row>
    <row r="41">
      <c r="A41" s="7" t="inlineStr">
        <is>
          <t>Ningbo Onway Imp &amp; Exp Co., Ltd.</t>
        </is>
      </c>
      <c r="B41" s="7" t="inlineStr">
        <is>
          <t>26OW08001 LCL14</t>
        </is>
      </c>
      <c r="C41" s="7" t="inlineStr">
        <is>
          <t>9506 91 90 00</t>
        </is>
      </c>
      <c r="D41" s="8" t="inlineStr">
        <is>
          <t>Antistresový boxovací pytel na stůl</t>
        </is>
      </c>
      <c r="E41" s="9" t="n">
        <v>200</v>
      </c>
      <c r="F41" s="10" t="n">
        <v>130</v>
      </c>
      <c r="G41" s="10" t="n">
        <v>140</v>
      </c>
      <c r="H41" s="11" t="n">
        <v>576</v>
      </c>
      <c r="I41" s="11" t="n">
        <v>0</v>
      </c>
      <c r="J41" s="11" t="n">
        <v>576</v>
      </c>
      <c r="K41" s="7" t="inlineStr">
        <is>
          <t>FOB Ningbo</t>
        </is>
      </c>
      <c r="L41" s="8" t="inlineStr">
        <is>
          <t>Ne</t>
        </is>
      </c>
      <c r="M41" s="8" t="inlineStr">
        <is>
          <t>Ne</t>
        </is>
      </c>
      <c r="N41" s="7" t="inlineStr">
        <is>
          <t>34</t>
        </is>
      </c>
    </row>
    <row r="42">
      <c r="A42" s="7" t="inlineStr">
        <is>
          <t>Ningbo Onway Imp &amp; Exp Co., Ltd.</t>
        </is>
      </c>
      <c r="B42" s="7" t="inlineStr">
        <is>
          <t>26OW08001 LCL14</t>
        </is>
      </c>
      <c r="C42" s="7" t="inlineStr">
        <is>
          <t>9605 00 00 00</t>
        </is>
      </c>
      <c r="D42" s="8" t="inlineStr">
        <is>
          <t>Šitíčko - velká sada v pouzdru</t>
        </is>
      </c>
      <c r="E42" s="9" t="n">
        <v>420</v>
      </c>
      <c r="F42" s="10" t="n">
        <v>116.9</v>
      </c>
      <c r="G42" s="10" t="n">
        <v>123.9</v>
      </c>
      <c r="H42" s="11" t="n">
        <v>735</v>
      </c>
      <c r="I42" s="11" t="n">
        <v>0</v>
      </c>
      <c r="J42" s="11" t="n">
        <v>735</v>
      </c>
      <c r="K42" s="7" t="inlineStr">
        <is>
          <t>FOB Ningbo</t>
        </is>
      </c>
      <c r="L42" s="8" t="inlineStr">
        <is>
          <t>Ne</t>
        </is>
      </c>
      <c r="M42" s="8" t="inlineStr">
        <is>
          <t>Ne</t>
        </is>
      </c>
      <c r="N42" s="7" t="inlineStr">
        <is>
          <t>12</t>
        </is>
      </c>
    </row>
    <row r="43">
      <c r="A43" s="7" t="inlineStr">
        <is>
          <t>Ningbo Onway Imp &amp; Exp Co., Ltd.</t>
        </is>
      </c>
      <c r="B43" s="7" t="inlineStr">
        <is>
          <t>26OW08001 LCL14</t>
        </is>
      </c>
      <c r="C43" s="7" t="inlineStr">
        <is>
          <t>9620 00 99 00</t>
        </is>
      </c>
      <c r="D43" s="8" t="inlineStr">
        <is>
          <t>Selfie tyč se stativem</t>
        </is>
      </c>
      <c r="E43" s="9" t="n">
        <v>200</v>
      </c>
      <c r="F43" s="10" t="n">
        <v>29</v>
      </c>
      <c r="G43" s="10" t="n">
        <v>31</v>
      </c>
      <c r="H43" s="11" t="n">
        <v>230</v>
      </c>
      <c r="I43" s="11" t="n">
        <v>0</v>
      </c>
      <c r="J43" s="11" t="n">
        <v>230</v>
      </c>
      <c r="K43" s="7" t="inlineStr">
        <is>
          <t>FOB Ningbo</t>
        </is>
      </c>
      <c r="L43" s="8" t="inlineStr">
        <is>
          <t>Ne</t>
        </is>
      </c>
      <c r="M43" s="8" t="inlineStr">
        <is>
          <t>Ne</t>
        </is>
      </c>
      <c r="N43" s="7" t="inlineStr">
        <is>
          <t>33</t>
        </is>
      </c>
    </row>
    <row r="44">
      <c r="A44" s="17" t="n"/>
      <c r="B44" s="17" t="n"/>
      <c r="C44" s="17" t="n"/>
      <c r="D44" s="18" t="inlineStr">
        <is>
          <t>Mezisoucet - Ningbo Onway Imp &amp; Exp Co., Ltd. (37 HS kodu)</t>
        </is>
      </c>
      <c r="E44" s="19">
        <f>SUM(E7:E43)</f>
        <v/>
      </c>
      <c r="F44" s="20">
        <f>SUM(F7:F43)</f>
        <v/>
      </c>
      <c r="G44" s="20">
        <f>SUM(G7:G43)</f>
        <v/>
      </c>
      <c r="H44" s="21">
        <f>SUM(H7:H43)</f>
        <v/>
      </c>
      <c r="I44" s="21">
        <f>SUM(I7:I43)</f>
        <v/>
      </c>
      <c r="J44" s="21">
        <f>SUM(J7:J43)</f>
        <v/>
      </c>
      <c r="K44" s="17" t="n"/>
      <c r="L44" s="17" t="n"/>
      <c r="M44" s="17" t="n"/>
      <c r="N44" s="17" t="n"/>
    </row>
    <row r="45">
      <c r="A45" s="4" t="inlineStr">
        <is>
          <t>ODESILATEL: Hefei Howell E-commerce Co., Ltd.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6" t="n"/>
    </row>
    <row r="46">
      <c r="A46" s="7" t="inlineStr">
        <is>
          <t>Hefei Howell E-commerce Co., Ltd.</t>
        </is>
      </c>
      <c r="B46" s="7" t="inlineStr">
        <is>
          <t>4L26016S/1 (LCL14/1)</t>
        </is>
      </c>
      <c r="C46" s="7" t="inlineStr">
        <is>
          <t>4202 92 19 00</t>
        </is>
      </c>
      <c r="D46" s="8" t="inlineStr">
        <is>
          <t>Maxi šperkovnice - černá</t>
        </is>
      </c>
      <c r="E46" s="9" t="n">
        <v>630</v>
      </c>
      <c r="F46" s="10" t="n">
        <v>382.2</v>
      </c>
      <c r="G46" s="10" t="n">
        <v>403.2</v>
      </c>
      <c r="H46" s="11" t="n">
        <v>1650.6</v>
      </c>
      <c r="I46" s="11" t="n">
        <v>-119.83</v>
      </c>
      <c r="J46" s="11" t="n">
        <v>1530.77</v>
      </c>
      <c r="K46" s="7" t="inlineStr">
        <is>
          <t>FOB Ningbo</t>
        </is>
      </c>
      <c r="L46" s="8" t="inlineStr">
        <is>
          <t>Ne</t>
        </is>
      </c>
      <c r="M46" s="8" t="inlineStr">
        <is>
          <t>Ne</t>
        </is>
      </c>
      <c r="N46" s="7" t="inlineStr">
        <is>
          <t>54</t>
        </is>
      </c>
    </row>
    <row r="47">
      <c r="A47" s="7" t="inlineStr">
        <is>
          <t>Hefei Howell E-commerce Co., Ltd.</t>
        </is>
      </c>
      <c r="B47" s="7" t="inlineStr">
        <is>
          <t>4L26016S/1 (LCL14/1)</t>
        </is>
      </c>
      <c r="C47" s="7" t="inlineStr">
        <is>
          <t>6307 90 98 20</t>
        </is>
      </c>
      <c r="D47" s="8" t="inlineStr">
        <is>
          <t>Skládací box - velký</t>
        </is>
      </c>
      <c r="E47" s="9" t="n">
        <v>612</v>
      </c>
      <c r="F47" s="10" t="n">
        <v>493</v>
      </c>
      <c r="G47" s="10" t="n">
        <v>510</v>
      </c>
      <c r="H47" s="11" t="n">
        <v>1077.12</v>
      </c>
      <c r="I47" s="11" t="n">
        <v>-78.2</v>
      </c>
      <c r="J47" s="11" t="n">
        <v>998.92</v>
      </c>
      <c r="K47" s="7" t="inlineStr">
        <is>
          <t>FOB Ningbo</t>
        </is>
      </c>
      <c r="L47" s="8" t="inlineStr">
        <is>
          <t>Ne</t>
        </is>
      </c>
      <c r="M47" s="8" t="inlineStr">
        <is>
          <t>Ne</t>
        </is>
      </c>
      <c r="N47" s="7" t="inlineStr">
        <is>
          <t>59</t>
        </is>
      </c>
    </row>
    <row r="48">
      <c r="A48" s="7" t="inlineStr">
        <is>
          <t>Hefei Howell E-commerce Co., Ltd.</t>
        </is>
      </c>
      <c r="B48" s="7" t="inlineStr">
        <is>
          <t>4L26016S/1 (LCL14/1)</t>
        </is>
      </c>
      <c r="C48" s="7" t="inlineStr">
        <is>
          <t>6307 90 98 99</t>
        </is>
      </c>
      <c r="D48" s="8" t="inlineStr">
        <is>
          <t>Ochranná deka do kufru pro psa</t>
        </is>
      </c>
      <c r="E48" s="9" t="n">
        <v>360</v>
      </c>
      <c r="F48" s="10" t="n">
        <v>306</v>
      </c>
      <c r="G48" s="10" t="n">
        <v>324</v>
      </c>
      <c r="H48" s="11" t="n">
        <v>1278</v>
      </c>
      <c r="I48" s="11" t="n">
        <v>-92.78</v>
      </c>
      <c r="J48" s="11" t="n">
        <v>1185.22</v>
      </c>
      <c r="K48" s="7" t="inlineStr">
        <is>
          <t>FOB Ningbo</t>
        </is>
      </c>
      <c r="L48" s="8" t="inlineStr">
        <is>
          <t>Ne</t>
        </is>
      </c>
      <c r="M48" s="8" t="inlineStr">
        <is>
          <t>Ne</t>
        </is>
      </c>
      <c r="N48" s="7" t="inlineStr">
        <is>
          <t>56</t>
        </is>
      </c>
    </row>
    <row r="49">
      <c r="A49" s="7" t="inlineStr">
        <is>
          <t>Hefei Howell E-commerce Co., Ltd.</t>
        </is>
      </c>
      <c r="B49" s="7" t="inlineStr">
        <is>
          <t>4L26016S/1 (LCL14/1)</t>
        </is>
      </c>
      <c r="C49" s="7" t="inlineStr">
        <is>
          <t>7009 92 00 00</t>
        </is>
      </c>
      <c r="D49" s="8" t="inlineStr">
        <is>
          <t>Skládací kosmetické zrcátko s LED osvětlením ; Zvětšující zrcátko s osvětlením</t>
        </is>
      </c>
      <c r="E49" s="9" t="n">
        <v>804</v>
      </c>
      <c r="F49" s="10" t="n">
        <v>589.5</v>
      </c>
      <c r="G49" s="10" t="n">
        <v>618.5</v>
      </c>
      <c r="H49" s="11" t="n">
        <v>2917.2</v>
      </c>
      <c r="I49" s="11" t="n">
        <v>-211.79</v>
      </c>
      <c r="J49" s="11" t="n">
        <v>2705.41</v>
      </c>
      <c r="K49" s="7" t="inlineStr">
        <is>
          <t>FOB Ningbo</t>
        </is>
      </c>
      <c r="L49" s="8" t="inlineStr">
        <is>
          <t>Ne</t>
        </is>
      </c>
      <c r="M49" s="8" t="inlineStr">
        <is>
          <t>Ne</t>
        </is>
      </c>
      <c r="N49" s="7" t="inlineStr">
        <is>
          <t>53, 60</t>
        </is>
      </c>
    </row>
    <row r="50">
      <c r="A50" s="7" t="inlineStr">
        <is>
          <t>Hefei Howell E-commerce Co., Ltd.</t>
        </is>
      </c>
      <c r="B50" s="7" t="inlineStr">
        <is>
          <t>4L26016S/1 (LCL14/1)</t>
        </is>
      </c>
      <c r="C50" s="7" t="inlineStr">
        <is>
          <t>9403 60 90 00</t>
        </is>
      </c>
      <c r="D50" s="8" t="inlineStr">
        <is>
          <t>Organizér pod monitor</t>
        </is>
      </c>
      <c r="E50" s="9" t="n">
        <v>336</v>
      </c>
      <c r="F50" s="10" t="n">
        <v>336</v>
      </c>
      <c r="G50" s="10" t="n">
        <v>374</v>
      </c>
      <c r="H50" s="11" t="n">
        <v>829.92</v>
      </c>
      <c r="I50" s="11" t="n">
        <v>-60.25</v>
      </c>
      <c r="J50" s="11" t="n">
        <v>769.67</v>
      </c>
      <c r="K50" s="7" t="inlineStr">
        <is>
          <t>FOB Ningbo</t>
        </is>
      </c>
      <c r="L50" s="8" t="inlineStr">
        <is>
          <t>Ne</t>
        </is>
      </c>
      <c r="M50" s="8" t="inlineStr">
        <is>
          <t>Ne</t>
        </is>
      </c>
      <c r="N50" s="7" t="inlineStr">
        <is>
          <t>57</t>
        </is>
      </c>
    </row>
    <row r="51">
      <c r="A51" s="7" t="inlineStr">
        <is>
          <t>Hefei Howell E-commerce Co., Ltd.</t>
        </is>
      </c>
      <c r="B51" s="7" t="inlineStr">
        <is>
          <t>4L26016S/1 (LCL14/1)</t>
        </is>
      </c>
      <c r="C51" s="7" t="inlineStr">
        <is>
          <t>9405 21 40 00</t>
        </is>
      </c>
      <c r="D51" s="8" t="inlineStr">
        <is>
          <t>Diamantové malování LED lampička mandala - modro fialová</t>
        </is>
      </c>
      <c r="E51" s="9" t="n">
        <v>1680</v>
      </c>
      <c r="F51" s="10" t="n">
        <v>243.6</v>
      </c>
      <c r="G51" s="10" t="n">
        <v>264.6</v>
      </c>
      <c r="H51" s="11" t="n">
        <v>3494.4</v>
      </c>
      <c r="I51" s="11" t="n">
        <v>-253.7</v>
      </c>
      <c r="J51" s="11" t="n">
        <v>3240.7</v>
      </c>
      <c r="K51" s="7" t="inlineStr">
        <is>
          <t>FOB Ningbo</t>
        </is>
      </c>
      <c r="L51" s="8" t="inlineStr">
        <is>
          <t>Ne</t>
        </is>
      </c>
      <c r="M51" s="8" t="inlineStr">
        <is>
          <t>Ne</t>
        </is>
      </c>
      <c r="N51" s="7" t="inlineStr">
        <is>
          <t>61</t>
        </is>
      </c>
    </row>
    <row r="52">
      <c r="A52" s="7" t="inlineStr">
        <is>
          <t>Hefei Howell E-commerce Co., Ltd.</t>
        </is>
      </c>
      <c r="B52" s="7" t="inlineStr">
        <is>
          <t>4L26016S/1 (LCL14/1)</t>
        </is>
      </c>
      <c r="C52" s="7" t="inlineStr">
        <is>
          <t>9405 42 31 00</t>
        </is>
      </c>
      <c r="D52" s="8" t="inlineStr">
        <is>
          <t>Světelný řetěz sněhové vločky - teplé světlo</t>
        </is>
      </c>
      <c r="E52" s="9" t="n">
        <v>2200</v>
      </c>
      <c r="F52" s="10" t="n">
        <v>77</v>
      </c>
      <c r="G52" s="10" t="n">
        <v>88</v>
      </c>
      <c r="H52" s="11" t="n">
        <v>1298</v>
      </c>
      <c r="I52" s="11" t="n">
        <v>-94.23999999999999</v>
      </c>
      <c r="J52" s="11" t="n">
        <v>1203.76</v>
      </c>
      <c r="K52" s="7" t="inlineStr">
        <is>
          <t>FOB Ningbo</t>
        </is>
      </c>
      <c r="L52" s="8" t="inlineStr">
        <is>
          <t>Ne</t>
        </is>
      </c>
      <c r="M52" s="8" t="inlineStr">
        <is>
          <t>Ne</t>
        </is>
      </c>
      <c r="N52" s="7" t="inlineStr">
        <is>
          <t>62</t>
        </is>
      </c>
    </row>
    <row r="53">
      <c r="A53" s="7" t="inlineStr">
        <is>
          <t>Hefei Howell E-commerce Co., Ltd.</t>
        </is>
      </c>
      <c r="B53" s="7" t="inlineStr">
        <is>
          <t>4L26016S/1 (LCL14/1)</t>
        </is>
      </c>
      <c r="C53" s="7" t="inlineStr">
        <is>
          <t>9503 00 70 00</t>
        </is>
      </c>
      <c r="D53" s="8" t="inlineStr">
        <is>
          <t>Dřevěný vzdělávací vozík - tvary</t>
        </is>
      </c>
      <c r="E53" s="9" t="n">
        <v>144</v>
      </c>
      <c r="F53" s="10" t="n">
        <v>84</v>
      </c>
      <c r="G53" s="10" t="n">
        <v>88</v>
      </c>
      <c r="H53" s="11" t="n">
        <v>574.5599999999999</v>
      </c>
      <c r="I53" s="11" t="n">
        <v>-41.71</v>
      </c>
      <c r="J53" s="11" t="n">
        <v>532.85</v>
      </c>
      <c r="K53" s="7" t="inlineStr">
        <is>
          <t>FOB Ningbo</t>
        </is>
      </c>
      <c r="L53" s="8" t="inlineStr">
        <is>
          <t>Ne</t>
        </is>
      </c>
      <c r="M53" s="8" t="inlineStr">
        <is>
          <t>Ne</t>
        </is>
      </c>
      <c r="N53" s="7" t="inlineStr">
        <is>
          <t>58</t>
        </is>
      </c>
    </row>
    <row r="54">
      <c r="A54" s="7" t="inlineStr">
        <is>
          <t>Hefei Howell E-commerce Co., Ltd.</t>
        </is>
      </c>
      <c r="B54" s="7" t="inlineStr">
        <is>
          <t>4L26016S/1 (LCL14/1)</t>
        </is>
      </c>
      <c r="C54" s="7" t="inlineStr">
        <is>
          <t>9503 00 75 90</t>
        </is>
      </c>
      <c r="D54" s="8" t="inlineStr">
        <is>
          <t>Bagr na dálkové ovládání</t>
        </is>
      </c>
      <c r="E54" s="9" t="n">
        <v>72</v>
      </c>
      <c r="F54" s="10" t="n">
        <v>42</v>
      </c>
      <c r="G54" s="10" t="n">
        <v>44</v>
      </c>
      <c r="H54" s="11" t="n">
        <v>430.56</v>
      </c>
      <c r="I54" s="11" t="n">
        <v>-31.26</v>
      </c>
      <c r="J54" s="11" t="n">
        <v>399.3</v>
      </c>
      <c r="K54" s="7" t="inlineStr">
        <is>
          <t>FOB Ningbo</t>
        </is>
      </c>
      <c r="L54" s="8" t="inlineStr">
        <is>
          <t>Ne</t>
        </is>
      </c>
      <c r="M54" s="8" t="inlineStr">
        <is>
          <t>Ne</t>
        </is>
      </c>
      <c r="N54" s="7" t="inlineStr">
        <is>
          <t>55</t>
        </is>
      </c>
    </row>
    <row r="55">
      <c r="A55" s="17" t="n"/>
      <c r="B55" s="17" t="n"/>
      <c r="C55" s="17" t="n"/>
      <c r="D55" s="18" t="inlineStr">
        <is>
          <t>Mezisoucet - Hefei Howell E-commerce Co., Ltd. (9 HS kodu)</t>
        </is>
      </c>
      <c r="E55" s="19">
        <f>SUM(E46:E54)</f>
        <v/>
      </c>
      <c r="F55" s="20">
        <f>SUM(F46:F54)</f>
        <v/>
      </c>
      <c r="G55" s="20">
        <f>SUM(G46:G54)</f>
        <v/>
      </c>
      <c r="H55" s="21">
        <f>SUM(H46:H54)</f>
        <v/>
      </c>
      <c r="I55" s="21">
        <f>SUM(I46:I54)</f>
        <v/>
      </c>
      <c r="J55" s="21">
        <f>SUM(J46:J54)</f>
        <v/>
      </c>
      <c r="K55" s="17" t="n"/>
      <c r="L55" s="17" t="n"/>
      <c r="M55" s="17" t="n"/>
      <c r="N55" s="17" t="n"/>
    </row>
    <row r="56">
      <c r="A56" s="4" t="inlineStr">
        <is>
          <t>ODESILATEL: Ningbo HowellGoods Import and Export Co., Ltd.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6" t="n"/>
    </row>
    <row r="57">
      <c r="A57" s="7" t="inlineStr">
        <is>
          <t>Ningbo HowellGoods Import and Export Co., Ltd.</t>
        </is>
      </c>
      <c r="B57" s="7" t="inlineStr">
        <is>
          <t>4L26016S/2 (LCL14/2)</t>
        </is>
      </c>
      <c r="C57" s="7" t="inlineStr">
        <is>
          <t>3919 90 80 99</t>
        </is>
      </c>
      <c r="D57" s="8" t="inlineStr">
        <is>
          <t>Samolepicí průhledná kolečka 500 ks; Jednobarevné samolepky na nehty - růžové</t>
        </is>
      </c>
      <c r="E57" s="9" t="n">
        <v>1800</v>
      </c>
      <c r="F57" s="10" t="n">
        <v>35</v>
      </c>
      <c r="G57" s="10" t="n">
        <v>40</v>
      </c>
      <c r="H57" s="11" t="n">
        <v>490</v>
      </c>
      <c r="I57" s="11" t="n">
        <v>-54.13</v>
      </c>
      <c r="J57" s="11" t="n">
        <v>435.87</v>
      </c>
      <c r="K57" s="7" t="inlineStr">
        <is>
          <t>FOB Ningbo</t>
        </is>
      </c>
      <c r="L57" s="8" t="inlineStr">
        <is>
          <t>Ne</t>
        </is>
      </c>
      <c r="M57" s="8" t="inlineStr">
        <is>
          <t>Ne</t>
        </is>
      </c>
      <c r="N57" s="7" t="inlineStr">
        <is>
          <t>66, 67</t>
        </is>
      </c>
    </row>
    <row r="58">
      <c r="A58" s="7" t="inlineStr">
        <is>
          <t>Ningbo HowellGoods Import and Export Co., Ltd.</t>
        </is>
      </c>
      <c r="B58" s="7" t="inlineStr">
        <is>
          <t>4L26016S/2 (LCL14/2)</t>
        </is>
      </c>
      <c r="C58" s="7" t="inlineStr">
        <is>
          <t>3924 10 00 90</t>
        </is>
      </c>
      <c r="D58" s="8" t="inlineStr">
        <is>
          <t>Chladící půllitr</t>
        </is>
      </c>
      <c r="E58" s="9" t="n">
        <v>288</v>
      </c>
      <c r="F58" s="10" t="n">
        <v>138</v>
      </c>
      <c r="G58" s="10" t="n">
        <v>150</v>
      </c>
      <c r="H58" s="11" t="n">
        <v>417.6</v>
      </c>
      <c r="I58" s="11" t="n">
        <v>-46.13</v>
      </c>
      <c r="J58" s="11" t="n">
        <v>371.47</v>
      </c>
      <c r="K58" s="7" t="inlineStr">
        <is>
          <t>FOB Ningbo</t>
        </is>
      </c>
      <c r="L58" s="8" t="inlineStr">
        <is>
          <t>Ne</t>
        </is>
      </c>
      <c r="M58" s="8" t="inlineStr">
        <is>
          <t>Ne</t>
        </is>
      </c>
      <c r="N58" s="7" t="inlineStr">
        <is>
          <t>64</t>
        </is>
      </c>
    </row>
    <row r="59">
      <c r="A59" s="7" t="inlineStr">
        <is>
          <t>Ningbo HowellGoods Import and Export Co., Ltd.</t>
        </is>
      </c>
      <c r="B59" s="7" t="inlineStr">
        <is>
          <t>4L26016S/2 (LCL14/2)</t>
        </is>
      </c>
      <c r="C59" s="7" t="inlineStr">
        <is>
          <t>3926 90 97 90</t>
        </is>
      </c>
      <c r="D59" s="8" t="inlineStr">
        <is>
          <t>Klipy na uchycení kabelů 10 ks</t>
        </is>
      </c>
      <c r="E59" s="9" t="n">
        <v>300</v>
      </c>
      <c r="F59" s="10" t="n">
        <v>3.65</v>
      </c>
      <c r="G59" s="10" t="n">
        <v>4.65</v>
      </c>
      <c r="H59" s="11" t="n">
        <v>96</v>
      </c>
      <c r="I59" s="11" t="n">
        <v>-10.6</v>
      </c>
      <c r="J59" s="11" t="n">
        <v>85.40000000000001</v>
      </c>
      <c r="K59" s="7" t="inlineStr">
        <is>
          <t>FOB Ningbo</t>
        </is>
      </c>
      <c r="L59" s="8" t="inlineStr">
        <is>
          <t>Ne</t>
        </is>
      </c>
      <c r="M59" s="8" t="inlineStr">
        <is>
          <t>Ne</t>
        </is>
      </c>
      <c r="N59" s="7" t="inlineStr">
        <is>
          <t>71</t>
        </is>
      </c>
    </row>
    <row r="60">
      <c r="A60" s="7" t="inlineStr">
        <is>
          <t>Ningbo HowellGoods Import and Export Co., Ltd.</t>
        </is>
      </c>
      <c r="B60" s="7" t="inlineStr">
        <is>
          <t>4L26016S/2 (LCL14/2)</t>
        </is>
      </c>
      <c r="C60" s="7" t="inlineStr">
        <is>
          <t>7117 90 00 00</t>
        </is>
      </c>
      <c r="D60" s="8" t="inlineStr">
        <is>
          <t>Sada doplňků pro princeznu 6 ks - modrá</t>
        </is>
      </c>
      <c r="E60" s="9" t="n">
        <v>1300</v>
      </c>
      <c r="F60" s="10" t="n">
        <v>156</v>
      </c>
      <c r="G60" s="10" t="n">
        <v>169</v>
      </c>
      <c r="H60" s="11" t="n">
        <v>1976</v>
      </c>
      <c r="I60" s="11" t="n">
        <v>-218.28</v>
      </c>
      <c r="J60" s="11" t="n">
        <v>1757.72</v>
      </c>
      <c r="K60" s="7" t="inlineStr">
        <is>
          <t>FOB Ningbo</t>
        </is>
      </c>
      <c r="L60" s="8" t="inlineStr">
        <is>
          <t>Ne</t>
        </is>
      </c>
      <c r="M60" s="8" t="inlineStr">
        <is>
          <t>Ne</t>
        </is>
      </c>
      <c r="N60" s="7" t="inlineStr">
        <is>
          <t>72</t>
        </is>
      </c>
    </row>
    <row r="61">
      <c r="A61" s="7" t="inlineStr">
        <is>
          <t>Ningbo HowellGoods Import and Export Co., Ltd.</t>
        </is>
      </c>
      <c r="B61" s="7" t="inlineStr">
        <is>
          <t>4L26016S/2 (LCL14/2)</t>
        </is>
      </c>
      <c r="C61" s="7" t="inlineStr">
        <is>
          <t>7324 90 00 90</t>
        </is>
      </c>
      <c r="D61" s="8" t="inlineStr">
        <is>
          <t>Nerezový držák na elektrický zubní kartáček</t>
        </is>
      </c>
      <c r="E61" s="9" t="n">
        <v>500</v>
      </c>
      <c r="F61" s="10" t="n">
        <v>31</v>
      </c>
      <c r="G61" s="10" t="n">
        <v>36</v>
      </c>
      <c r="H61" s="11" t="n">
        <v>625</v>
      </c>
      <c r="I61" s="11" t="n">
        <v>-69.04000000000001</v>
      </c>
      <c r="J61" s="11" t="n">
        <v>555.96</v>
      </c>
      <c r="K61" s="7" t="inlineStr">
        <is>
          <t>FOB Ningbo</t>
        </is>
      </c>
      <c r="L61" s="8" t="inlineStr">
        <is>
          <t>Ne</t>
        </is>
      </c>
      <c r="M61" s="8" t="inlineStr">
        <is>
          <t>Ne</t>
        </is>
      </c>
      <c r="N61" s="7" t="inlineStr">
        <is>
          <t>68</t>
        </is>
      </c>
    </row>
    <row r="62">
      <c r="A62" s="7" t="inlineStr">
        <is>
          <t>Ningbo HowellGoods Import and Export Co., Ltd.</t>
        </is>
      </c>
      <c r="B62" s="7" t="inlineStr">
        <is>
          <t>4L26016S/2 (LCL14/2)</t>
        </is>
      </c>
      <c r="C62" s="7" t="inlineStr">
        <is>
          <t>8479 89 97 90</t>
        </is>
      </c>
      <c r="D62" s="8" t="inlineStr">
        <is>
          <t>Dávkovač mýdla na zeď</t>
        </is>
      </c>
      <c r="E62" s="9" t="n">
        <v>84</v>
      </c>
      <c r="F62" s="10" t="n">
        <v>18.15</v>
      </c>
      <c r="G62" s="10" t="n">
        <v>19.15</v>
      </c>
      <c r="H62" s="11" t="n">
        <v>231</v>
      </c>
      <c r="I62" s="11" t="n">
        <v>-25.52</v>
      </c>
      <c r="J62" s="11" t="n">
        <v>205.48</v>
      </c>
      <c r="K62" s="7" t="inlineStr">
        <is>
          <t>FOB Ningbo</t>
        </is>
      </c>
      <c r="L62" s="8" t="inlineStr">
        <is>
          <t>Ne</t>
        </is>
      </c>
      <c r="M62" s="8" t="inlineStr">
        <is>
          <t>Ne</t>
        </is>
      </c>
      <c r="N62" s="7" t="inlineStr">
        <is>
          <t>65</t>
        </is>
      </c>
    </row>
    <row r="63">
      <c r="A63" s="7" t="inlineStr">
        <is>
          <t>Ningbo HowellGoods Import and Export Co., Ltd.</t>
        </is>
      </c>
      <c r="B63" s="7" t="inlineStr">
        <is>
          <t>4L26016S/2 (LCL14/2)</t>
        </is>
      </c>
      <c r="C63" s="7" t="inlineStr">
        <is>
          <t>9503 00 70 00</t>
        </is>
      </c>
      <c r="D63" s="8" t="inlineStr">
        <is>
          <t>Magnetická kreslící tabulka - velká, modrá</t>
        </is>
      </c>
      <c r="E63" s="9" t="n">
        <v>630</v>
      </c>
      <c r="F63" s="10" t="n">
        <v>399</v>
      </c>
      <c r="G63" s="10" t="n">
        <v>420</v>
      </c>
      <c r="H63" s="11" t="n">
        <v>2205</v>
      </c>
      <c r="I63" s="11" t="n">
        <v>-243.57</v>
      </c>
      <c r="J63" s="11" t="n">
        <v>1961.43</v>
      </c>
      <c r="K63" s="7" t="inlineStr">
        <is>
          <t>FOB Ningbo</t>
        </is>
      </c>
      <c r="L63" s="8" t="inlineStr">
        <is>
          <t>Ne</t>
        </is>
      </c>
      <c r="M63" s="8" t="inlineStr">
        <is>
          <t>Ne</t>
        </is>
      </c>
      <c r="N63" s="7" t="inlineStr">
        <is>
          <t>69</t>
        </is>
      </c>
    </row>
    <row r="64">
      <c r="A64" s="7" t="inlineStr">
        <is>
          <t>Ningbo HowellGoods Import and Export Co., Ltd.</t>
        </is>
      </c>
      <c r="B64" s="7" t="inlineStr">
        <is>
          <t>4L26016S/2 (LCL14/2)</t>
        </is>
      </c>
      <c r="C64" s="7" t="inlineStr">
        <is>
          <t>9503 00 99 90</t>
        </is>
      </c>
      <c r="D64" s="8" t="inlineStr">
        <is>
          <t>Svítící švihadlo</t>
        </is>
      </c>
      <c r="E64" s="9" t="n">
        <v>400</v>
      </c>
      <c r="F64" s="10" t="n">
        <v>29</v>
      </c>
      <c r="G64" s="10" t="n">
        <v>30</v>
      </c>
      <c r="H64" s="11" t="n">
        <v>304</v>
      </c>
      <c r="I64" s="11" t="n">
        <v>-33.58</v>
      </c>
      <c r="J64" s="11" t="n">
        <v>270.42</v>
      </c>
      <c r="K64" s="7" t="inlineStr">
        <is>
          <t>FOB Ningbo</t>
        </is>
      </c>
      <c r="L64" s="8" t="inlineStr">
        <is>
          <t>Ne</t>
        </is>
      </c>
      <c r="M64" s="8" t="inlineStr">
        <is>
          <t>Ne</t>
        </is>
      </c>
      <c r="N64" s="7" t="inlineStr">
        <is>
          <t>63</t>
        </is>
      </c>
    </row>
    <row r="65">
      <c r="A65" s="7" t="inlineStr">
        <is>
          <t>Ningbo HowellGoods Import and Export Co., Ltd.</t>
        </is>
      </c>
      <c r="B65" s="7" t="inlineStr">
        <is>
          <t>4L26016S/2 (LCL14/2)</t>
        </is>
      </c>
      <c r="C65" s="7" t="inlineStr">
        <is>
          <t>9603 90 91 00</t>
        </is>
      </c>
      <c r="D65" s="8" t="inlineStr">
        <is>
          <t>Odstraňovač zvířecích chlupů</t>
        </is>
      </c>
      <c r="E65" s="9" t="n">
        <v>300</v>
      </c>
      <c r="F65" s="10" t="n">
        <v>49.8</v>
      </c>
      <c r="G65" s="10" t="n">
        <v>55.8</v>
      </c>
      <c r="H65" s="11" t="n">
        <v>258</v>
      </c>
      <c r="I65" s="11" t="n">
        <v>-28.5</v>
      </c>
      <c r="J65" s="11" t="n">
        <v>229.5</v>
      </c>
      <c r="K65" s="7" t="inlineStr">
        <is>
          <t>FOB Ningbo</t>
        </is>
      </c>
      <c r="L65" s="8" t="inlineStr">
        <is>
          <t>Ne</t>
        </is>
      </c>
      <c r="M65" s="8" t="inlineStr">
        <is>
          <t>Ne</t>
        </is>
      </c>
      <c r="N65" s="7" t="inlineStr">
        <is>
          <t>70</t>
        </is>
      </c>
    </row>
    <row r="66">
      <c r="A66" s="17" t="n"/>
      <c r="B66" s="17" t="n"/>
      <c r="C66" s="17" t="n"/>
      <c r="D66" s="18" t="inlineStr">
        <is>
          <t>Mezisoucet - Ningbo HowellGoods Import and Export Co., Ltd. (9 HS kodu)</t>
        </is>
      </c>
      <c r="E66" s="19">
        <f>SUM(E57:E65)</f>
        <v/>
      </c>
      <c r="F66" s="20">
        <f>SUM(F57:F65)</f>
        <v/>
      </c>
      <c r="G66" s="20">
        <f>SUM(G57:G65)</f>
        <v/>
      </c>
      <c r="H66" s="21">
        <f>SUM(H57:H65)</f>
        <v/>
      </c>
      <c r="I66" s="21">
        <f>SUM(I57:I65)</f>
        <v/>
      </c>
      <c r="J66" s="21">
        <f>SUM(J57:J65)</f>
        <v/>
      </c>
      <c r="K66" s="17" t="n"/>
      <c r="L66" s="17" t="n"/>
      <c r="M66" s="17" t="n"/>
      <c r="N66" s="17" t="n"/>
    </row>
    <row r="68">
      <c r="A68" s="17" t="n"/>
      <c r="B68" s="17" t="n"/>
      <c r="C68" s="17" t="n"/>
      <c r="D68" s="22" t="inlineStr">
        <is>
          <t>CELKEM ZASILKA LCL14</t>
        </is>
      </c>
      <c r="E68" s="23" t="n">
        <v>43717</v>
      </c>
      <c r="F68" s="24" t="n">
        <v>10166.2</v>
      </c>
      <c r="G68" s="24" t="n">
        <v>10858.1</v>
      </c>
      <c r="H68" s="25" t="n">
        <v>60025.38</v>
      </c>
      <c r="I68" s="25" t="n">
        <v>-1713.11</v>
      </c>
      <c r="J68" s="25" t="n">
        <v>58312.27</v>
      </c>
      <c r="K68" s="17" t="n"/>
      <c r="L68" s="17" t="n"/>
      <c r="M68" s="17" t="n"/>
      <c r="N68" s="17" t="n"/>
    </row>
    <row r="70">
      <c r="D70" s="26" t="inlineStr">
        <is>
          <t>Dalsi polozky faktur (nejsou cenou zbozi - neni rozpusteno do celni hodnoty):</t>
        </is>
      </c>
    </row>
    <row r="71">
      <c r="D71" t="inlineStr">
        <is>
          <t>Ningbo Onway Imp &amp; Exp Co., Ltd. - Extra cost for the LCL</t>
        </is>
      </c>
      <c r="J71" s="27" t="n">
        <v>290</v>
      </c>
    </row>
    <row r="72">
      <c r="D72" t="inlineStr">
        <is>
          <t>Ningbo HowellGoods Import and Export Co., Ltd. - LCL cost for LCL14</t>
        </is>
      </c>
      <c r="J72" s="27" t="n">
        <v>200</v>
      </c>
    </row>
    <row r="73">
      <c r="D73" s="28" t="inlineStr">
        <is>
          <t>Kontrola: celni hodnota + dalsi polozky = souhrn faktur</t>
        </is>
      </c>
      <c r="J73" s="29">
        <f>J68+SUM(J70:J72)</f>
        <v/>
      </c>
    </row>
  </sheetData>
  <autoFilter ref="A5:N67"/>
  <mergeCells count="6">
    <mergeCell ref="A56:N56"/>
    <mergeCell ref="A3:N3"/>
    <mergeCell ref="A6:N6"/>
    <mergeCell ref="A2:N2"/>
    <mergeCell ref="A45:N45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11" customWidth="1" min="3" max="3"/>
    <col width="34" customWidth="1" min="4" max="4"/>
    <col width="44" customWidth="1" min="5" max="5"/>
    <col width="26" customWidth="1" min="6" max="6"/>
    <col width="60" customWidth="1" min="7" max="7"/>
    <col width="16" customWidth="1" min="8" max="8"/>
    <col width="13" customWidth="1" min="9" max="9"/>
    <col width="10" customWidth="1" min="10" max="10"/>
    <col width="14" customWidth="1" min="11" max="11"/>
    <col width="14" customWidth="1" min="12" max="12"/>
    <col width="14" customWidth="1" min="13" max="13"/>
    <col width="18" customWidth="1" min="14" max="14"/>
    <col width="13" customWidth="1" min="15" max="15"/>
    <col width="17" customWidth="1" min="16" max="16"/>
    <col width="58" customWidth="1" min="17" max="17"/>
  </cols>
  <sheetData>
    <row r="1" ht="32" customHeight="1">
      <c r="A1" s="3" t="inlineStr">
        <is>
          <t>Odesilatel</t>
        </is>
      </c>
      <c r="B1" s="3" t="inlineStr">
        <is>
          <t>Faktura c.</t>
        </is>
      </c>
      <c r="C1" s="3" t="inlineStr">
        <is>
          <t>Polozka c.</t>
        </is>
      </c>
      <c r="D1" s="3" t="inlineStr">
        <is>
          <t>Nazev (EN)</t>
        </is>
      </c>
      <c r="E1" s="3" t="inlineStr">
        <is>
          <t>Popis klienta (CZ)</t>
        </is>
      </c>
      <c r="F1" s="3" t="inlineStr">
        <is>
          <t>Material</t>
        </is>
      </c>
      <c r="G1" s="3" t="inlineStr">
        <is>
          <t>Celni popis (CZ)</t>
        </is>
      </c>
      <c r="H1" s="3" t="inlineStr">
        <is>
          <t>HS / KN kod</t>
        </is>
      </c>
      <c r="I1" s="3" t="inlineStr">
        <is>
          <t>Mnozstvi (ks)</t>
        </is>
      </c>
      <c r="J1" s="3" t="inlineStr">
        <is>
          <t>Kartony</t>
        </is>
      </c>
      <c r="K1" s="3" t="inlineStr">
        <is>
          <t>Cista hm. (kg)</t>
        </is>
      </c>
      <c r="L1" s="3" t="inlineStr">
        <is>
          <t>Hruba hm. (kg)</t>
        </is>
      </c>
      <c r="M1" s="3" t="inlineStr">
        <is>
          <t>Jedn. cena (USD)</t>
        </is>
      </c>
      <c r="N1" s="3" t="inlineStr">
        <is>
          <t>Cena dle faktury (USD)</t>
        </is>
      </c>
      <c r="O1" s="3" t="inlineStr">
        <is>
          <t>Sleva (USD)</t>
        </is>
      </c>
      <c r="P1" s="3" t="inlineStr">
        <is>
          <t>Celni hodnota (USD)</t>
        </is>
      </c>
      <c r="Q1" s="3" t="inlineStr">
        <is>
          <t>Poznamka</t>
        </is>
      </c>
    </row>
    <row r="2">
      <c r="A2" s="12" t="inlineStr">
        <is>
          <t>Ningbo Onway Imp &amp; Exp Co., Ltd.</t>
        </is>
      </c>
      <c r="B2" s="12" t="inlineStr">
        <is>
          <t>26OW08001 LCL14</t>
        </is>
      </c>
      <c r="C2" s="12" t="n">
        <v>1</v>
      </c>
      <c r="D2" s="12" t="inlineStr">
        <is>
          <t>Oversized winter hoodie - red</t>
        </is>
      </c>
      <c r="E2" s="13" t="inlineStr">
        <is>
          <t>Hřejivá mikinová deka - vínová</t>
        </is>
      </c>
      <c r="F2" s="13" t="inlineStr">
        <is>
          <t>100% polyester</t>
        </is>
      </c>
      <c r="G2" s="13" t="inlineStr">
        <is>
          <t>Velká textilní mikina. Vhodně jako domácí oblečení. Univerzální velikost.</t>
        </is>
      </c>
      <c r="H2" s="12" t="inlineStr">
        <is>
          <t>6110 30 99 00</t>
        </is>
      </c>
      <c r="I2" s="14" t="n">
        <v>1960</v>
      </c>
      <c r="J2" s="14" t="n">
        <v>98</v>
      </c>
      <c r="K2" s="15" t="n">
        <v>1685.6</v>
      </c>
      <c r="L2" s="15" t="n">
        <v>1783.6</v>
      </c>
      <c r="M2" s="30" t="n">
        <v>4.85</v>
      </c>
      <c r="N2" s="16" t="n">
        <v>9506</v>
      </c>
      <c r="O2" s="16" t="n">
        <v>0</v>
      </c>
      <c r="P2" s="16" t="n">
        <v>9506</v>
      </c>
      <c r="Q2" s="13" t="inlineStr">
        <is>
          <t>HS kod opraven z 6104 43 00 00 na 6110 30 99 00 - Oprava dle e-mailu P. Vojtechove 18/09/2026 - spatne zarazeni zjisteno pri kontrole kontejneru</t>
        </is>
      </c>
    </row>
    <row r="3">
      <c r="A3" s="7" t="inlineStr">
        <is>
          <t>Ningbo Onway Imp &amp; Exp Co., Ltd.</t>
        </is>
      </c>
      <c r="B3" s="7" t="inlineStr">
        <is>
          <t>26OW08001 LCL14</t>
        </is>
      </c>
      <c r="C3" s="7" t="n">
        <v>2</v>
      </c>
      <c r="D3" s="7" t="inlineStr">
        <is>
          <t>Scretch paper - Czech republic</t>
        </is>
      </c>
      <c r="E3" s="8" t="inlineStr">
        <is>
          <t>Stírací mapa České republiky</t>
        </is>
      </c>
      <c r="F3" s="8" t="inlineStr">
        <is>
          <t>Papír</t>
        </is>
      </c>
      <c r="G3" s="8" t="inlineStr">
        <is>
          <t>Mapa obsahuje v daném okrese vždy tipy na výlety (ZOO, hrady a zámky, rozhledny, přírodní krásy, pivovary a zajímavosti). V některých okresech je navíc obrázek s něčím typickým pro oblast (památka, produkt, místo..). Navštívené místo se jednoduše setře mincí a pod stírací vrstvou se objeví ilustrace daného místa.</t>
        </is>
      </c>
      <c r="H3" s="7" t="inlineStr">
        <is>
          <t>4905 90 00 90</t>
        </is>
      </c>
      <c r="I3" s="9" t="n">
        <v>1000</v>
      </c>
      <c r="J3" s="9" t="n">
        <v>20</v>
      </c>
      <c r="K3" s="10" t="n">
        <v>212</v>
      </c>
      <c r="L3" s="10" t="n">
        <v>236</v>
      </c>
      <c r="M3" s="31" t="n">
        <v>1.55</v>
      </c>
      <c r="N3" s="11" t="n">
        <v>1550</v>
      </c>
      <c r="O3" s="11" t="n">
        <v>0</v>
      </c>
      <c r="P3" s="11" t="n">
        <v>1550</v>
      </c>
      <c r="Q3" s="8" t="inlineStr"/>
    </row>
    <row r="4">
      <c r="A4" s="7" t="inlineStr">
        <is>
          <t>Ningbo Onway Imp &amp; Exp Co., Ltd.</t>
        </is>
      </c>
      <c r="B4" s="7" t="inlineStr">
        <is>
          <t>26OW08001 LCL14</t>
        </is>
      </c>
      <c r="C4" s="7" t="n">
        <v>3</v>
      </c>
      <c r="D4" s="7" t="inlineStr">
        <is>
          <t>Coffee Socks CZ</t>
        </is>
      </c>
      <c r="E4" s="8" t="inlineStr">
        <is>
          <t>Ponožky - Přines mi kávu</t>
        </is>
      </c>
      <c r="F4" s="8" t="inlineStr">
        <is>
          <t>70% polyester, 30% bavlna</t>
        </is>
      </c>
      <c r="G4" s="8" t="inlineStr">
        <is>
          <t>Vtipné ponožky pro dospělé. Módní doplněk.</t>
        </is>
      </c>
      <c r="H4" s="7" t="inlineStr">
        <is>
          <t>6115 96 99 00</t>
        </is>
      </c>
      <c r="I4" s="9" t="n">
        <v>1700</v>
      </c>
      <c r="J4" s="9" t="n">
        <v>17</v>
      </c>
      <c r="K4" s="10" t="n">
        <v>93.5</v>
      </c>
      <c r="L4" s="10" t="n">
        <v>110.5</v>
      </c>
      <c r="M4" s="31" t="n">
        <v>0.52</v>
      </c>
      <c r="N4" s="11" t="n">
        <v>884</v>
      </c>
      <c r="O4" s="11" t="n">
        <v>0</v>
      </c>
      <c r="P4" s="11" t="n">
        <v>884</v>
      </c>
      <c r="Q4" s="8" t="inlineStr"/>
    </row>
    <row r="5">
      <c r="A5" s="12" t="inlineStr">
        <is>
          <t>Ningbo Onway Imp &amp; Exp Co., Ltd.</t>
        </is>
      </c>
      <c r="B5" s="12" t="inlineStr">
        <is>
          <t>26OW08001 LCL14</t>
        </is>
      </c>
      <c r="C5" s="12" t="n">
        <v>4</v>
      </c>
      <c r="D5" s="12" t="inlineStr">
        <is>
          <t>Folding Desk Pro</t>
        </is>
      </c>
      <c r="E5" s="13" t="inlineStr">
        <is>
          <t>Přenosný polohovací stolek na notebook s větracími štěrbinami</t>
        </is>
      </c>
      <c r="F5" s="13" t="inlineStr">
        <is>
          <t>hliník, polypropylen</t>
        </is>
      </c>
      <c r="G5" s="13" t="inlineStr">
        <is>
          <t>Kovový stolek s plastovými nastavitelnými nohami, které lze otáčet až o 360° do různých poloh. Slouží k nastavení notebooku do žádané polohy.</t>
        </is>
      </c>
      <c r="H5" s="12" t="inlineStr">
        <is>
          <t>7616 99 90 99</t>
        </is>
      </c>
      <c r="I5" s="14" t="n">
        <v>700</v>
      </c>
      <c r="J5" s="14" t="n">
        <v>70</v>
      </c>
      <c r="K5" s="15" t="n">
        <v>875</v>
      </c>
      <c r="L5" s="15" t="n">
        <v>945</v>
      </c>
      <c r="M5" s="30" t="n">
        <v>6.15</v>
      </c>
      <c r="N5" s="16" t="n">
        <v>4305</v>
      </c>
      <c r="O5" s="16" t="n">
        <v>0</v>
      </c>
      <c r="P5" s="16" t="n">
        <v>4305</v>
      </c>
      <c r="Q5" s="13" t="inlineStr">
        <is>
          <t>CBAM: ANO - hlinik, KN 7616 (priloha I nar. 2023/956)</t>
        </is>
      </c>
    </row>
    <row r="6">
      <c r="A6" s="7" t="inlineStr">
        <is>
          <t>Ningbo Onway Imp &amp; Exp Co., Ltd.</t>
        </is>
      </c>
      <c r="B6" s="7" t="inlineStr">
        <is>
          <t>26OW08001 LCL14</t>
        </is>
      </c>
      <c r="C6" s="7" t="n">
        <v>5</v>
      </c>
      <c r="D6" s="7" t="inlineStr">
        <is>
          <t>Window sticker 2</t>
        </is>
      </c>
      <c r="E6" s="8" t="inlineStr">
        <is>
          <t>Matná okenní fólie 100x60 cm - pruhy</t>
        </is>
      </c>
      <c r="F6" s="8" t="inlineStr">
        <is>
          <t>PVC</t>
        </is>
      </c>
      <c r="G6" s="8" t="inlineStr">
        <is>
          <t>Nálepka na okno.</t>
        </is>
      </c>
      <c r="H6" s="7" t="inlineStr">
        <is>
          <t>3919 90 80 99</t>
        </is>
      </c>
      <c r="I6" s="9" t="n">
        <v>420</v>
      </c>
      <c r="J6" s="9" t="n">
        <v>7</v>
      </c>
      <c r="K6" s="10" t="n">
        <v>77</v>
      </c>
      <c r="L6" s="10" t="n">
        <v>84</v>
      </c>
      <c r="M6" s="31" t="n">
        <v>0.68</v>
      </c>
      <c r="N6" s="11" t="n">
        <v>285.6</v>
      </c>
      <c r="O6" s="11" t="n">
        <v>0</v>
      </c>
      <c r="P6" s="11" t="n">
        <v>285.6</v>
      </c>
      <c r="Q6" s="8" t="inlineStr"/>
    </row>
    <row r="7">
      <c r="A7" s="7" t="inlineStr">
        <is>
          <t>Ningbo Onway Imp &amp; Exp Co., Ltd.</t>
        </is>
      </c>
      <c r="B7" s="7" t="inlineStr">
        <is>
          <t>26OW08001 LCL14</t>
        </is>
      </c>
      <c r="C7" s="7" t="n">
        <v>6</v>
      </c>
      <c r="D7" s="7" t="inlineStr">
        <is>
          <t>Showerhead 2</t>
        </is>
      </c>
      <c r="E7" s="8" t="inlineStr">
        <is>
          <t>Úsporná sprchová hlavice</t>
        </is>
      </c>
      <c r="F7" s="8" t="inlineStr">
        <is>
          <t>ABS</t>
        </is>
      </c>
      <c r="G7" s="8" t="inlineStr">
        <is>
          <t>Černá sprchová hlavice, lze přepínat mezi 5 druhy proudu.</t>
        </is>
      </c>
      <c r="H7" s="7" t="inlineStr">
        <is>
          <t>8424 89 70 00</t>
        </is>
      </c>
      <c r="I7" s="9" t="n">
        <v>200</v>
      </c>
      <c r="J7" s="9" t="n">
        <v>1</v>
      </c>
      <c r="K7" s="10" t="n">
        <v>28</v>
      </c>
      <c r="L7" s="10" t="n">
        <v>29</v>
      </c>
      <c r="M7" s="31" t="n">
        <v>0.7</v>
      </c>
      <c r="N7" s="11" t="n">
        <v>140</v>
      </c>
      <c r="O7" s="11" t="n">
        <v>0</v>
      </c>
      <c r="P7" s="11" t="n">
        <v>140</v>
      </c>
      <c r="Q7" s="8" t="inlineStr"/>
    </row>
    <row r="8">
      <c r="A8" s="7" t="inlineStr">
        <is>
          <t>Ningbo Onway Imp &amp; Exp Co., Ltd.</t>
        </is>
      </c>
      <c r="B8" s="7" t="inlineStr">
        <is>
          <t>26OW08001 LCL14</t>
        </is>
      </c>
      <c r="C8" s="7" t="n">
        <v>7</v>
      </c>
      <c r="D8" s="7" t="inlineStr">
        <is>
          <t>Glowing puzzle - princess</t>
        </is>
      </c>
      <c r="E8" s="8" t="inlineStr">
        <is>
          <t>Dětské puzzle svítící ve tmě 96 dílků - princezny</t>
        </is>
      </c>
      <c r="F8" s="8" t="inlineStr">
        <is>
          <t>Papír</t>
        </is>
      </c>
      <c r="G8" s="8" t="inlineStr">
        <is>
          <t>Puzzle svítící ve tmě.</t>
        </is>
      </c>
      <c r="H8" s="7" t="inlineStr">
        <is>
          <t>9503 00 69 00</t>
        </is>
      </c>
      <c r="I8" s="9" t="n">
        <v>252</v>
      </c>
      <c r="J8" s="9" t="n">
        <v>3</v>
      </c>
      <c r="K8" s="10" t="n">
        <v>90</v>
      </c>
      <c r="L8" s="10" t="n">
        <v>93</v>
      </c>
      <c r="M8" s="31" t="n">
        <v>1.88</v>
      </c>
      <c r="N8" s="11" t="n">
        <v>473.76</v>
      </c>
      <c r="O8" s="11" t="n">
        <v>0</v>
      </c>
      <c r="P8" s="11" t="n">
        <v>473.76</v>
      </c>
      <c r="Q8" s="8" t="inlineStr"/>
    </row>
    <row r="9">
      <c r="A9" s="7" t="inlineStr">
        <is>
          <t>Ningbo Onway Imp &amp; Exp Co., Ltd.</t>
        </is>
      </c>
      <c r="B9" s="7" t="inlineStr">
        <is>
          <t>26OW08001 LCL14</t>
        </is>
      </c>
      <c r="C9" s="7" t="n">
        <v>8</v>
      </c>
      <c r="D9" s="7" t="inlineStr">
        <is>
          <t>Mini Acupressure Mat</t>
        </is>
      </c>
      <c r="E9" s="8" t="inlineStr">
        <is>
          <t>Akupresurní podložka 35 x 35 cm</t>
        </is>
      </c>
      <c r="F9" s="8" t="inlineStr">
        <is>
          <t>Polyester, polypropylen</t>
        </is>
      </c>
      <c r="G9" s="8" t="inlineStr">
        <is>
          <t>Akupresurní podložka se spoustou plastových špiček. Lze na ní stát nebo přešlapovat.</t>
        </is>
      </c>
      <c r="H9" s="7" t="inlineStr">
        <is>
          <t>9019 10 90 00</t>
        </is>
      </c>
      <c r="I9" s="9" t="n">
        <v>960</v>
      </c>
      <c r="J9" s="9" t="n">
        <v>8</v>
      </c>
      <c r="K9" s="10" t="n">
        <v>128</v>
      </c>
      <c r="L9" s="10" t="n">
        <v>134.4</v>
      </c>
      <c r="M9" s="31" t="n">
        <v>1.08</v>
      </c>
      <c r="N9" s="11" t="n">
        <v>1036.8</v>
      </c>
      <c r="O9" s="11" t="n">
        <v>0</v>
      </c>
      <c r="P9" s="11" t="n">
        <v>1036.8</v>
      </c>
      <c r="Q9" s="8" t="inlineStr"/>
    </row>
    <row r="10">
      <c r="A10" s="7" t="inlineStr">
        <is>
          <t>Ningbo Onway Imp &amp; Exp Co., Ltd.</t>
        </is>
      </c>
      <c r="B10" s="7" t="inlineStr">
        <is>
          <t>26OW08001 LCL14</t>
        </is>
      </c>
      <c r="C10" s="7" t="n">
        <v>9</v>
      </c>
      <c r="D10" s="7" t="inlineStr">
        <is>
          <t>Unbreakeable stockings - black</t>
        </is>
      </c>
      <c r="E10" s="8" t="inlineStr">
        <is>
          <t>Nezničitelné silonky - černé</t>
        </is>
      </c>
      <c r="F10" s="8" t="inlineStr">
        <is>
          <t>nylon</t>
        </is>
      </c>
      <c r="G10" s="8" t="inlineStr">
        <is>
          <t>Punčochy jsou odolné proti škrábání i říznutí . Slouží jako spodní vrstva oblečení. Váha 60 gramů.</t>
        </is>
      </c>
      <c r="H10" s="7" t="inlineStr">
        <is>
          <t>6115 21 00 00</t>
        </is>
      </c>
      <c r="I10" s="9" t="n">
        <v>1250</v>
      </c>
      <c r="J10" s="9" t="n">
        <v>5</v>
      </c>
      <c r="K10" s="10" t="n">
        <v>89</v>
      </c>
      <c r="L10" s="10" t="n">
        <v>94</v>
      </c>
      <c r="M10" s="31" t="n">
        <v>1.38</v>
      </c>
      <c r="N10" s="11" t="n">
        <v>1725</v>
      </c>
      <c r="O10" s="11" t="n">
        <v>0</v>
      </c>
      <c r="P10" s="11" t="n">
        <v>1725</v>
      </c>
      <c r="Q10" s="8" t="inlineStr"/>
    </row>
    <row r="11">
      <c r="A11" s="7" t="inlineStr">
        <is>
          <t>Ningbo Onway Imp &amp; Exp Co., Ltd.</t>
        </is>
      </c>
      <c r="B11" s="7" t="inlineStr">
        <is>
          <t>26OW08001 LCL14</t>
        </is>
      </c>
      <c r="C11" s="7" t="n">
        <v>10</v>
      </c>
      <c r="D11" s="7" t="inlineStr">
        <is>
          <t>Herb scissors</t>
        </is>
      </c>
      <c r="E11" s="8" t="inlineStr">
        <is>
          <t>Nůžky na bylinky</t>
        </is>
      </c>
      <c r="F11" s="8" t="inlineStr">
        <is>
          <t>ABS, nerezová ocel</t>
        </is>
      </c>
      <c r="G11" s="8" t="inlineStr">
        <is>
          <t>Nůžky na bylinky a natě mají dohromady 10 ostří, aby stříhaly rychle a rovnoměrně. Pomůcka do kuchyně.</t>
        </is>
      </c>
      <c r="H11" s="7" t="inlineStr">
        <is>
          <t>8213 00 00 00</t>
        </is>
      </c>
      <c r="I11" s="9" t="n">
        <v>800</v>
      </c>
      <c r="J11" s="9" t="n">
        <v>8</v>
      </c>
      <c r="K11" s="10" t="n">
        <v>114.4</v>
      </c>
      <c r="L11" s="10" t="n">
        <v>122.4</v>
      </c>
      <c r="M11" s="31" t="n">
        <v>0.87</v>
      </c>
      <c r="N11" s="11" t="n">
        <v>696</v>
      </c>
      <c r="O11" s="11" t="n">
        <v>0</v>
      </c>
      <c r="P11" s="11" t="n">
        <v>696</v>
      </c>
      <c r="Q11" s="8" t="inlineStr"/>
    </row>
    <row r="12">
      <c r="A12" s="7" t="inlineStr">
        <is>
          <t>Ningbo Onway Imp &amp; Exp Co., Ltd.</t>
        </is>
      </c>
      <c r="B12" s="7" t="inlineStr">
        <is>
          <t>26OW08001 LCL14</t>
        </is>
      </c>
      <c r="C12" s="7" t="n">
        <v>11</v>
      </c>
      <c r="D12" s="7" t="inlineStr">
        <is>
          <t>Multi-layer shelf</t>
        </is>
      </c>
      <c r="E12" s="8" t="inlineStr">
        <is>
          <t>Koupelnový regál na kolečkách 3-patrový</t>
        </is>
      </c>
      <c r="F12" s="8" t="inlineStr">
        <is>
          <t>PP</t>
        </is>
      </c>
      <c r="G12" s="8" t="inlineStr">
        <is>
          <t>Složitelný organizér do domácnosti. Obsahuje i háčky na drobné předměty. Třípatrový. Bez koleček.</t>
        </is>
      </c>
      <c r="H12" s="7" t="inlineStr">
        <is>
          <t>9403 70 00 00</t>
        </is>
      </c>
      <c r="I12" s="9" t="n">
        <v>100</v>
      </c>
      <c r="J12" s="9" t="n">
        <v>25</v>
      </c>
      <c r="K12" s="10" t="n">
        <v>135</v>
      </c>
      <c r="L12" s="10" t="n">
        <v>137.5</v>
      </c>
      <c r="M12" s="31" t="n">
        <v>4.65</v>
      </c>
      <c r="N12" s="11" t="n">
        <v>465</v>
      </c>
      <c r="O12" s="11" t="n">
        <v>0</v>
      </c>
      <c r="P12" s="11" t="n">
        <v>465</v>
      </c>
      <c r="Q12" s="8" t="inlineStr"/>
    </row>
    <row r="13">
      <c r="A13" s="7" t="inlineStr">
        <is>
          <t>Ningbo Onway Imp &amp; Exp Co., Ltd.</t>
        </is>
      </c>
      <c r="B13" s="7" t="inlineStr">
        <is>
          <t>26OW08001 LCL14</t>
        </is>
      </c>
      <c r="C13" s="7" t="n">
        <v>12</v>
      </c>
      <c r="D13" s="7" t="inlineStr">
        <is>
          <t>Sewing kits</t>
        </is>
      </c>
      <c r="E13" s="8" t="inlineStr">
        <is>
          <t>Šitíčko - velká sada v pouzdru</t>
        </is>
      </c>
      <c r="F13" s="8" t="inlineStr">
        <is>
          <t>Polyester, Ocel</t>
        </is>
      </c>
      <c r="G13" s="8" t="inlineStr">
        <is>
          <t>Sada na šití v cestovním textilním pouzdře.  Balení obsahuje 22 jednobarevných nití, 2 barevné nitě, nůžtičky, jehly, náprstky, pomocník na párání, pastelku na textil, krejčovský metr, špendlík.</t>
        </is>
      </c>
      <c r="H13" s="7" t="inlineStr">
        <is>
          <t>9605 00 00 00</t>
        </is>
      </c>
      <c r="I13" s="9" t="n">
        <v>420</v>
      </c>
      <c r="J13" s="9" t="n">
        <v>7</v>
      </c>
      <c r="K13" s="10" t="n">
        <v>116.9</v>
      </c>
      <c r="L13" s="10" t="n">
        <v>123.9</v>
      </c>
      <c r="M13" s="31" t="n">
        <v>1.75</v>
      </c>
      <c r="N13" s="11" t="n">
        <v>735</v>
      </c>
      <c r="O13" s="11" t="n">
        <v>0</v>
      </c>
      <c r="P13" s="11" t="n">
        <v>735</v>
      </c>
      <c r="Q13" s="8" t="inlineStr"/>
    </row>
    <row r="14">
      <c r="A14" s="7" t="inlineStr">
        <is>
          <t>Ningbo Onway Imp &amp; Exp Co., Ltd.</t>
        </is>
      </c>
      <c r="B14" s="7" t="inlineStr">
        <is>
          <t>26OW08001 LCL14</t>
        </is>
      </c>
      <c r="C14" s="7" t="n">
        <v>13</v>
      </c>
      <c r="D14" s="7" t="inlineStr">
        <is>
          <t>Transparent Kitchen Partition Box 2</t>
        </is>
      </c>
      <c r="E14" s="8" t="inlineStr">
        <is>
          <t>Transparentní organizér - obdélníkový</t>
        </is>
      </c>
      <c r="F14" s="8" t="inlineStr">
        <is>
          <t>PET</t>
        </is>
      </c>
      <c r="G14" s="8" t="inlineStr">
        <is>
          <t>Organizér na kuchyňské potřeby.</t>
        </is>
      </c>
      <c r="H14" s="7" t="inlineStr">
        <is>
          <t>3924 10 00 90</t>
        </is>
      </c>
      <c r="I14" s="9" t="n">
        <v>420</v>
      </c>
      <c r="J14" s="9" t="n">
        <v>3</v>
      </c>
      <c r="K14" s="10" t="n">
        <v>40.5</v>
      </c>
      <c r="L14" s="10" t="n">
        <v>43.5</v>
      </c>
      <c r="M14" s="31" t="n">
        <v>0.38</v>
      </c>
      <c r="N14" s="11" t="n">
        <v>159.6</v>
      </c>
      <c r="O14" s="11" t="n">
        <v>0</v>
      </c>
      <c r="P14" s="11" t="n">
        <v>159.6</v>
      </c>
      <c r="Q14" s="8" t="inlineStr"/>
    </row>
    <row r="15">
      <c r="A15" s="7" t="inlineStr">
        <is>
          <t>Ningbo Onway Imp &amp; Exp Co., Ltd.</t>
        </is>
      </c>
      <c r="B15" s="7" t="inlineStr">
        <is>
          <t>26OW08001 LCL14</t>
        </is>
      </c>
      <c r="C15" s="7" t="n">
        <v>14</v>
      </c>
      <c r="D15" s="7" t="inlineStr">
        <is>
          <t>Lazy Neck Phone &amp; Tablet Holder</t>
        </is>
      </c>
      <c r="E15" s="8" t="inlineStr">
        <is>
          <t>Líný držák na mobil</t>
        </is>
      </c>
      <c r="F15" s="8" t="inlineStr">
        <is>
          <t>ABS, PVC, polyuretan, kov</t>
        </is>
      </c>
      <c r="G15" s="8" t="inlineStr">
        <is>
          <t>Držák na telefon nebo tablet s ohebnou a tvarovatelnou rukojetí, na kterou se dá postavit například na stůl, pověsit za krk nebo držet v ruce jako sefie-tyč. Slouží jako držák telefonu.</t>
        </is>
      </c>
      <c r="H15" s="7" t="inlineStr">
        <is>
          <t>3926 90 97 90</t>
        </is>
      </c>
      <c r="I15" s="9" t="n">
        <v>500</v>
      </c>
      <c r="J15" s="9" t="n">
        <v>5</v>
      </c>
      <c r="K15" s="10" t="n">
        <v>85</v>
      </c>
      <c r="L15" s="10" t="n">
        <v>90</v>
      </c>
      <c r="M15" s="31" t="n">
        <v>0.73</v>
      </c>
      <c r="N15" s="11" t="n">
        <v>365</v>
      </c>
      <c r="O15" s="11" t="n">
        <v>0</v>
      </c>
      <c r="P15" s="11" t="n">
        <v>365</v>
      </c>
      <c r="Q15" s="8" t="inlineStr"/>
    </row>
    <row r="16">
      <c r="A16" s="7" t="inlineStr">
        <is>
          <t>Ningbo Onway Imp &amp; Exp Co., Ltd.</t>
        </is>
      </c>
      <c r="B16" s="7" t="inlineStr">
        <is>
          <t>26OW08001 LCL14</t>
        </is>
      </c>
      <c r="C16" s="7" t="n">
        <v>15</v>
      </c>
      <c r="D16" s="7" t="inlineStr">
        <is>
          <t>Reflective Vest Gear Stripes</t>
        </is>
      </c>
      <c r="E16" s="8" t="inlineStr">
        <is>
          <t>Reflexní kšandy</t>
        </is>
      </c>
      <c r="F16" s="8" t="inlineStr">
        <is>
          <t>Polyester, ABS</t>
        </is>
      </c>
      <c r="G16" s="8" t="inlineStr">
        <is>
          <t>Kšandy jsou vybaveny reflexní páskou. Jsou  nastavitelné  - pásy jsou natahovací a sponami se dá nastavit velikost. Slouží jako reflexní výbava při jízdě na kole nebo při cestách po ulici v noci.</t>
        </is>
      </c>
      <c r="H16" s="7" t="inlineStr">
        <is>
          <t>6307 90 98 99</t>
        </is>
      </c>
      <c r="I16" s="9" t="n">
        <v>1500</v>
      </c>
      <c r="J16" s="9" t="n">
        <v>15</v>
      </c>
      <c r="K16" s="10" t="n">
        <v>130.5</v>
      </c>
      <c r="L16" s="10" t="n">
        <v>145.5</v>
      </c>
      <c r="M16" s="31" t="n">
        <v>0.58</v>
      </c>
      <c r="N16" s="11" t="n">
        <v>870</v>
      </c>
      <c r="O16" s="11" t="n">
        <v>0</v>
      </c>
      <c r="P16" s="11" t="n">
        <v>870</v>
      </c>
      <c r="Q16" s="8" t="inlineStr"/>
    </row>
    <row r="17">
      <c r="A17" s="7" t="inlineStr">
        <is>
          <t>Ningbo Onway Imp &amp; Exp Co., Ltd.</t>
        </is>
      </c>
      <c r="B17" s="7" t="inlineStr">
        <is>
          <t>26OW08001 LCL14</t>
        </is>
      </c>
      <c r="C17" s="7" t="n">
        <v>16</v>
      </c>
      <c r="D17" s="7" t="inlineStr">
        <is>
          <t>Portable Cosmetic Bag</t>
        </is>
      </c>
      <c r="E17" s="8" t="inlineStr">
        <is>
          <t>Velkokapacitní cestovní kosmetická taštička</t>
        </is>
      </c>
      <c r="F17" s="8" t="inlineStr">
        <is>
          <t>PU, Polyester, PVC</t>
        </is>
      </c>
      <c r="G17" s="8" t="inlineStr">
        <is>
          <t>Cestovní organizér.</t>
        </is>
      </c>
      <c r="H17" s="7" t="inlineStr">
        <is>
          <t>4202 92 11 00</t>
        </is>
      </c>
      <c r="I17" s="9" t="n">
        <v>200</v>
      </c>
      <c r="J17" s="9" t="n">
        <v>2</v>
      </c>
      <c r="K17" s="10" t="n">
        <v>34.8</v>
      </c>
      <c r="L17" s="10" t="n">
        <v>36.8</v>
      </c>
      <c r="M17" s="31" t="n">
        <v>1.45</v>
      </c>
      <c r="N17" s="11" t="n">
        <v>290</v>
      </c>
      <c r="O17" s="11" t="n">
        <v>0</v>
      </c>
      <c r="P17" s="11" t="n">
        <v>290</v>
      </c>
      <c r="Q17" s="8" t="inlineStr"/>
    </row>
    <row r="18">
      <c r="A18" s="7" t="inlineStr">
        <is>
          <t>Ningbo Onway Imp &amp; Exp Co., Ltd.</t>
        </is>
      </c>
      <c r="B18" s="7" t="inlineStr">
        <is>
          <t>26OW08001 LCL14</t>
        </is>
      </c>
      <c r="C18" s="7" t="n">
        <v>17</v>
      </c>
      <c r="D18" s="7" t="inlineStr">
        <is>
          <t>Big Capacity Multi Purpose Storage Box</t>
        </is>
      </c>
      <c r="E18" s="8" t="inlineStr">
        <is>
          <t>Kufříkový organizér</t>
        </is>
      </c>
      <c r="F18" s="8" t="inlineStr">
        <is>
          <t>PP</t>
        </is>
      </c>
      <c r="G18" s="8" t="inlineStr">
        <is>
          <t>Třípatrový přenosný organizér na vše možné - léky, kancelářské potřeby nebo i šperky. Dvě patra jsou rozdělena na několik přihrádek.</t>
        </is>
      </c>
      <c r="H18" s="7" t="inlineStr">
        <is>
          <t>4202 12 50 00</t>
        </is>
      </c>
      <c r="I18" s="9" t="n">
        <v>270</v>
      </c>
      <c r="J18" s="9" t="n">
        <v>9</v>
      </c>
      <c r="K18" s="10" t="n">
        <v>111.6</v>
      </c>
      <c r="L18" s="10" t="n">
        <v>120.6</v>
      </c>
      <c r="M18" s="31" t="n">
        <v>1.75</v>
      </c>
      <c r="N18" s="11" t="n">
        <v>472.5</v>
      </c>
      <c r="O18" s="11" t="n">
        <v>0</v>
      </c>
      <c r="P18" s="11" t="n">
        <v>472.5</v>
      </c>
      <c r="Q18" s="8" t="inlineStr"/>
    </row>
    <row r="19">
      <c r="A19" s="7" t="inlineStr">
        <is>
          <t>Ningbo Onway Imp &amp; Exp Co., Ltd.</t>
        </is>
      </c>
      <c r="B19" s="7" t="inlineStr">
        <is>
          <t>26OW08001 LCL14</t>
        </is>
      </c>
      <c r="C19" s="7" t="n">
        <v>18</v>
      </c>
      <c r="D19" s="7" t="inlineStr">
        <is>
          <t>Fountain light speakers</t>
        </is>
      </c>
      <c r="E19" s="8" t="inlineStr">
        <is>
          <t>Reproduktory - Tančící voda</t>
        </is>
      </c>
      <c r="F19" s="8" t="inlineStr">
        <is>
          <t>ABS, akrylátové sklo, LED světlo, rostlinný olej</t>
        </is>
      </c>
      <c r="G19" s="8" t="inlineStr">
        <is>
          <t>2 malé reproduktory, ve kterých vytryskávají proudy nasvícené tekutiny dle hrané melodie. Reproduktory se napájí USB kabelem. Pouštět hudbu lze z počítače, telefonu či tabletu. Součástí balení je USB kabel a AUX kabel 3,5 mm.</t>
        </is>
      </c>
      <c r="H19" s="7" t="inlineStr">
        <is>
          <t>8518 21 00 00</t>
        </is>
      </c>
      <c r="I19" s="9" t="n">
        <v>90</v>
      </c>
      <c r="J19" s="9" t="n">
        <v>3</v>
      </c>
      <c r="K19" s="10" t="n">
        <v>61.8</v>
      </c>
      <c r="L19" s="10" t="n">
        <v>64.8</v>
      </c>
      <c r="M19" s="31" t="n">
        <v>7.25</v>
      </c>
      <c r="N19" s="11" t="n">
        <v>652.5</v>
      </c>
      <c r="O19" s="11" t="n">
        <v>0</v>
      </c>
      <c r="P19" s="11" t="n">
        <v>652.5</v>
      </c>
      <c r="Q19" s="8" t="inlineStr"/>
    </row>
    <row r="20">
      <c r="A20" s="7" t="inlineStr">
        <is>
          <t>Ningbo Onway Imp &amp; Exp Co., Ltd.</t>
        </is>
      </c>
      <c r="B20" s="7" t="inlineStr">
        <is>
          <t>26OW08001 LCL14</t>
        </is>
      </c>
      <c r="C20" s="7" t="n">
        <v>19</v>
      </c>
      <c r="D20" s="7" t="inlineStr">
        <is>
          <t>Gel Seat Pad 41x34 cm</t>
        </is>
      </c>
      <c r="E20" s="8" t="inlineStr">
        <is>
          <t>Silikonová podložka na sezení</t>
        </is>
      </c>
      <c r="F20" s="8" t="inlineStr">
        <is>
          <t>Silikon, polyester</t>
        </is>
      </c>
      <c r="G20" s="8" t="inlineStr">
        <is>
          <t>Podložka zajišťuje pohodlné sezení doma či v kanceláři. Gelová podložka je v látkovém obalu na zip.</t>
        </is>
      </c>
      <c r="H20" s="7" t="inlineStr">
        <is>
          <t>3926 90 97 90</t>
        </is>
      </c>
      <c r="I20" s="9" t="n">
        <v>243</v>
      </c>
      <c r="J20" s="9" t="n">
        <v>9</v>
      </c>
      <c r="K20" s="10" t="n">
        <v>220.5</v>
      </c>
      <c r="L20" s="10" t="n">
        <v>229.5</v>
      </c>
      <c r="M20" s="31" t="n">
        <v>2.3</v>
      </c>
      <c r="N20" s="11" t="n">
        <v>558.9</v>
      </c>
      <c r="O20" s="11" t="n">
        <v>0</v>
      </c>
      <c r="P20" s="11" t="n">
        <v>558.9</v>
      </c>
      <c r="Q20" s="8" t="inlineStr"/>
    </row>
    <row r="21">
      <c r="A21" s="7" t="inlineStr">
        <is>
          <t>Ningbo Onway Imp &amp; Exp Co., Ltd.</t>
        </is>
      </c>
      <c r="B21" s="7" t="inlineStr">
        <is>
          <t>26OW08001 LCL14</t>
        </is>
      </c>
      <c r="C21" s="7" t="n">
        <v>20</v>
      </c>
      <c r="D21" s="7" t="inlineStr">
        <is>
          <t>Christmas Laser Projector</t>
        </is>
      </c>
      <c r="E21" s="8" t="inlineStr">
        <is>
          <t>Venkovní LED projektor 16 motivů</t>
        </is>
      </c>
      <c r="F21" s="8" t="inlineStr">
        <is>
          <t>ABS, el. součástky</t>
        </is>
      </c>
      <c r="G21" s="8" t="inlineStr">
        <is>
          <t>Balení obsahuje kolík do země i podstavec na zem (lze libovolně volit)  a 16 různých motivů na promítání (vánoční i nevánoční, narozeninové, dětské, strašidelné,..) a dálkový ovladač. Vhodné do interiéru i exteriéru. Napájení do zásuvky.</t>
        </is>
      </c>
      <c r="H21" s="7" t="inlineStr">
        <is>
          <t>9405 42 31 90</t>
        </is>
      </c>
      <c r="I21" s="9" t="n">
        <v>72</v>
      </c>
      <c r="J21" s="9" t="n">
        <v>3</v>
      </c>
      <c r="K21" s="10" t="n">
        <v>43.5</v>
      </c>
      <c r="L21" s="10" t="n">
        <v>46.5</v>
      </c>
      <c r="M21" s="31" t="n">
        <v>10.2</v>
      </c>
      <c r="N21" s="11" t="n">
        <v>734.4</v>
      </c>
      <c r="O21" s="11" t="n">
        <v>0</v>
      </c>
      <c r="P21" s="11" t="n">
        <v>734.4</v>
      </c>
      <c r="Q21" s="8" t="inlineStr"/>
    </row>
    <row r="22">
      <c r="A22" s="7" t="inlineStr">
        <is>
          <t>Ningbo Onway Imp &amp; Exp Co., Ltd.</t>
        </is>
      </c>
      <c r="B22" s="7" t="inlineStr">
        <is>
          <t>26OW08001 LCL14</t>
        </is>
      </c>
      <c r="C22" s="7" t="n">
        <v>21</v>
      </c>
      <c r="D22" s="7" t="inlineStr">
        <is>
          <t>Christmas lamp</t>
        </is>
      </c>
      <c r="E22" s="8" t="inlineStr">
        <is>
          <t>Svítící vánoční stromeček ve skleněné váze v dárkovém balení</t>
        </is>
      </c>
      <c r="F22" s="8" t="inlineStr">
        <is>
          <t>Dřevo (borovice), sklo, PVC</t>
        </is>
      </c>
      <c r="G22" s="8" t="inlineStr">
        <is>
          <t>Lampička na baterky s vánočním designem.</t>
        </is>
      </c>
      <c r="H22" s="7" t="inlineStr">
        <is>
          <t>9405 42 31 00</t>
        </is>
      </c>
      <c r="I22" s="9" t="n">
        <v>336</v>
      </c>
      <c r="J22" s="9" t="n">
        <v>14</v>
      </c>
      <c r="K22" s="10" t="n">
        <v>154</v>
      </c>
      <c r="L22" s="10" t="n">
        <v>168</v>
      </c>
      <c r="M22" s="31" t="n">
        <v>2.9</v>
      </c>
      <c r="N22" s="11" t="n">
        <v>974.4</v>
      </c>
      <c r="O22" s="11" t="n">
        <v>0</v>
      </c>
      <c r="P22" s="11" t="n">
        <v>974.4</v>
      </c>
      <c r="Q22" s="8" t="inlineStr"/>
    </row>
    <row r="23">
      <c r="A23" s="7" t="inlineStr">
        <is>
          <t>Ningbo Onway Imp &amp; Exp Co., Ltd.</t>
        </is>
      </c>
      <c r="B23" s="7" t="inlineStr">
        <is>
          <t>26OW08001 LCL14</t>
        </is>
      </c>
      <c r="C23" s="7" t="n">
        <v>22</v>
      </c>
      <c r="D23" s="7" t="inlineStr">
        <is>
          <t>Face tree decoration with a feeder</t>
        </is>
      </c>
      <c r="E23" s="8" t="inlineStr">
        <is>
          <t>Dekorace na strom - obličej s krmítkem</t>
        </is>
      </c>
      <c r="F23" s="8" t="inlineStr">
        <is>
          <t>Umělá pryskyřice</t>
        </is>
      </c>
      <c r="G23" s="8" t="inlineStr">
        <is>
          <t>Venkovní dekorace.</t>
        </is>
      </c>
      <c r="H23" s="7" t="inlineStr">
        <is>
          <t>3926 40 00 00</t>
        </is>
      </c>
      <c r="I23" s="9" t="n">
        <v>352</v>
      </c>
      <c r="J23" s="9" t="n">
        <v>11</v>
      </c>
      <c r="K23" s="10" t="n">
        <v>126.5</v>
      </c>
      <c r="L23" s="10" t="n">
        <v>137.5</v>
      </c>
      <c r="M23" s="31" t="n">
        <v>1.83</v>
      </c>
      <c r="N23" s="11" t="n">
        <v>644.16</v>
      </c>
      <c r="O23" s="11" t="n">
        <v>0</v>
      </c>
      <c r="P23" s="11" t="n">
        <v>644.16</v>
      </c>
      <c r="Q23" s="8" t="inlineStr"/>
    </row>
    <row r="24">
      <c r="A24" s="7" t="inlineStr">
        <is>
          <t>Ningbo Onway Imp &amp; Exp Co., Ltd.</t>
        </is>
      </c>
      <c r="B24" s="7" t="inlineStr">
        <is>
          <t>26OW08001 LCL14</t>
        </is>
      </c>
      <c r="C24" s="7" t="n">
        <v>23</v>
      </c>
      <c r="D24" s="7" t="inlineStr">
        <is>
          <t>Magic rainbow ball</t>
        </is>
      </c>
      <c r="E24" s="8" t="inlineStr">
        <is>
          <t>Barevný Hlavolam</t>
        </is>
      </c>
      <c r="F24" s="8" t="inlineStr">
        <is>
          <t>ABS</t>
        </is>
      </c>
      <c r="G24" s="8" t="inlineStr">
        <is>
          <t>Hlavolam, jehož cílem je mít vnitřní kuličky v otvoru stejné barvy. Funguje na podobném principu jako Rubikova kostka.</t>
        </is>
      </c>
      <c r="H24" s="7" t="inlineStr">
        <is>
          <t>9503 00 69 00</t>
        </is>
      </c>
      <c r="I24" s="9" t="n">
        <v>576</v>
      </c>
      <c r="J24" s="9" t="n">
        <v>2</v>
      </c>
      <c r="K24" s="10" t="n">
        <v>59.4</v>
      </c>
      <c r="L24" s="10" t="n">
        <v>61.4</v>
      </c>
      <c r="M24" s="31" t="n">
        <v>0.55</v>
      </c>
      <c r="N24" s="11" t="n">
        <v>316.8</v>
      </c>
      <c r="O24" s="11" t="n">
        <v>0</v>
      </c>
      <c r="P24" s="11" t="n">
        <v>316.8</v>
      </c>
      <c r="Q24" s="8" t="inlineStr"/>
    </row>
    <row r="25">
      <c r="A25" s="7" t="inlineStr">
        <is>
          <t>Ningbo Onway Imp &amp; Exp Co., Ltd.</t>
        </is>
      </c>
      <c r="B25" s="7" t="inlineStr">
        <is>
          <t>26OW08001 LCL14</t>
        </is>
      </c>
      <c r="C25" s="7" t="n">
        <v>24</v>
      </c>
      <c r="D25" s="7" t="inlineStr">
        <is>
          <t>3 LED Self-adhesive lamp</t>
        </is>
      </c>
      <c r="E25" s="8" t="inlineStr">
        <is>
          <t>Samolepící lampička 3 LED stříbrná</t>
        </is>
      </c>
      <c r="F25" s="8" t="inlineStr">
        <is>
          <t>ABS, LED diody</t>
        </is>
      </c>
      <c r="G25" s="8" t="inlineStr">
        <is>
          <t>Světlo obsahuje 3 LED. Napájení pomocí 3 AAA baterií, nejsou součástí balení. Po zmáčknutí se světlo rozsvítí. Je nalepovací (lepící páska je umístěna na zadní straně).</t>
        </is>
      </c>
      <c r="H25" s="7" t="inlineStr">
        <is>
          <t>9405 42 31 00</t>
        </is>
      </c>
      <c r="I25" s="9" t="n">
        <v>1440</v>
      </c>
      <c r="J25" s="9" t="n">
        <v>4</v>
      </c>
      <c r="K25" s="10" t="n">
        <v>44</v>
      </c>
      <c r="L25" s="10" t="n">
        <v>48</v>
      </c>
      <c r="M25" s="31" t="n">
        <v>0.28</v>
      </c>
      <c r="N25" s="11" t="n">
        <v>403.2</v>
      </c>
      <c r="O25" s="11" t="n">
        <v>0</v>
      </c>
      <c r="P25" s="11" t="n">
        <v>403.2</v>
      </c>
      <c r="Q25" s="8" t="inlineStr"/>
    </row>
    <row r="26">
      <c r="A26" s="7" t="inlineStr">
        <is>
          <t>Ningbo Onway Imp &amp; Exp Co., Ltd.</t>
        </is>
      </c>
      <c r="B26" s="7" t="inlineStr">
        <is>
          <t>26OW08001 LCL14</t>
        </is>
      </c>
      <c r="C26" s="7" t="n">
        <v>25</v>
      </c>
      <c r="D26" s="7" t="inlineStr">
        <is>
          <t>Car Trunk Storage Box Foldable 50x16x24CM</t>
        </is>
      </c>
      <c r="E26" s="8" t="inlineStr">
        <is>
          <t>Organizér do auta na suchý zip - 50x16 cm</t>
        </is>
      </c>
      <c r="F26" s="8" t="inlineStr">
        <is>
          <t>100% Polyester (netkaná textilie)</t>
        </is>
      </c>
      <c r="G26" s="8" t="inlineStr">
        <is>
          <t>Organizér na předměty do kufru auta.</t>
        </is>
      </c>
      <c r="H26" s="7" t="inlineStr">
        <is>
          <t>4202 92 98 90</t>
        </is>
      </c>
      <c r="I26" s="9" t="n">
        <v>525</v>
      </c>
      <c r="J26" s="9" t="n">
        <v>7</v>
      </c>
      <c r="K26" s="10" t="n">
        <v>171.5</v>
      </c>
      <c r="L26" s="10" t="n">
        <v>178.5</v>
      </c>
      <c r="M26" s="31" t="n">
        <v>1.08</v>
      </c>
      <c r="N26" s="11" t="n">
        <v>567</v>
      </c>
      <c r="O26" s="11" t="n">
        <v>0</v>
      </c>
      <c r="P26" s="11" t="n">
        <v>567</v>
      </c>
      <c r="Q26" s="8" t="inlineStr"/>
    </row>
    <row r="27">
      <c r="A27" s="7" t="inlineStr">
        <is>
          <t>Ningbo Onway Imp &amp; Exp Co., Ltd.</t>
        </is>
      </c>
      <c r="B27" s="7" t="inlineStr">
        <is>
          <t>26OW08001 LCL14</t>
        </is>
      </c>
      <c r="C27" s="7" t="n">
        <v>26</v>
      </c>
      <c r="D27" s="7" t="inlineStr">
        <is>
          <t>Transparent Anti Slip Strips</t>
        </is>
      </c>
      <c r="E27" s="8" t="inlineStr">
        <is>
          <t>Protiskluzové pásky - transparentní</t>
        </is>
      </c>
      <c r="F27" s="8" t="inlineStr">
        <is>
          <t>PEVA, samolepící vrstva</t>
        </is>
      </c>
      <c r="G27" s="8" t="inlineStr">
        <is>
          <t>Balení obsahuje 6 kusů protiskluzových nálepek. Vhodné do koupelny.</t>
        </is>
      </c>
      <c r="H27" s="7" t="inlineStr">
        <is>
          <t>3919 90 80 99</t>
        </is>
      </c>
      <c r="I27" s="9" t="n">
        <v>400</v>
      </c>
      <c r="J27" s="9" t="n">
        <v>1</v>
      </c>
      <c r="K27" s="10" t="n">
        <v>4.8</v>
      </c>
      <c r="L27" s="10" t="n">
        <v>5.8</v>
      </c>
      <c r="M27" s="31" t="n">
        <v>0.23</v>
      </c>
      <c r="N27" s="11" t="n">
        <v>92</v>
      </c>
      <c r="O27" s="11" t="n">
        <v>0</v>
      </c>
      <c r="P27" s="11" t="n">
        <v>92</v>
      </c>
      <c r="Q27" s="8" t="inlineStr"/>
    </row>
    <row r="28">
      <c r="A28" s="7" t="inlineStr">
        <is>
          <t>Ningbo Onway Imp &amp; Exp Co., Ltd.</t>
        </is>
      </c>
      <c r="B28" s="7" t="inlineStr">
        <is>
          <t>26OW08001 LCL14</t>
        </is>
      </c>
      <c r="C28" s="7" t="n">
        <v>27</v>
      </c>
      <c r="D28" s="7" t="inlineStr">
        <is>
          <t>Ring Size Adjuster for Loose Rings</t>
        </is>
      </c>
      <c r="E28" s="8" t="inlineStr">
        <is>
          <t>Pomůcka pro zmenšení prstýnku</t>
        </is>
      </c>
      <c r="F28" s="8" t="inlineStr">
        <is>
          <t>PU</t>
        </is>
      </c>
      <c r="G28" s="8" t="inlineStr">
        <is>
          <t>Pomůcka slouží ke zmenšení prstýnků. Balení obsahuje jeden kus 10 cm dlouhý, který lze libovolně nastříhat (vystačí na cca až 10 prstýnků) a omotat kolem prstýnku.</t>
        </is>
      </c>
      <c r="H28" s="7" t="inlineStr">
        <is>
          <t>3916 90 10 90</t>
        </is>
      </c>
      <c r="I28" s="9" t="n">
        <v>1000</v>
      </c>
      <c r="J28" s="9" t="n">
        <v>1</v>
      </c>
      <c r="K28" s="10" t="n">
        <v>2</v>
      </c>
      <c r="L28" s="10" t="n">
        <v>2.5</v>
      </c>
      <c r="M28" s="31" t="n">
        <v>0.15</v>
      </c>
      <c r="N28" s="11" t="n">
        <v>150</v>
      </c>
      <c r="O28" s="11" t="n">
        <v>0</v>
      </c>
      <c r="P28" s="11" t="n">
        <v>150</v>
      </c>
      <c r="Q28" s="8" t="inlineStr"/>
    </row>
    <row r="29">
      <c r="A29" s="7" t="inlineStr">
        <is>
          <t>Ningbo Onway Imp &amp; Exp Co., Ltd.</t>
        </is>
      </c>
      <c r="B29" s="7" t="inlineStr">
        <is>
          <t>26OW08001 LCL14</t>
        </is>
      </c>
      <c r="C29" s="7" t="n">
        <v>28</v>
      </c>
      <c r="D29" s="7" t="inlineStr">
        <is>
          <t>Cool Shower Head - silver</t>
        </is>
      </c>
      <c r="E29" s="8" t="inlineStr">
        <is>
          <t>Úsporná rotující sprchová hlavice - stříbrná</t>
        </is>
      </c>
      <c r="F29" s="8" t="inlineStr">
        <is>
          <t>ABS</t>
        </is>
      </c>
      <c r="G29" s="8" t="inlineStr">
        <is>
          <t>Sprcha vytváří spirálovitý proud vody. Ze zadní strany je dekorativní vrtule, která se otáčí díky proudu vody. Balení obsahuje pouze hlavici. Slouží jako klasická sprchová hlavice.</t>
        </is>
      </c>
      <c r="H29" s="7" t="inlineStr">
        <is>
          <t>8424 89 70 00</t>
        </is>
      </c>
      <c r="I29" s="9" t="n">
        <v>200</v>
      </c>
      <c r="J29" s="9" t="n">
        <v>1</v>
      </c>
      <c r="K29" s="10" t="n">
        <v>30</v>
      </c>
      <c r="L29" s="10" t="n">
        <v>31</v>
      </c>
      <c r="M29" s="31" t="n">
        <v>0.98</v>
      </c>
      <c r="N29" s="11" t="n">
        <v>196</v>
      </c>
      <c r="O29" s="11" t="n">
        <v>0</v>
      </c>
      <c r="P29" s="11" t="n">
        <v>196</v>
      </c>
      <c r="Q29" s="8" t="inlineStr"/>
    </row>
    <row r="30">
      <c r="A30" s="7" t="inlineStr">
        <is>
          <t>Ningbo Onway Imp &amp; Exp Co., Ltd.</t>
        </is>
      </c>
      <c r="B30" s="7" t="inlineStr">
        <is>
          <t>26OW08001 LCL14</t>
        </is>
      </c>
      <c r="C30" s="7" t="n">
        <v>29</v>
      </c>
      <c r="D30" s="7" t="inlineStr">
        <is>
          <t>Soap Dispensers Refillable 300ml</t>
        </is>
      </c>
      <c r="E30" s="8" t="inlineStr">
        <is>
          <t>Průhledný dávkovač mýdla 300 ml</t>
        </is>
      </c>
      <c r="F30" s="8" t="inlineStr">
        <is>
          <t>PP, silikon</t>
        </is>
      </c>
      <c r="G30" s="8" t="inlineStr">
        <is>
          <t>Dávkovač na mýdlo. Objem 300ml.</t>
        </is>
      </c>
      <c r="H30" s="7" t="inlineStr">
        <is>
          <t>8479 89 97 90</t>
        </is>
      </c>
      <c r="I30" s="9" t="n">
        <v>405</v>
      </c>
      <c r="J30" s="9" t="n">
        <v>3</v>
      </c>
      <c r="K30" s="10" t="n">
        <v>47.1</v>
      </c>
      <c r="L30" s="10" t="n">
        <v>50.1</v>
      </c>
      <c r="M30" s="31" t="n">
        <v>0.44</v>
      </c>
      <c r="N30" s="11" t="n">
        <v>178.2</v>
      </c>
      <c r="O30" s="11" t="n">
        <v>0</v>
      </c>
      <c r="P30" s="11" t="n">
        <v>178.2</v>
      </c>
      <c r="Q30" s="8" t="inlineStr"/>
    </row>
    <row r="31">
      <c r="A31" s="7" t="inlineStr">
        <is>
          <t>Ningbo Onway Imp &amp; Exp Co., Ltd.</t>
        </is>
      </c>
      <c r="B31" s="7" t="inlineStr">
        <is>
          <t>26OW08001 LCL14</t>
        </is>
      </c>
      <c r="C31" s="7" t="n">
        <v>30</v>
      </c>
      <c r="D31" s="7" t="inlineStr">
        <is>
          <t>Wood Placemat</t>
        </is>
      </c>
      <c r="E31" s="8" t="inlineStr">
        <is>
          <t>Prostírání - pařez</t>
        </is>
      </c>
      <c r="F31" s="8" t="inlineStr">
        <is>
          <t>PP (polypropylen)</t>
        </is>
      </c>
      <c r="G31" s="8" t="inlineStr">
        <is>
          <t>Jedná se o plastové prostírání s motivem kmenu.</t>
        </is>
      </c>
      <c r="H31" s="7" t="inlineStr">
        <is>
          <t>3924 10 00 90</t>
        </is>
      </c>
      <c r="I31" s="9" t="n">
        <v>600</v>
      </c>
      <c r="J31" s="9" t="n">
        <v>3</v>
      </c>
      <c r="K31" s="10" t="n">
        <v>42</v>
      </c>
      <c r="L31" s="10" t="n">
        <v>45</v>
      </c>
      <c r="M31" s="31" t="n">
        <v>0.35</v>
      </c>
      <c r="N31" s="11" t="n">
        <v>210</v>
      </c>
      <c r="O31" s="11" t="n">
        <v>0</v>
      </c>
      <c r="P31" s="11" t="n">
        <v>210</v>
      </c>
      <c r="Q31" s="8" t="inlineStr"/>
    </row>
    <row r="32">
      <c r="A32" s="7" t="inlineStr">
        <is>
          <t>Ningbo Onway Imp &amp; Exp Co., Ltd.</t>
        </is>
      </c>
      <c r="B32" s="7" t="inlineStr">
        <is>
          <t>26OW08001 LCL14</t>
        </is>
      </c>
      <c r="C32" s="7" t="n">
        <v>31</v>
      </c>
      <c r="D32" s="7" t="inlineStr">
        <is>
          <t>Wall shelf free punching wall-mounted</t>
        </is>
      </c>
      <c r="E32" s="8" t="inlineStr">
        <is>
          <t>Polička na zeď - šestiúhelník</t>
        </is>
      </c>
      <c r="F32" s="8" t="inlineStr">
        <is>
          <t>PVC (desky), ABS (háček), ocel (vruty)</t>
        </is>
      </c>
      <c r="G32" s="8" t="inlineStr">
        <is>
          <t>Produkt se skládá ze 3 kusů - hlavní šestiúhelníkové tělo, polička a vzpěra - po složení pomocí šroubů se produkt aplikuje na zeď pomocí háčků. Nástěnná šestiúhelníková polička poté slouží jako organizér a dekorace do domácnosti. V balení 1x polička (3 části), 2x TWENTY háček, 4x šroub, 1x malý šroubovák.</t>
        </is>
      </c>
      <c r="H32" s="7" t="inlineStr">
        <is>
          <t>9403 70 00 00</t>
        </is>
      </c>
      <c r="I32" s="9" t="n">
        <v>320</v>
      </c>
      <c r="J32" s="9" t="n">
        <v>8</v>
      </c>
      <c r="K32" s="10" t="n">
        <v>106.4</v>
      </c>
      <c r="L32" s="10" t="n">
        <v>114.4</v>
      </c>
      <c r="M32" s="31" t="n">
        <v>1.1</v>
      </c>
      <c r="N32" s="11" t="n">
        <v>352</v>
      </c>
      <c r="O32" s="11" t="n">
        <v>0</v>
      </c>
      <c r="P32" s="11" t="n">
        <v>352</v>
      </c>
      <c r="Q32" s="8" t="inlineStr"/>
    </row>
    <row r="33">
      <c r="A33" s="7" t="inlineStr">
        <is>
          <t>Ningbo Onway Imp &amp; Exp Co., Ltd.</t>
        </is>
      </c>
      <c r="B33" s="7" t="inlineStr">
        <is>
          <t>26OW08001 LCL14</t>
        </is>
      </c>
      <c r="C33" s="7" t="n">
        <v>32</v>
      </c>
      <c r="D33" s="7" t="inlineStr">
        <is>
          <t>T-shirt folder - red</t>
        </is>
      </c>
      <c r="E33" s="8" t="inlineStr">
        <is>
          <t>Deska na rychloskládání oblečení - červená</t>
        </is>
      </c>
      <c r="F33" s="8" t="inlineStr">
        <is>
          <t>plast</t>
        </is>
      </c>
      <c r="G33" s="8" t="inlineStr">
        <is>
          <t>Deska, která pomáhá skládat trička.</t>
        </is>
      </c>
      <c r="H33" s="7" t="inlineStr">
        <is>
          <t>3926 90 97 90</t>
        </is>
      </c>
      <c r="I33" s="9" t="n">
        <v>250</v>
      </c>
      <c r="J33" s="9" t="n">
        <v>10</v>
      </c>
      <c r="K33" s="10" t="n">
        <v>142</v>
      </c>
      <c r="L33" s="10" t="n">
        <v>152</v>
      </c>
      <c r="M33" s="31" t="n">
        <v>1.85</v>
      </c>
      <c r="N33" s="11" t="n">
        <v>462.5</v>
      </c>
      <c r="O33" s="11" t="n">
        <v>0</v>
      </c>
      <c r="P33" s="11" t="n">
        <v>462.5</v>
      </c>
      <c r="Q33" s="8" t="inlineStr"/>
    </row>
    <row r="34">
      <c r="A34" s="7" t="inlineStr">
        <is>
          <t>Ningbo Onway Imp &amp; Exp Co., Ltd.</t>
        </is>
      </c>
      <c r="B34" s="7" t="inlineStr">
        <is>
          <t>26OW08001 LCL14</t>
        </is>
      </c>
      <c r="C34" s="7" t="n">
        <v>33</v>
      </c>
      <c r="D34" s="7" t="inlineStr">
        <is>
          <t>Stativ 3 in 1</t>
        </is>
      </c>
      <c r="E34" s="8" t="inlineStr">
        <is>
          <t>Selfie tyč se stativem</t>
        </is>
      </c>
      <c r="F34" s="8" t="inlineStr">
        <is>
          <t>Ocel, ABS</t>
        </is>
      </c>
      <c r="G34" s="8" t="inlineStr">
        <is>
          <t>Lze použít jako selfie tyč či stativ. Balení obsahuje dálkové odvládání, které lze využít při focení. Vhodné pro android i apple. Lehce složitelný a rozložitelný a lehký. S držákem lehce otáčet (lze na šířku i výšku telefonu).  Slouží pro pořizování fotografií.</t>
        </is>
      </c>
      <c r="H34" s="7" t="inlineStr">
        <is>
          <t>9620 00 99 00</t>
        </is>
      </c>
      <c r="I34" s="9" t="n">
        <v>200</v>
      </c>
      <c r="J34" s="9" t="n">
        <v>2</v>
      </c>
      <c r="K34" s="10" t="n">
        <v>29</v>
      </c>
      <c r="L34" s="10" t="n">
        <v>31</v>
      </c>
      <c r="M34" s="31" t="n">
        <v>1.15</v>
      </c>
      <c r="N34" s="11" t="n">
        <v>230</v>
      </c>
      <c r="O34" s="11" t="n">
        <v>0</v>
      </c>
      <c r="P34" s="11" t="n">
        <v>230</v>
      </c>
      <c r="Q34" s="8" t="inlineStr"/>
    </row>
    <row r="35">
      <c r="A35" s="7" t="inlineStr">
        <is>
          <t>Ningbo Onway Imp &amp; Exp Co., Ltd.</t>
        </is>
      </c>
      <c r="B35" s="7" t="inlineStr">
        <is>
          <t>26OW08001 LCL14</t>
        </is>
      </c>
      <c r="C35" s="7" t="n">
        <v>34</v>
      </c>
      <c r="D35" s="7" t="inlineStr">
        <is>
          <t>Desktop Stress Relief Boxing Ball</t>
        </is>
      </c>
      <c r="E35" s="8" t="inlineStr">
        <is>
          <t>Antistresový boxovací pytel na stůl</t>
        </is>
      </c>
      <c r="F35" s="8" t="inlineStr">
        <is>
          <t>PU, ABS, ocel</t>
        </is>
      </c>
      <c r="G35" s="8" t="inlineStr">
        <is>
          <t>Antistresový boxovací pytel se přichytí na stůl pomocí přísavky.</t>
        </is>
      </c>
      <c r="H35" s="7" t="inlineStr">
        <is>
          <t>9506 91 90 00</t>
        </is>
      </c>
      <c r="I35" s="9" t="n">
        <v>200</v>
      </c>
      <c r="J35" s="9" t="n">
        <v>10</v>
      </c>
      <c r="K35" s="10" t="n">
        <v>130</v>
      </c>
      <c r="L35" s="10" t="n">
        <v>140</v>
      </c>
      <c r="M35" s="31" t="n">
        <v>2.88</v>
      </c>
      <c r="N35" s="11" t="n">
        <v>576</v>
      </c>
      <c r="O35" s="11" t="n">
        <v>0</v>
      </c>
      <c r="P35" s="11" t="n">
        <v>576</v>
      </c>
      <c r="Q35" s="8" t="inlineStr"/>
    </row>
    <row r="36">
      <c r="A36" s="7" t="inlineStr">
        <is>
          <t>Ningbo Onway Imp &amp; Exp Co., Ltd.</t>
        </is>
      </c>
      <c r="B36" s="7" t="inlineStr">
        <is>
          <t>26OW08001 LCL14</t>
        </is>
      </c>
      <c r="C36" s="7" t="n">
        <v>35</v>
      </c>
      <c r="D36" s="7" t="inlineStr">
        <is>
          <t>Massage Shower Mat</t>
        </is>
      </c>
      <c r="E36" s="8" t="inlineStr">
        <is>
          <t>Masážní protiskluzová podložka do sprchy</t>
        </is>
      </c>
      <c r="F36" s="8" t="inlineStr">
        <is>
          <t>PVC</t>
        </is>
      </c>
      <c r="G36" s="8" t="inlineStr">
        <is>
          <t>Podložka se připevní k podlaze sprchového koutu/ dnu vany pomocí přísavek na spodní části podložky. Slouží proti uklouznutí a k jemné masáže chodidel.</t>
        </is>
      </c>
      <c r="H36" s="7" t="inlineStr">
        <is>
          <t>3924 90 00 90</t>
        </is>
      </c>
      <c r="I36" s="9" t="n">
        <v>200</v>
      </c>
      <c r="J36" s="9" t="n">
        <v>8</v>
      </c>
      <c r="K36" s="10" t="n">
        <v>124</v>
      </c>
      <c r="L36" s="10" t="n">
        <v>132</v>
      </c>
      <c r="M36" s="31" t="n">
        <v>1.46</v>
      </c>
      <c r="N36" s="11" t="n">
        <v>292</v>
      </c>
      <c r="O36" s="11" t="n">
        <v>0</v>
      </c>
      <c r="P36" s="11" t="n">
        <v>292</v>
      </c>
      <c r="Q36" s="8" t="inlineStr"/>
    </row>
    <row r="37">
      <c r="A37" s="7" t="inlineStr">
        <is>
          <t>Ningbo Onway Imp &amp; Exp Co., Ltd.</t>
        </is>
      </c>
      <c r="B37" s="7" t="inlineStr">
        <is>
          <t>26OW08001 LCL14</t>
        </is>
      </c>
      <c r="C37" s="7" t="n">
        <v>36</v>
      </c>
      <c r="D37" s="7" t="inlineStr">
        <is>
          <t>LED Closet Motion Sensor Light-battery 10LED</t>
        </is>
      </c>
      <c r="E37" s="8" t="inlineStr">
        <is>
          <t>Svítící LED pásek se senzorem pohybu</t>
        </is>
      </c>
      <c r="F37" s="8" t="inlineStr">
        <is>
          <t>Slitina hliníku, ABS, Elektrické součásky</t>
        </is>
      </c>
      <c r="G37" s="8" t="inlineStr">
        <is>
          <t>10 LED světlo se senzorem pohybu, na 4x AAA baterie (nejsou součástí). Oboustranná lepenka na magnetickém pásku. Nalepí se pásek a světlo lze kdykoliv sundat. Nemá vypínač - aktivuje se automaticky pouze ve tmě, když zachytí pohyb.</t>
        </is>
      </c>
      <c r="H37" s="7" t="inlineStr">
        <is>
          <t>9405 42 31 00</t>
        </is>
      </c>
      <c r="I37" s="9" t="n">
        <v>1000</v>
      </c>
      <c r="J37" s="9" t="n">
        <v>10</v>
      </c>
      <c r="K37" s="10" t="n">
        <v>95</v>
      </c>
      <c r="L37" s="10" t="n">
        <v>105</v>
      </c>
      <c r="M37" s="31" t="n">
        <v>1.13</v>
      </c>
      <c r="N37" s="11" t="n">
        <v>1130</v>
      </c>
      <c r="O37" s="11" t="n">
        <v>0</v>
      </c>
      <c r="P37" s="11" t="n">
        <v>1130</v>
      </c>
      <c r="Q37" s="8" t="inlineStr"/>
    </row>
    <row r="38">
      <c r="A38" s="7" t="inlineStr">
        <is>
          <t>Ningbo Onway Imp &amp; Exp Co., Ltd.</t>
        </is>
      </c>
      <c r="B38" s="7" t="inlineStr">
        <is>
          <t>26OW08001 LCL14</t>
        </is>
      </c>
      <c r="C38" s="7" t="n">
        <v>37</v>
      </c>
      <c r="D38" s="7" t="inlineStr">
        <is>
          <t>Cable Organizer-5 holes</t>
        </is>
      </c>
      <c r="E38" s="8" t="inlineStr">
        <is>
          <t>Organizér na kabely - 5 otvorů</t>
        </is>
      </c>
      <c r="F38" s="8" t="inlineStr">
        <is>
          <t>Silikon</t>
        </is>
      </c>
      <c r="G38" s="8" t="inlineStr">
        <is>
          <t>Držák s pěti otvory, který pomáhá k přidržení a organizaci kabelů. Kabel drží v drážce. Na stůl se držák připevní pomocí oboustrané lepenky.</t>
        </is>
      </c>
      <c r="H38" s="7" t="inlineStr">
        <is>
          <t>3926 90 97 90</t>
        </is>
      </c>
      <c r="I38" s="9" t="n">
        <v>600</v>
      </c>
      <c r="J38" s="9" t="n">
        <v>1</v>
      </c>
      <c r="K38" s="10" t="n">
        <v>6.8</v>
      </c>
      <c r="L38" s="10" t="n">
        <v>7.8</v>
      </c>
      <c r="M38" s="31" t="n">
        <v>0.19</v>
      </c>
      <c r="N38" s="11" t="n">
        <v>114</v>
      </c>
      <c r="O38" s="11" t="n">
        <v>0</v>
      </c>
      <c r="P38" s="11" t="n">
        <v>114</v>
      </c>
      <c r="Q38" s="8" t="inlineStr"/>
    </row>
    <row r="39">
      <c r="A39" s="7" t="inlineStr">
        <is>
          <t>Ningbo Onway Imp &amp; Exp Co., Ltd.</t>
        </is>
      </c>
      <c r="B39" s="7" t="inlineStr">
        <is>
          <t>26OW08001 LCL14</t>
        </is>
      </c>
      <c r="C39" s="7" t="n">
        <v>38</v>
      </c>
      <c r="D39" s="7" t="inlineStr">
        <is>
          <t>Smelly Removed Shoe Bag</t>
        </is>
      </c>
      <c r="E39" s="8" t="inlineStr">
        <is>
          <t>Sáčky s aktivním uhlím do bot proti zápachu a vlhkosti</t>
        </is>
      </c>
      <c r="F39" s="8" t="inlineStr">
        <is>
          <t>Polyester, uhlí</t>
        </is>
      </c>
      <c r="G39" s="8" t="inlineStr">
        <is>
          <t>2 textilní sáčky s bambusovým uhlím z bot i jiných věcí vytáhnou vlhkost i zápach. Po použití je stačí vystavit na pár hodin na sluníčko, aby opět získaly svou absorpční schopnost.</t>
        </is>
      </c>
      <c r="H39" s="7" t="inlineStr">
        <is>
          <t>4402 10 00 90</t>
        </is>
      </c>
      <c r="I39" s="9" t="n">
        <v>600</v>
      </c>
      <c r="J39" s="9" t="n">
        <v>6</v>
      </c>
      <c r="K39" s="10" t="n">
        <v>60</v>
      </c>
      <c r="L39" s="10" t="n">
        <v>66</v>
      </c>
      <c r="M39" s="31" t="n">
        <v>0.47</v>
      </c>
      <c r="N39" s="11" t="n">
        <v>282</v>
      </c>
      <c r="O39" s="11" t="n">
        <v>0</v>
      </c>
      <c r="P39" s="11" t="n">
        <v>282</v>
      </c>
      <c r="Q39" s="8" t="inlineStr"/>
    </row>
    <row r="40">
      <c r="A40" s="7" t="inlineStr">
        <is>
          <t>Ningbo Onway Imp &amp; Exp Co., Ltd.</t>
        </is>
      </c>
      <c r="B40" s="7" t="inlineStr">
        <is>
          <t>26OW08001 LCL14</t>
        </is>
      </c>
      <c r="C40" s="7" t="n">
        <v>39</v>
      </c>
      <c r="D40" s="7" t="inlineStr">
        <is>
          <t>Umbrella bag</t>
        </is>
      </c>
      <c r="E40" s="8" t="inlineStr">
        <is>
          <t>Obal na skládací deštník</t>
        </is>
      </c>
      <c r="F40" s="8" t="inlineStr">
        <is>
          <t>EVA</t>
        </is>
      </c>
      <c r="G40" s="8" t="inlineStr">
        <is>
          <t>Plastový obal na deštník - voděodolné.</t>
        </is>
      </c>
      <c r="H40" s="7" t="inlineStr">
        <is>
          <t>3926 90 97 90</t>
        </is>
      </c>
      <c r="I40" s="9" t="n">
        <v>1000</v>
      </c>
      <c r="J40" s="9" t="n">
        <v>1</v>
      </c>
      <c r="K40" s="10" t="n">
        <v>4.8</v>
      </c>
      <c r="L40" s="10" t="n">
        <v>5.3</v>
      </c>
      <c r="M40" s="31" t="n">
        <v>0.18</v>
      </c>
      <c r="N40" s="11" t="n">
        <v>180</v>
      </c>
      <c r="O40" s="11" t="n">
        <v>0</v>
      </c>
      <c r="P40" s="11" t="n">
        <v>180</v>
      </c>
      <c r="Q40" s="8" t="inlineStr"/>
    </row>
    <row r="41">
      <c r="A41" s="7" t="inlineStr">
        <is>
          <t>Ningbo Onway Imp &amp; Exp Co., Ltd.</t>
        </is>
      </c>
      <c r="B41" s="7" t="inlineStr">
        <is>
          <t>26OW08001 LCL14</t>
        </is>
      </c>
      <c r="C41" s="7" t="n">
        <v>40</v>
      </c>
      <c r="D41" s="7" t="inlineStr">
        <is>
          <t>Carpet Anti-slip Stickers Anti Curling Reusable 4PCs</t>
        </is>
      </c>
      <c r="E41" s="8" t="inlineStr">
        <is>
          <t>Protiskluzové podložky 4 ks</t>
        </is>
      </c>
      <c r="F41" s="8" t="inlineStr">
        <is>
          <t>PU</t>
        </is>
      </c>
      <c r="G41" s="8" t="inlineStr">
        <is>
          <t>Nalepovací protiskluzová vrstva na koberce nebo rohožky. 4 ks v balení.</t>
        </is>
      </c>
      <c r="H41" s="7" t="inlineStr">
        <is>
          <t>3926 90 97 90</t>
        </is>
      </c>
      <c r="I41" s="9" t="n">
        <v>600</v>
      </c>
      <c r="J41" s="9" t="n">
        <v>1</v>
      </c>
      <c r="K41" s="10" t="n">
        <v>11.6</v>
      </c>
      <c r="L41" s="10" t="n">
        <v>12.6</v>
      </c>
      <c r="M41" s="31" t="n">
        <v>0.31</v>
      </c>
      <c r="N41" s="11" t="n">
        <v>186</v>
      </c>
      <c r="O41" s="11" t="n">
        <v>0</v>
      </c>
      <c r="P41" s="11" t="n">
        <v>186</v>
      </c>
      <c r="Q41" s="8" t="inlineStr"/>
    </row>
    <row r="42">
      <c r="A42" s="7" t="inlineStr">
        <is>
          <t>Ningbo Onway Imp &amp; Exp Co., Ltd.</t>
        </is>
      </c>
      <c r="B42" s="7" t="inlineStr">
        <is>
          <t>26OW08001 LCL14</t>
        </is>
      </c>
      <c r="C42" s="7" t="n">
        <v>41</v>
      </c>
      <c r="D42" s="7" t="inlineStr">
        <is>
          <t>Handbag organizer - blue</t>
        </is>
      </c>
      <c r="E42" s="8" t="inlineStr">
        <is>
          <t>Organizér do kabelky - modrý</t>
        </is>
      </c>
      <c r="F42" s="8" t="inlineStr">
        <is>
          <t>polyester</t>
        </is>
      </c>
      <c r="G42" s="8" t="inlineStr">
        <is>
          <t>Látková taštička do kabelky s přihrádkami.</t>
        </is>
      </c>
      <c r="H42" s="7" t="inlineStr">
        <is>
          <t>4202 32 90 90</t>
        </is>
      </c>
      <c r="I42" s="9" t="n">
        <v>600</v>
      </c>
      <c r="J42" s="9" t="n">
        <v>3</v>
      </c>
      <c r="K42" s="10" t="n">
        <v>48</v>
      </c>
      <c r="L42" s="10" t="n">
        <v>51</v>
      </c>
      <c r="M42" s="31" t="n">
        <v>1.04</v>
      </c>
      <c r="N42" s="11" t="n">
        <v>624</v>
      </c>
      <c r="O42" s="11" t="n">
        <v>0</v>
      </c>
      <c r="P42" s="11" t="n">
        <v>624</v>
      </c>
      <c r="Q42" s="8" t="inlineStr"/>
    </row>
    <row r="43">
      <c r="A43" s="7" t="inlineStr">
        <is>
          <t>Ningbo Onway Imp &amp; Exp Co., Ltd.</t>
        </is>
      </c>
      <c r="B43" s="7" t="inlineStr">
        <is>
          <t>26OW08001 LCL14</t>
        </is>
      </c>
      <c r="C43" s="7" t="n">
        <v>42</v>
      </c>
      <c r="D43" s="7" t="inlineStr">
        <is>
          <t>Christmas Wine Bottle Cover</t>
        </is>
      </c>
      <c r="E43" s="8" t="inlineStr">
        <is>
          <t>Vánoční obal na láhev</t>
        </is>
      </c>
      <c r="F43" s="8" t="inlineStr">
        <is>
          <t>polyester</t>
        </is>
      </c>
      <c r="G43" s="8" t="inlineStr">
        <is>
          <t>Vánoční obal vhodný jako balení pro darování láhve alkoholu. Součástí balení je také stuha.</t>
        </is>
      </c>
      <c r="H43" s="7" t="inlineStr">
        <is>
          <t>6307 90 98 99</t>
        </is>
      </c>
      <c r="I43" s="9" t="n">
        <v>500</v>
      </c>
      <c r="J43" s="9" t="n">
        <v>1</v>
      </c>
      <c r="K43" s="10" t="n">
        <v>9.6</v>
      </c>
      <c r="L43" s="10" t="n">
        <v>10.6</v>
      </c>
      <c r="M43" s="31" t="n">
        <v>0.31</v>
      </c>
      <c r="N43" s="11" t="n">
        <v>155</v>
      </c>
      <c r="O43" s="11" t="n">
        <v>0</v>
      </c>
      <c r="P43" s="11" t="n">
        <v>155</v>
      </c>
      <c r="Q43" s="8" t="inlineStr"/>
    </row>
    <row r="44">
      <c r="A44" s="7" t="inlineStr">
        <is>
          <t>Ningbo Onway Imp &amp; Exp Co., Ltd.</t>
        </is>
      </c>
      <c r="B44" s="7" t="inlineStr">
        <is>
          <t>26OW08001 LCL14</t>
        </is>
      </c>
      <c r="C44" s="7" t="n">
        <v>43</v>
      </c>
      <c r="D44" s="7" t="inlineStr">
        <is>
          <t>Karaoke microphone 1</t>
        </is>
      </c>
      <c r="E44" s="8" t="inlineStr">
        <is>
          <t>Bezdrátový karaoke mikrofon s reproduktorem a Bluetooth stříbrný</t>
        </is>
      </c>
      <c r="F44" s="8" t="inlineStr">
        <is>
          <t>ABS, Slitina hliníku</t>
        </is>
      </c>
      <c r="G44" s="8" t="inlineStr">
        <is>
          <t>Hračka pro děti - mikrofon se zvukovými efekty.</t>
        </is>
      </c>
      <c r="H44" s="7" t="inlineStr">
        <is>
          <t>8518 10 00 90</t>
        </is>
      </c>
      <c r="I44" s="9" t="n">
        <v>250</v>
      </c>
      <c r="J44" s="9" t="n">
        <v>5</v>
      </c>
      <c r="K44" s="10" t="n">
        <v>66.5</v>
      </c>
      <c r="L44" s="10" t="n">
        <v>71.5</v>
      </c>
      <c r="M44" s="31" t="n">
        <v>2.45</v>
      </c>
      <c r="N44" s="11" t="n">
        <v>612.5</v>
      </c>
      <c r="O44" s="11" t="n">
        <v>0</v>
      </c>
      <c r="P44" s="11" t="n">
        <v>612.5</v>
      </c>
      <c r="Q44" s="8" t="inlineStr"/>
    </row>
    <row r="45">
      <c r="A45" s="7" t="inlineStr">
        <is>
          <t>Ningbo Onway Imp &amp; Exp Co., Ltd.</t>
        </is>
      </c>
      <c r="B45" s="7" t="inlineStr">
        <is>
          <t>26OW08001 LCL14</t>
        </is>
      </c>
      <c r="C45" s="7" t="n">
        <v>44</v>
      </c>
      <c r="D45" s="7" t="inlineStr">
        <is>
          <t>Water saving faucet attachement</t>
        </is>
      </c>
      <c r="E45" s="8" t="inlineStr">
        <is>
          <t>Úsporný adaptér na vodu</t>
        </is>
      </c>
      <c r="F45" s="8" t="inlineStr">
        <is>
          <t>ABS, nerezová ocel, silikon</t>
        </is>
      </c>
      <c r="G45" s="8" t="inlineStr">
        <is>
          <t>Spořič vody - perlátor se třemi druhy průtoků. Našroubuje se na vodovodní kohoutek. Otočná hlava dovoluje vypláchnout celý dřez či umyvadlo.</t>
        </is>
      </c>
      <c r="H45" s="7" t="inlineStr">
        <is>
          <t>8481 90 00 90</t>
        </is>
      </c>
      <c r="I45" s="9" t="n">
        <v>250</v>
      </c>
      <c r="J45" s="9" t="n">
        <v>1</v>
      </c>
      <c r="K45" s="10" t="n">
        <v>17.5</v>
      </c>
      <c r="L45" s="10" t="n">
        <v>18.5</v>
      </c>
      <c r="M45" s="31" t="n">
        <v>0.5</v>
      </c>
      <c r="N45" s="11" t="n">
        <v>125</v>
      </c>
      <c r="O45" s="11" t="n">
        <v>0</v>
      </c>
      <c r="P45" s="11" t="n">
        <v>125</v>
      </c>
      <c r="Q45" s="8" t="inlineStr"/>
    </row>
    <row r="46">
      <c r="A46" s="7" t="inlineStr">
        <is>
          <t>Ningbo Onway Imp &amp; Exp Co., Ltd.</t>
        </is>
      </c>
      <c r="B46" s="7" t="inlineStr">
        <is>
          <t>26OW08001 LCL14</t>
        </is>
      </c>
      <c r="C46" s="7" t="n">
        <v>45</v>
      </c>
      <c r="D46" s="7" t="inlineStr">
        <is>
          <t>Jar Opener I</t>
        </is>
      </c>
      <c r="E46" s="8" t="inlineStr">
        <is>
          <t>Otvírák na zavařovací sklenice</t>
        </is>
      </c>
      <c r="F46" s="8" t="inlineStr">
        <is>
          <t>Nerezová ocel, ABS (držadlo)</t>
        </is>
      </c>
      <c r="G46" s="8" t="inlineStr">
        <is>
          <t>Nastavitelný otvírák na zavařovací sklenice. Díky manuálnímu otáčení lze snadno otevřít víko od sklenice a také přizpůsobit velikost jak na malé tak velké sklenice.</t>
        </is>
      </c>
      <c r="H46" s="7" t="inlineStr">
        <is>
          <t>8205 51 00 00</t>
        </is>
      </c>
      <c r="I46" s="9" t="n">
        <v>400</v>
      </c>
      <c r="J46" s="9" t="n">
        <v>2</v>
      </c>
      <c r="K46" s="10" t="n">
        <v>46</v>
      </c>
      <c r="L46" s="10" t="n">
        <v>48</v>
      </c>
      <c r="M46" s="31" t="n">
        <v>0.52</v>
      </c>
      <c r="N46" s="11" t="n">
        <v>208</v>
      </c>
      <c r="O46" s="11" t="n">
        <v>0</v>
      </c>
      <c r="P46" s="11" t="n">
        <v>208</v>
      </c>
      <c r="Q46" s="8" t="inlineStr"/>
    </row>
    <row r="47">
      <c r="A47" s="7" t="inlineStr">
        <is>
          <t>Ningbo Onway Imp &amp; Exp Co., Ltd.</t>
        </is>
      </c>
      <c r="B47" s="7" t="inlineStr">
        <is>
          <t>26OW08001 LCL14</t>
        </is>
      </c>
      <c r="C47" s="7" t="n">
        <v>46</v>
      </c>
      <c r="D47" s="7" t="inlineStr">
        <is>
          <t>Kids Sticker Book - animals</t>
        </is>
      </c>
      <c r="E47" s="8" t="inlineStr">
        <is>
          <t>Kniha plná samolepek - zvířátka</t>
        </is>
      </c>
      <c r="F47" s="8" t="inlineStr">
        <is>
          <t>Papír</t>
        </is>
      </c>
      <c r="G47" s="8" t="inlineStr">
        <is>
          <t>Jedná se o papírové desky (knížka) uvnitř kterých je sada různých samolepek. Lze nalepit do předlohy či kamkoliv jinam. Hračka pro děti.</t>
        </is>
      </c>
      <c r="H47" s="7" t="inlineStr">
        <is>
          <t>9503 00 99 90</t>
        </is>
      </c>
      <c r="I47" s="9" t="n">
        <v>200</v>
      </c>
      <c r="J47" s="9" t="n">
        <v>1</v>
      </c>
      <c r="K47" s="10" t="n">
        <v>19.5</v>
      </c>
      <c r="L47" s="10" t="n">
        <v>20.5</v>
      </c>
      <c r="M47" s="31" t="n">
        <v>0.82</v>
      </c>
      <c r="N47" s="11" t="n">
        <v>164</v>
      </c>
      <c r="O47" s="11" t="n">
        <v>0</v>
      </c>
      <c r="P47" s="11" t="n">
        <v>164</v>
      </c>
      <c r="Q47" s="8" t="inlineStr"/>
    </row>
    <row r="48">
      <c r="A48" s="7" t="inlineStr">
        <is>
          <t>Ningbo Onway Imp &amp; Exp Co., Ltd.</t>
        </is>
      </c>
      <c r="B48" s="7" t="inlineStr">
        <is>
          <t>26OW08001 LCL14</t>
        </is>
      </c>
      <c r="C48" s="7" t="n">
        <v>47</v>
      </c>
      <c r="D48" s="7" t="inlineStr">
        <is>
          <t>Silicone Bottle Caps</t>
        </is>
      </c>
      <c r="E48" s="8" t="inlineStr">
        <is>
          <t>Silikonové víčko na lahev</t>
        </is>
      </c>
      <c r="F48" s="8" t="inlineStr">
        <is>
          <t>Silikon</t>
        </is>
      </c>
      <c r="G48" s="8" t="inlineStr">
        <is>
          <t>Slouží k uzavření láhví, například vína.</t>
        </is>
      </c>
      <c r="H48" s="7" t="inlineStr">
        <is>
          <t>3923 50 10 00</t>
        </is>
      </c>
      <c r="I48" s="9" t="n">
        <v>500</v>
      </c>
      <c r="J48" s="9" t="n">
        <v>1</v>
      </c>
      <c r="K48" s="10" t="n">
        <v>4</v>
      </c>
      <c r="L48" s="10" t="n">
        <v>5</v>
      </c>
      <c r="M48" s="31" t="n">
        <v>0.16</v>
      </c>
      <c r="N48" s="11" t="n">
        <v>80</v>
      </c>
      <c r="O48" s="11" t="n">
        <v>0</v>
      </c>
      <c r="P48" s="11" t="n">
        <v>80</v>
      </c>
      <c r="Q48" s="8" t="inlineStr"/>
    </row>
    <row r="49">
      <c r="A49" s="7" t="inlineStr">
        <is>
          <t>Ningbo Onway Imp &amp; Exp Co., Ltd.</t>
        </is>
      </c>
      <c r="B49" s="7" t="inlineStr">
        <is>
          <t>26OW08001 LCL14</t>
        </is>
      </c>
      <c r="C49" s="7" t="n">
        <v>48</v>
      </c>
      <c r="D49" s="7" t="inlineStr">
        <is>
          <t>Honey dispenser</t>
        </is>
      </c>
      <c r="E49" s="8" t="inlineStr">
        <is>
          <t>Dávkovač na med</t>
        </is>
      </c>
      <c r="F49" s="8" t="inlineStr">
        <is>
          <t>průhledná část PP, rukojeť ABS, špunt TPR</t>
        </is>
      </c>
      <c r="G49" s="8" t="inlineStr">
        <is>
          <t>Dávkovač na med nebo sirup. Slouží jako pomůcka do kuchyně.</t>
        </is>
      </c>
      <c r="H49" s="7" t="inlineStr">
        <is>
          <t>3924 10 00 90</t>
        </is>
      </c>
      <c r="I49" s="9" t="n">
        <v>180</v>
      </c>
      <c r="J49" s="9" t="n">
        <v>3</v>
      </c>
      <c r="K49" s="10" t="n">
        <v>25.8</v>
      </c>
      <c r="L49" s="10" t="n">
        <v>28.8</v>
      </c>
      <c r="M49" s="31" t="n">
        <v>1.05</v>
      </c>
      <c r="N49" s="11" t="n">
        <v>189</v>
      </c>
      <c r="O49" s="11" t="n">
        <v>0</v>
      </c>
      <c r="P49" s="11" t="n">
        <v>189</v>
      </c>
      <c r="Q49" s="8" t="inlineStr"/>
    </row>
    <row r="50">
      <c r="A50" s="7" t="inlineStr">
        <is>
          <t>Ningbo Onway Imp &amp; Exp Co., Ltd.</t>
        </is>
      </c>
      <c r="B50" s="7" t="inlineStr">
        <is>
          <t>26OW08001 LCL14</t>
        </is>
      </c>
      <c r="C50" s="7" t="n">
        <v>49</v>
      </c>
      <c r="D50" s="7" t="inlineStr">
        <is>
          <t>Magic puzzle box</t>
        </is>
      </c>
      <c r="E50" s="8" t="inlineStr">
        <is>
          <t>Tajná schránka</t>
        </is>
      </c>
      <c r="F50" s="8" t="inlineStr">
        <is>
          <t>smrkové dřevo</t>
        </is>
      </c>
      <c r="G50" s="8" t="inlineStr">
        <is>
          <t>Krabička, do které lze ukrýt překvapení. Krabička ukrývá tajnou schránku. Slouží jako dárkový předmět.</t>
        </is>
      </c>
      <c r="H50" s="7" t="inlineStr">
        <is>
          <t>9503 00 61 90</t>
        </is>
      </c>
      <c r="I50" s="9" t="n">
        <v>3000</v>
      </c>
      <c r="J50" s="9" t="n">
        <v>30</v>
      </c>
      <c r="K50" s="10" t="n">
        <v>420</v>
      </c>
      <c r="L50" s="10" t="n">
        <v>450</v>
      </c>
      <c r="M50" s="31" t="n">
        <v>0.83</v>
      </c>
      <c r="N50" s="11" t="n">
        <v>2490</v>
      </c>
      <c r="O50" s="11" t="n">
        <v>0</v>
      </c>
      <c r="P50" s="11" t="n">
        <v>2490</v>
      </c>
      <c r="Q50" s="8" t="inlineStr"/>
    </row>
    <row r="51">
      <c r="A51" s="7" t="inlineStr">
        <is>
          <t>Ningbo Onway Imp &amp; Exp Co., Ltd.</t>
        </is>
      </c>
      <c r="B51" s="7" t="inlineStr">
        <is>
          <t>26OW08001 LCL14</t>
        </is>
      </c>
      <c r="C51" s="7" t="n">
        <v>50</v>
      </c>
      <c r="D51" s="7" t="inlineStr">
        <is>
          <t>Blanket with sleeves - brown</t>
        </is>
      </c>
      <c r="E51" s="8" t="inlineStr">
        <is>
          <t>Televizní deka s rukávy - modrá</t>
        </is>
      </c>
      <c r="F51" s="8" t="inlineStr">
        <is>
          <t>polyester</t>
        </is>
      </c>
      <c r="G51" s="8" t="inlineStr">
        <is>
          <t>Deka s rukávy slouží ke sledování televize nebo relaxaci.</t>
        </is>
      </c>
      <c r="H51" s="7" t="inlineStr">
        <is>
          <t>6307 90 10 00</t>
        </is>
      </c>
      <c r="I51" s="9" t="n">
        <v>336</v>
      </c>
      <c r="J51" s="9" t="n">
        <v>15</v>
      </c>
      <c r="K51" s="10" t="n">
        <v>292.5</v>
      </c>
      <c r="L51" s="10" t="n">
        <v>307.5</v>
      </c>
      <c r="M51" s="31" t="n">
        <v>3.85</v>
      </c>
      <c r="N51" s="11" t="n">
        <v>1293.6</v>
      </c>
      <c r="O51" s="11" t="n">
        <v>0</v>
      </c>
      <c r="P51" s="11" t="n">
        <v>1293.6</v>
      </c>
      <c r="Q51" s="8" t="inlineStr"/>
    </row>
    <row r="52">
      <c r="A52" s="7" t="inlineStr">
        <is>
          <t>Ningbo Onway Imp &amp; Exp Co., Ltd.</t>
        </is>
      </c>
      <c r="B52" s="7" t="inlineStr">
        <is>
          <t>26OW08001 LCL14</t>
        </is>
      </c>
      <c r="C52" s="7" t="n">
        <v>51</v>
      </c>
      <c r="D52" s="7" t="inlineStr">
        <is>
          <t>Fluorescent Christmas Window Stickers</t>
        </is>
      </c>
      <c r="E52" s="8" t="inlineStr">
        <is>
          <t>Nálepky na okno svítící ve tmě - sněhové vločky 64 ks</t>
        </is>
      </c>
      <c r="F52" s="8" t="inlineStr">
        <is>
          <t>PVC</t>
        </is>
      </c>
      <c r="G52" s="8" t="inlineStr">
        <is>
          <t>Samolepky ve tvaru sněhových vloček jsou fluorescenční. Vánoční dekorace na okno.</t>
        </is>
      </c>
      <c r="H52" s="7" t="inlineStr">
        <is>
          <t>3919 90 80 99</t>
        </is>
      </c>
      <c r="I52" s="9" t="n">
        <v>1000</v>
      </c>
      <c r="J52" s="9" t="n">
        <v>2</v>
      </c>
      <c r="K52" s="10" t="n">
        <v>34.6</v>
      </c>
      <c r="L52" s="10" t="n">
        <v>36.6</v>
      </c>
      <c r="M52" s="31" t="n">
        <v>0.36</v>
      </c>
      <c r="N52" s="11" t="n">
        <v>360</v>
      </c>
      <c r="O52" s="11" t="n">
        <v>0</v>
      </c>
      <c r="P52" s="11" t="n">
        <v>360</v>
      </c>
      <c r="Q52" s="8" t="inlineStr"/>
    </row>
    <row r="53">
      <c r="A53" s="7" t="inlineStr">
        <is>
          <t>Ningbo Onway Imp &amp; Exp Co., Ltd.</t>
        </is>
      </c>
      <c r="B53" s="7" t="inlineStr">
        <is>
          <t>26OW08001 LCL14</t>
        </is>
      </c>
      <c r="C53" s="7" t="n">
        <v>52</v>
      </c>
      <c r="D53" s="7" t="inlineStr">
        <is>
          <t>Wool Knitting Half Finger Gloves - black</t>
        </is>
      </c>
      <c r="E53" s="8" t="inlineStr">
        <is>
          <t>Pletené návleky na ruce - černé</t>
        </is>
      </c>
      <c r="F53" s="8" t="inlineStr">
        <is>
          <t>85 % akryl 15 % spandex  (pletenina)</t>
        </is>
      </c>
      <c r="G53" s="8" t="inlineStr">
        <is>
          <t>Pletené návleky na ruce pro zahřátí. Módní doplněk.</t>
        </is>
      </c>
      <c r="H53" s="7" t="inlineStr">
        <is>
          <t>6116 93 00 00</t>
        </is>
      </c>
      <c r="I53" s="9" t="n">
        <v>200</v>
      </c>
      <c r="J53" s="9" t="n">
        <v>1</v>
      </c>
      <c r="K53" s="10" t="n">
        <v>5.8</v>
      </c>
      <c r="L53" s="10" t="n">
        <v>6.8</v>
      </c>
      <c r="M53" s="31" t="n">
        <v>0.65</v>
      </c>
      <c r="N53" s="11" t="n">
        <v>130</v>
      </c>
      <c r="O53" s="11" t="n">
        <v>0</v>
      </c>
      <c r="P53" s="11" t="n">
        <v>130</v>
      </c>
      <c r="Q53" s="8" t="inlineStr"/>
    </row>
    <row r="54">
      <c r="A54" s="7" t="inlineStr">
        <is>
          <t>Hefei Howell E-commerce Co., Ltd.</t>
        </is>
      </c>
      <c r="B54" s="7" t="inlineStr">
        <is>
          <t>4L26016S/1 (LCL14/1)</t>
        </is>
      </c>
      <c r="C54" s="7" t="n">
        <v>53</v>
      </c>
      <c r="D54" s="7" t="inlineStr">
        <is>
          <t>Tri-Fold Lighted Vanity Mirror with 21 LED Lights</t>
        </is>
      </c>
      <c r="E54" s="8" t="inlineStr">
        <is>
          <t xml:space="preserve">Skládací kosmetické zrcátko s LED osvětlením </t>
        </is>
      </c>
      <c r="F54" s="8" t="inlineStr">
        <is>
          <t>ABS, sklo, LED diody</t>
        </is>
      </c>
      <c r="G54" s="8" t="inlineStr">
        <is>
          <t>Skládací zrcátko se skládá z jednoho hlavního prostředního zrcadla, dvou bočních zrcadel a jednoho vysouvacího horní zvětšujícího zrcátka. Ve spodní části je úložný prostor. Lze přepínat mezi třemi světly (teplé, neutrální, studené) a u všech barev lze nastavit intenzita jasu. Napájení pomocí baterií nebo USB kabelu (ani jedno není součástí balení).</t>
        </is>
      </c>
      <c r="H54" s="7" t="inlineStr">
        <is>
          <t>7009 92 00 00</t>
        </is>
      </c>
      <c r="I54" s="9" t="n">
        <v>300</v>
      </c>
      <c r="J54" s="9" t="n">
        <v>15</v>
      </c>
      <c r="K54" s="10" t="n">
        <v>337.5</v>
      </c>
      <c r="L54" s="10" t="n">
        <v>352.5</v>
      </c>
      <c r="M54" s="31" t="n">
        <v>4.6</v>
      </c>
      <c r="N54" s="11" t="n">
        <v>1380</v>
      </c>
      <c r="O54" s="11" t="n">
        <v>-100.19</v>
      </c>
      <c r="P54" s="11" t="n">
        <v>1279.81</v>
      </c>
      <c r="Q54" s="8" t="inlineStr"/>
    </row>
    <row r="55">
      <c r="A55" s="7" t="inlineStr">
        <is>
          <t>Hefei Howell E-commerce Co., Ltd.</t>
        </is>
      </c>
      <c r="B55" s="7" t="inlineStr">
        <is>
          <t>4L26016S/1 (LCL14/1)</t>
        </is>
      </c>
      <c r="C55" s="7" t="n">
        <v>54</v>
      </c>
      <c r="D55" s="7" t="inlineStr">
        <is>
          <t>High Capacity Jewelry Box - black</t>
        </is>
      </c>
      <c r="E55" s="8" t="inlineStr">
        <is>
          <t>Maxi šperkovnice - černá</t>
        </is>
      </c>
      <c r="F55" s="8" t="inlineStr">
        <is>
          <t>PU, Polyester, Papír</t>
        </is>
      </c>
      <c r="G55" s="8" t="inlineStr">
        <is>
          <t>Uzamykatelná šperkovnice, která má dvě patra.</t>
        </is>
      </c>
      <c r="H55" s="7" t="inlineStr">
        <is>
          <t>4202 92 19 00</t>
        </is>
      </c>
      <c r="I55" s="9" t="n">
        <v>630</v>
      </c>
      <c r="J55" s="9" t="n">
        <v>21</v>
      </c>
      <c r="K55" s="10" t="n">
        <v>382.2</v>
      </c>
      <c r="L55" s="10" t="n">
        <v>403.2</v>
      </c>
      <c r="M55" s="31" t="n">
        <v>2.62</v>
      </c>
      <c r="N55" s="11" t="n">
        <v>1650.6</v>
      </c>
      <c r="O55" s="11" t="n">
        <v>-119.83</v>
      </c>
      <c r="P55" s="11" t="n">
        <v>1530.77</v>
      </c>
      <c r="Q55" s="8" t="inlineStr"/>
    </row>
    <row r="56">
      <c r="A56" s="7" t="inlineStr">
        <is>
          <t>Hefei Howell E-commerce Co., Ltd.</t>
        </is>
      </c>
      <c r="B56" s="7" t="inlineStr">
        <is>
          <t>4L26016S/1 (LCL14/1)</t>
        </is>
      </c>
      <c r="C56" s="7" t="n">
        <v>55</v>
      </c>
      <c r="D56" s="7" t="inlineStr">
        <is>
          <t>RC Excavator</t>
        </is>
      </c>
      <c r="E56" s="8" t="inlineStr">
        <is>
          <t>Bagr na dálkové ovládání</t>
        </is>
      </c>
      <c r="F56" s="8" t="inlineStr">
        <is>
          <t>ABS (většina produktu), slitina hliníku (lžíce a kryt na baterie)</t>
        </is>
      </c>
      <c r="G56" s="8" t="inlineStr">
        <is>
          <t>Bagr jezdí, zatáčí, otáčí se a bagruje. Balení obsahuje dálkové ovládání, pomocí kterého se bagr ovládá. Hračka pro děti.</t>
        </is>
      </c>
      <c r="H56" s="7" t="inlineStr">
        <is>
          <t>9503 00 75 90</t>
        </is>
      </c>
      <c r="I56" s="9" t="n">
        <v>72</v>
      </c>
      <c r="J56" s="9" t="n">
        <v>2</v>
      </c>
      <c r="K56" s="10" t="n">
        <v>42</v>
      </c>
      <c r="L56" s="10" t="n">
        <v>44</v>
      </c>
      <c r="M56" s="31" t="n">
        <v>5.98</v>
      </c>
      <c r="N56" s="11" t="n">
        <v>430.56</v>
      </c>
      <c r="O56" s="11" t="n">
        <v>-31.26</v>
      </c>
      <c r="P56" s="11" t="n">
        <v>399.3</v>
      </c>
      <c r="Q56" s="8" t="inlineStr"/>
    </row>
    <row r="57">
      <c r="A57" s="7" t="inlineStr">
        <is>
          <t>Hefei Howell E-commerce Co., Ltd.</t>
        </is>
      </c>
      <c r="B57" s="7" t="inlineStr">
        <is>
          <t>4L26016S/1 (LCL14/1)</t>
        </is>
      </c>
      <c r="C57" s="7" t="n">
        <v>56</v>
      </c>
      <c r="D57" s="7" t="inlineStr">
        <is>
          <t>Waterproof Dog Car Trunk Blanket</t>
        </is>
      </c>
      <c r="E57" s="8" t="inlineStr">
        <is>
          <t>Ochranná deka do kufru pro psa</t>
        </is>
      </c>
      <c r="F57" s="8" t="inlineStr">
        <is>
          <t>Polyester</t>
        </is>
      </c>
      <c r="G57" s="8" t="inlineStr">
        <is>
          <t>Deka do kufru pro ti chlupům a nečistotám od psa. Na každé straně má dva lepící pásy pro uchycení deky na boky kufru.</t>
        </is>
      </c>
      <c r="H57" s="7" t="inlineStr">
        <is>
          <t>6307 90 98 99</t>
        </is>
      </c>
      <c r="I57" s="9" t="n">
        <v>360</v>
      </c>
      <c r="J57" s="9" t="n">
        <v>18</v>
      </c>
      <c r="K57" s="10" t="n">
        <v>306</v>
      </c>
      <c r="L57" s="10" t="n">
        <v>324</v>
      </c>
      <c r="M57" s="31" t="n">
        <v>3.55</v>
      </c>
      <c r="N57" s="11" t="n">
        <v>1278</v>
      </c>
      <c r="O57" s="11" t="n">
        <v>-92.78</v>
      </c>
      <c r="P57" s="11" t="n">
        <v>1185.22</v>
      </c>
      <c r="Q57" s="8" t="inlineStr"/>
    </row>
    <row r="58">
      <c r="A58" s="7" t="inlineStr">
        <is>
          <t>Hefei Howell E-commerce Co., Ltd.</t>
        </is>
      </c>
      <c r="B58" s="7" t="inlineStr">
        <is>
          <t>4L26016S/1 (LCL14/1)</t>
        </is>
      </c>
      <c r="C58" s="7" t="n">
        <v>57</v>
      </c>
      <c r="D58" s="7" t="inlineStr">
        <is>
          <t>Wooden desk organizer</t>
        </is>
      </c>
      <c r="E58" s="8" t="inlineStr">
        <is>
          <t>Organizér pod monitor</t>
        </is>
      </c>
      <c r="F58" s="8" t="inlineStr">
        <is>
          <t>LDF</t>
        </is>
      </c>
      <c r="G58" s="8" t="inlineStr">
        <is>
          <t>Dřevěný organizér. Doplněk do kanceláře.</t>
        </is>
      </c>
      <c r="H58" s="7" t="inlineStr">
        <is>
          <t>9403 60 90 00</t>
        </is>
      </c>
      <c r="I58" s="9" t="n">
        <v>336</v>
      </c>
      <c r="J58" s="9" t="n">
        <v>21</v>
      </c>
      <c r="K58" s="10" t="n">
        <v>336</v>
      </c>
      <c r="L58" s="10" t="n">
        <v>374</v>
      </c>
      <c r="M58" s="31" t="n">
        <v>2.47</v>
      </c>
      <c r="N58" s="11" t="n">
        <v>829.92</v>
      </c>
      <c r="O58" s="11" t="n">
        <v>-60.25</v>
      </c>
      <c r="P58" s="11" t="n">
        <v>769.67</v>
      </c>
      <c r="Q58" s="8" t="inlineStr"/>
    </row>
    <row r="59">
      <c r="A59" s="7" t="inlineStr">
        <is>
          <t>Hefei Howell E-commerce Co., Ltd.</t>
        </is>
      </c>
      <c r="B59" s="7" t="inlineStr">
        <is>
          <t>4L26016S/1 (LCL14/1)</t>
        </is>
      </c>
      <c r="C59" s="7" t="n">
        <v>58</v>
      </c>
      <c r="D59" s="7" t="inlineStr">
        <is>
          <t>Shape Game</t>
        </is>
      </c>
      <c r="E59" s="8" t="inlineStr">
        <is>
          <t>Dřevěný vzdělávací vozík - tvary</t>
        </is>
      </c>
      <c r="F59" s="8" t="inlineStr">
        <is>
          <t>Dřevo, polyester (šňůrka)</t>
        </is>
      </c>
      <c r="G59" s="8" t="inlineStr">
        <is>
          <t>15 barevných tvarů se podle obrysu prostrčí do vozíčku, lze tahat za sebou na provázku. Hračka pro děti.</t>
        </is>
      </c>
      <c r="H59" s="7" t="inlineStr">
        <is>
          <t>9503 00 70 00</t>
        </is>
      </c>
      <c r="I59" s="9" t="n">
        <v>144</v>
      </c>
      <c r="J59" s="9" t="n">
        <v>4</v>
      </c>
      <c r="K59" s="10" t="n">
        <v>84</v>
      </c>
      <c r="L59" s="10" t="n">
        <v>88</v>
      </c>
      <c r="M59" s="31" t="n">
        <v>3.99</v>
      </c>
      <c r="N59" s="11" t="n">
        <v>574.5599999999999</v>
      </c>
      <c r="O59" s="11" t="n">
        <v>-41.71</v>
      </c>
      <c r="P59" s="11" t="n">
        <v>532.85</v>
      </c>
      <c r="Q59" s="8" t="inlineStr"/>
    </row>
    <row r="60">
      <c r="A60" s="7" t="inlineStr">
        <is>
          <t>Hefei Howell E-commerce Co., Ltd.</t>
        </is>
      </c>
      <c r="B60" s="7" t="inlineStr">
        <is>
          <t>4L26016S/1 (LCL14/1)</t>
        </is>
      </c>
      <c r="C60" s="7" t="n">
        <v>59</v>
      </c>
      <c r="D60" s="7" t="inlineStr">
        <is>
          <t>Foldable Storage Large Box big</t>
        </is>
      </c>
      <c r="E60" s="8" t="inlineStr">
        <is>
          <t>Skládací box - velký</t>
        </is>
      </c>
      <c r="F60" s="8" t="inlineStr">
        <is>
          <t>Polyester, papír</t>
        </is>
      </c>
      <c r="G60" s="8" t="inlineStr">
        <is>
          <t>Krabice z netkané textilie. Součástí balení je přepážka, kterou lze prostor oddělit. Produkt má držadlo pro lepší přenášení.</t>
        </is>
      </c>
      <c r="H60" s="7" t="inlineStr">
        <is>
          <t>6307 90 98 20</t>
        </is>
      </c>
      <c r="I60" s="9" t="n">
        <v>612</v>
      </c>
      <c r="J60" s="9" t="n">
        <v>17</v>
      </c>
      <c r="K60" s="10" t="n">
        <v>493</v>
      </c>
      <c r="L60" s="10" t="n">
        <v>510</v>
      </c>
      <c r="M60" s="31" t="n">
        <v>1.76</v>
      </c>
      <c r="N60" s="11" t="n">
        <v>1077.12</v>
      </c>
      <c r="O60" s="11" t="n">
        <v>-78.2</v>
      </c>
      <c r="P60" s="11" t="n">
        <v>998.92</v>
      </c>
      <c r="Q60" s="8" t="inlineStr"/>
    </row>
    <row r="61">
      <c r="A61" s="7" t="inlineStr">
        <is>
          <t>Hefei Howell E-commerce Co., Ltd.</t>
        </is>
      </c>
      <c r="B61" s="7" t="inlineStr">
        <is>
          <t>4L26016S/1 (LCL14/1)</t>
        </is>
      </c>
      <c r="C61" s="7" t="n">
        <v>60</v>
      </c>
      <c r="D61" s="7" t="inlineStr">
        <is>
          <t>Magnifying Mirror 10X LED suction cup</t>
        </is>
      </c>
      <c r="E61" s="8" t="inlineStr">
        <is>
          <t>Zvětšující zrcátko s osvětlením</t>
        </is>
      </c>
      <c r="F61" s="8" t="inlineStr">
        <is>
          <t>Sklo, ABS, ocel</t>
        </is>
      </c>
      <c r="G61" s="8" t="inlineStr">
        <is>
          <t>Zrcátko je zvětšující. Má intenzivní svícení a je velmi flexibilní. Pomocí přísavky je možné ho připevnit na hladký povrch.</t>
        </is>
      </c>
      <c r="H61" s="7" t="inlineStr">
        <is>
          <t>7009 92 00 00</t>
        </is>
      </c>
      <c r="I61" s="9" t="n">
        <v>504</v>
      </c>
      <c r="J61" s="9" t="n">
        <v>14</v>
      </c>
      <c r="K61" s="10" t="n">
        <v>252</v>
      </c>
      <c r="L61" s="10" t="n">
        <v>266</v>
      </c>
      <c r="M61" s="31" t="n">
        <v>3.05</v>
      </c>
      <c r="N61" s="11" t="n">
        <v>1537.2</v>
      </c>
      <c r="O61" s="11" t="n">
        <v>-111.6</v>
      </c>
      <c r="P61" s="11" t="n">
        <v>1425.6</v>
      </c>
      <c r="Q61" s="8" t="inlineStr"/>
    </row>
    <row r="62">
      <c r="A62" s="7" t="inlineStr">
        <is>
          <t>Hefei Howell E-commerce Co., Ltd.</t>
        </is>
      </c>
      <c r="B62" s="7" t="inlineStr">
        <is>
          <t>4L26016S/1 (LCL14/1)</t>
        </is>
      </c>
      <c r="C62" s="7" t="n">
        <v>61</v>
      </c>
      <c r="D62" s="7" t="inlineStr">
        <is>
          <t>Diamant painting - special - mandala lamp - blue-purple</t>
        </is>
      </c>
      <c r="E62" s="8" t="inlineStr">
        <is>
          <t>Diamantové malování LED lampička mandala - modro fialová</t>
        </is>
      </c>
      <c r="F62" s="8" t="inlineStr">
        <is>
          <t>ABS, PC (kamínky), LED diody</t>
        </is>
      </c>
      <c r="G62" s="8" t="inlineStr">
        <is>
          <t>Nejprve se vyzdobí mandala kamínky (jako klasické diamantové malování), poté se hotový obrázek vloží do rámu a protáhnou se skrz dírky svítící kuličky, poté produkt slouží jako dekorace a lampička zároveň. V balení: 1x rám lampičky se světýlky, 1x obrázek, sáčky s kamínky, pero, miska, vosk.</t>
        </is>
      </c>
      <c r="H62" s="7" t="inlineStr">
        <is>
          <t>9405 21 40 00</t>
        </is>
      </c>
      <c r="I62" s="9" t="n">
        <v>1680</v>
      </c>
      <c r="J62" s="9" t="n">
        <v>21</v>
      </c>
      <c r="K62" s="10" t="n">
        <v>243.6</v>
      </c>
      <c r="L62" s="10" t="n">
        <v>264.6</v>
      </c>
      <c r="M62" s="31" t="n">
        <v>2.08</v>
      </c>
      <c r="N62" s="11" t="n">
        <v>3494.4</v>
      </c>
      <c r="O62" s="11" t="n">
        <v>-253.69</v>
      </c>
      <c r="P62" s="11" t="n">
        <v>3240.71</v>
      </c>
      <c r="Q62" s="8" t="inlineStr"/>
    </row>
    <row r="63">
      <c r="A63" s="7" t="inlineStr">
        <is>
          <t>Hefei Howell E-commerce Co., Ltd.</t>
        </is>
      </c>
      <c r="B63" s="7" t="inlineStr">
        <is>
          <t>4L26016S/1 (LCL14/1)</t>
        </is>
      </c>
      <c r="C63" s="7" t="n">
        <v>62</v>
      </c>
      <c r="D63" s="7" t="inlineStr">
        <is>
          <t>Snowflake Lights warm white</t>
        </is>
      </c>
      <c r="E63" s="8" t="inlineStr">
        <is>
          <t>Světelný řetěz sněhové vločky - teplé světlo</t>
        </is>
      </c>
      <c r="F63" s="8" t="inlineStr">
        <is>
          <t>PVC, LED diody</t>
        </is>
      </c>
      <c r="G63" s="8" t="inlineStr">
        <is>
          <t>Světelný řetěz s motivem sněhových vloček. Lze přepínat mód svícení a blikání. Napájení 3x AA baterie (nejsou součástí). Vánoční dekorace.</t>
        </is>
      </c>
      <c r="H63" s="7" t="inlineStr">
        <is>
          <t>9405 42 31 00</t>
        </is>
      </c>
      <c r="I63" s="9" t="n">
        <v>2200</v>
      </c>
      <c r="J63" s="9" t="n">
        <v>11</v>
      </c>
      <c r="K63" s="10" t="n">
        <v>77</v>
      </c>
      <c r="L63" s="10" t="n">
        <v>88</v>
      </c>
      <c r="M63" s="31" t="n">
        <v>0.59</v>
      </c>
      <c r="N63" s="11" t="n">
        <v>1298</v>
      </c>
      <c r="O63" s="11" t="n">
        <v>-94.23999999999999</v>
      </c>
      <c r="P63" s="11" t="n">
        <v>1203.76</v>
      </c>
      <c r="Q63" s="8" t="inlineStr"/>
    </row>
    <row r="64">
      <c r="A64" s="7" t="inlineStr">
        <is>
          <t>Ningbo HowellGoods Import and Export Co., Ltd.</t>
        </is>
      </c>
      <c r="B64" s="7" t="inlineStr">
        <is>
          <t>4L26016S/2 (LCL14/2)</t>
        </is>
      </c>
      <c r="C64" s="7" t="n">
        <v>63</v>
      </c>
      <c r="D64" s="7" t="inlineStr">
        <is>
          <t>LED Jumping Rope</t>
        </is>
      </c>
      <c r="E64" s="8" t="inlineStr">
        <is>
          <t>Svítící švihadlo</t>
        </is>
      </c>
      <c r="F64" s="8" t="inlineStr">
        <is>
          <t>ABS, PVC</t>
        </is>
      </c>
      <c r="G64" s="8" t="inlineStr">
        <is>
          <t>Švihadlo, jehož šňůra má v sobě zabudovaných 20 barevných LED světýlek.  Světlo má 3 režimy. Hračka pro děti.</t>
        </is>
      </c>
      <c r="H64" s="7" t="inlineStr">
        <is>
          <t>9503 00 99 90</t>
        </is>
      </c>
      <c r="I64" s="9" t="n">
        <v>400</v>
      </c>
      <c r="J64" s="9" t="n">
        <v>1</v>
      </c>
      <c r="K64" s="10" t="n">
        <v>29</v>
      </c>
      <c r="L64" s="10" t="n">
        <v>30</v>
      </c>
      <c r="M64" s="31" t="n">
        <v>0.76</v>
      </c>
      <c r="N64" s="11" t="n">
        <v>304</v>
      </c>
      <c r="O64" s="11" t="n">
        <v>-33.58</v>
      </c>
      <c r="P64" s="11" t="n">
        <v>270.42</v>
      </c>
      <c r="Q64" s="8" t="inlineStr"/>
    </row>
    <row r="65">
      <c r="A65" s="7" t="inlineStr">
        <is>
          <t>Ningbo HowellGoods Import and Export Co., Ltd.</t>
        </is>
      </c>
      <c r="B65" s="7" t="inlineStr">
        <is>
          <t>4L26016S/2 (LCL14/2)</t>
        </is>
      </c>
      <c r="C65" s="7" t="n">
        <v>64</v>
      </c>
      <c r="D65" s="7" t="inlineStr">
        <is>
          <t>Frosty Mug 400ml</t>
        </is>
      </c>
      <c r="E65" s="8" t="inlineStr">
        <is>
          <t>Chladící půllitr</t>
        </is>
      </c>
      <c r="F65" s="8" t="inlineStr">
        <is>
          <t>plast, voda</t>
        </is>
      </c>
      <c r="G65" s="8" t="inlineStr">
        <is>
          <t>Půllitr sloužící ke chlazení nápojů.</t>
        </is>
      </c>
      <c r="H65" s="7" t="inlineStr">
        <is>
          <t>3924 10 00 90</t>
        </is>
      </c>
      <c r="I65" s="9" t="n">
        <v>288</v>
      </c>
      <c r="J65" s="9" t="n">
        <v>12</v>
      </c>
      <c r="K65" s="10" t="n">
        <v>138</v>
      </c>
      <c r="L65" s="10" t="n">
        <v>150</v>
      </c>
      <c r="M65" s="31" t="n">
        <v>1.45</v>
      </c>
      <c r="N65" s="11" t="n">
        <v>417.6</v>
      </c>
      <c r="O65" s="11" t="n">
        <v>-46.13</v>
      </c>
      <c r="P65" s="11" t="n">
        <v>371.47</v>
      </c>
      <c r="Q65" s="8" t="inlineStr"/>
    </row>
    <row r="66">
      <c r="A66" s="7" t="inlineStr">
        <is>
          <t>Ningbo HowellGoods Import and Export Co., Ltd.</t>
        </is>
      </c>
      <c r="B66" s="7" t="inlineStr">
        <is>
          <t>4L26016S/2 (LCL14/2)</t>
        </is>
      </c>
      <c r="C66" s="7" t="n">
        <v>65</v>
      </c>
      <c r="D66" s="7" t="inlineStr">
        <is>
          <t>Wall mounted soap dispenser</t>
        </is>
      </c>
      <c r="E66" s="8" t="inlineStr">
        <is>
          <t>Dávkovač mýdla na zeď</t>
        </is>
      </c>
      <c r="F66" s="8" t="inlineStr">
        <is>
          <t>ABS, PP</t>
        </is>
      </c>
      <c r="G66" s="8" t="inlineStr">
        <is>
          <t>Plastový zásobník do koupelny.</t>
        </is>
      </c>
      <c r="H66" s="7" t="inlineStr">
        <is>
          <t>8479 89 97 90</t>
        </is>
      </c>
      <c r="I66" s="9" t="n">
        <v>84</v>
      </c>
      <c r="J66" s="9" t="n">
        <v>1</v>
      </c>
      <c r="K66" s="10" t="n">
        <v>18.15</v>
      </c>
      <c r="L66" s="10" t="n">
        <v>19.15</v>
      </c>
      <c r="M66" s="31" t="n">
        <v>2.75</v>
      </c>
      <c r="N66" s="11" t="n">
        <v>231</v>
      </c>
      <c r="O66" s="11" t="n">
        <v>-25.52</v>
      </c>
      <c r="P66" s="11" t="n">
        <v>205.48</v>
      </c>
      <c r="Q66" s="8" t="inlineStr"/>
    </row>
    <row r="67">
      <c r="A67" s="7" t="inlineStr">
        <is>
          <t>Ningbo HowellGoods Import and Export Co., Ltd.</t>
        </is>
      </c>
      <c r="B67" s="7" t="inlineStr">
        <is>
          <t>4L26016S/2 (LCL14/2)</t>
        </is>
      </c>
      <c r="C67" s="7" t="n">
        <v>66</v>
      </c>
      <c r="D67" s="7" t="inlineStr">
        <is>
          <t>Transparent Round Self-Adhesive Stickers 500 pcs</t>
        </is>
      </c>
      <c r="E67" s="8" t="inlineStr">
        <is>
          <t>Samolepicí průhledná kolečka 500 ks</t>
        </is>
      </c>
      <c r="F67" s="8" t="inlineStr">
        <is>
          <t>PP, podkladní papír</t>
        </is>
      </c>
      <c r="G67" s="8" t="inlineStr">
        <is>
          <t>Kulatá izolepa na pásce.</t>
        </is>
      </c>
      <c r="H67" s="7" t="inlineStr">
        <is>
          <t>3919 90 80 99</t>
        </is>
      </c>
      <c r="I67" s="9" t="n">
        <v>800</v>
      </c>
      <c r="J67" s="9" t="n">
        <v>4</v>
      </c>
      <c r="K67" s="10" t="n">
        <v>32</v>
      </c>
      <c r="L67" s="10" t="n">
        <v>36</v>
      </c>
      <c r="M67" s="31" t="n">
        <v>0.3</v>
      </c>
      <c r="N67" s="11" t="n">
        <v>240</v>
      </c>
      <c r="O67" s="11" t="n">
        <v>-26.51</v>
      </c>
      <c r="P67" s="11" t="n">
        <v>213.49</v>
      </c>
      <c r="Q67" s="8" t="inlineStr"/>
    </row>
    <row r="68">
      <c r="A68" s="7" t="inlineStr">
        <is>
          <t>Ningbo HowellGoods Import and Export Co., Ltd.</t>
        </is>
      </c>
      <c r="B68" s="7" t="inlineStr">
        <is>
          <t>4L26016S/2 (LCL14/2)</t>
        </is>
      </c>
      <c r="C68" s="7" t="n">
        <v>67</v>
      </c>
      <c r="D68" s="7" t="inlineStr">
        <is>
          <t>Nails Stickers One-Colored - CS-008</t>
        </is>
      </c>
      <c r="E68" s="8" t="inlineStr">
        <is>
          <t>Jednobarevné samolepky na nehty - růžové</t>
        </is>
      </c>
      <c r="F68" s="8" t="inlineStr">
        <is>
          <t>Gel lak</t>
        </is>
      </c>
      <c r="G68" s="8" t="inlineStr">
        <is>
          <t>Ozdoba na nehty.</t>
        </is>
      </c>
      <c r="H68" s="7" t="inlineStr">
        <is>
          <t>3919 90 80 99</t>
        </is>
      </c>
      <c r="I68" s="9" t="n">
        <v>1000</v>
      </c>
      <c r="J68" s="9" t="n">
        <v>1</v>
      </c>
      <c r="K68" s="10" t="n">
        <v>3</v>
      </c>
      <c r="L68" s="10" t="n">
        <v>4</v>
      </c>
      <c r="M68" s="31" t="n">
        <v>0.25</v>
      </c>
      <c r="N68" s="11" t="n">
        <v>250</v>
      </c>
      <c r="O68" s="11" t="n">
        <v>-27.62</v>
      </c>
      <c r="P68" s="11" t="n">
        <v>222.38</v>
      </c>
      <c r="Q68" s="8" t="inlineStr"/>
    </row>
    <row r="69">
      <c r="A69" s="7" t="inlineStr">
        <is>
          <t>Ningbo HowellGoods Import and Export Co., Ltd.</t>
        </is>
      </c>
      <c r="B69" s="7" t="inlineStr">
        <is>
          <t>4L26016S/2 (LCL14/2)</t>
        </is>
      </c>
      <c r="C69" s="7" t="n">
        <v>68</v>
      </c>
      <c r="D69" s="7" t="inlineStr">
        <is>
          <t>Stainless Steel Electric Toothbrush Holder</t>
        </is>
      </c>
      <c r="E69" s="8" t="inlineStr">
        <is>
          <t>Nerezový držák na elektrický zubní kartáček</t>
        </is>
      </c>
      <c r="F69" s="8" t="inlineStr">
        <is>
          <t>Nerezová ocel</t>
        </is>
      </c>
      <c r="G69" s="8" t="inlineStr">
        <is>
          <t>Slouží jako držák pro uchycení elektrického zubního kartáčku. Nalepí se pomocí oboustranné lepicí pásky, jež je součástí balení.</t>
        </is>
      </c>
      <c r="H69" s="7" t="inlineStr">
        <is>
          <t>7324 90 00 90</t>
        </is>
      </c>
      <c r="I69" s="9" t="n">
        <v>500</v>
      </c>
      <c r="J69" s="9" t="n">
        <v>5</v>
      </c>
      <c r="K69" s="10" t="n">
        <v>31</v>
      </c>
      <c r="L69" s="10" t="n">
        <v>36</v>
      </c>
      <c r="M69" s="31" t="n">
        <v>1.25</v>
      </c>
      <c r="N69" s="11" t="n">
        <v>625</v>
      </c>
      <c r="O69" s="11" t="n">
        <v>-69.04000000000001</v>
      </c>
      <c r="P69" s="11" t="n">
        <v>555.96</v>
      </c>
      <c r="Q69" s="8" t="inlineStr"/>
    </row>
    <row r="70">
      <c r="A70" s="7" t="inlineStr">
        <is>
          <t>Ningbo HowellGoods Import and Export Co., Ltd.</t>
        </is>
      </c>
      <c r="B70" s="7" t="inlineStr">
        <is>
          <t>4L26016S/2 (LCL14/2)</t>
        </is>
      </c>
      <c r="C70" s="7" t="n">
        <v>69</v>
      </c>
      <c r="D70" s="7" t="inlineStr">
        <is>
          <t>Magnetic Drawing Board - big - blue</t>
        </is>
      </c>
      <c r="E70" s="8" t="inlineStr">
        <is>
          <t>Magnetická kreslící tabulka - velká, modrá</t>
        </is>
      </c>
      <c r="F70" s="8" t="inlineStr">
        <is>
          <t>ABS, ocelové kuličky, magnet</t>
        </is>
      </c>
      <c r="G70" s="8" t="inlineStr">
        <is>
          <t>Tabulka, na kterou se kreslí pomocí přiloženého pera díky přitahování ocelových kuliček - pero je magnetické. Hračka pro děti.</t>
        </is>
      </c>
      <c r="H70" s="7" t="inlineStr">
        <is>
          <t>9503 00 70 00</t>
        </is>
      </c>
      <c r="I70" s="9" t="n">
        <v>630</v>
      </c>
      <c r="J70" s="9" t="n">
        <v>21</v>
      </c>
      <c r="K70" s="10" t="n">
        <v>399</v>
      </c>
      <c r="L70" s="10" t="n">
        <v>420</v>
      </c>
      <c r="M70" s="31" t="n">
        <v>3.5</v>
      </c>
      <c r="N70" s="11" t="n">
        <v>2205</v>
      </c>
      <c r="O70" s="11" t="n">
        <v>-243.57</v>
      </c>
      <c r="P70" s="11" t="n">
        <v>1961.43</v>
      </c>
      <c r="Q70" s="8" t="inlineStr"/>
    </row>
    <row r="71">
      <c r="A71" s="7" t="inlineStr">
        <is>
          <t>Ningbo HowellGoods Import and Export Co., Ltd.</t>
        </is>
      </c>
      <c r="B71" s="7" t="inlineStr">
        <is>
          <t>4L26016S/2 (LCL14/2)</t>
        </is>
      </c>
      <c r="C71" s="7" t="n">
        <v>70</v>
      </c>
      <c r="D71" s="7" t="inlineStr">
        <is>
          <t>Pet Hair Remover 3</t>
        </is>
      </c>
      <c r="E71" s="8" t="inlineStr">
        <is>
          <t>Odstraňovač zvířecích chlupů</t>
        </is>
      </c>
      <c r="F71" s="8" t="inlineStr">
        <is>
          <t>ABS, Polyester</t>
        </is>
      </c>
      <c r="G71" s="8" t="inlineStr">
        <is>
          <t>Vhodné na krátké i dlouhé chlupy a různé povrchy. Odstraňovač má zásobník na nečistoty.</t>
        </is>
      </c>
      <c r="H71" s="7" t="inlineStr">
        <is>
          <t>9603 90 91 00</t>
        </is>
      </c>
      <c r="I71" s="9" t="n">
        <v>300</v>
      </c>
      <c r="J71" s="9" t="n">
        <v>6</v>
      </c>
      <c r="K71" s="10" t="n">
        <v>49.8</v>
      </c>
      <c r="L71" s="10" t="n">
        <v>55.8</v>
      </c>
      <c r="M71" s="31" t="n">
        <v>0.86</v>
      </c>
      <c r="N71" s="11" t="n">
        <v>258</v>
      </c>
      <c r="O71" s="11" t="n">
        <v>-28.5</v>
      </c>
      <c r="P71" s="11" t="n">
        <v>229.5</v>
      </c>
      <c r="Q71" s="8" t="inlineStr"/>
    </row>
    <row r="72">
      <c r="A72" s="7" t="inlineStr">
        <is>
          <t>Ningbo HowellGoods Import and Export Co., Ltd.</t>
        </is>
      </c>
      <c r="B72" s="7" t="inlineStr">
        <is>
          <t>4L26016S/2 (LCL14/2)</t>
        </is>
      </c>
      <c r="C72" s="7" t="n">
        <v>71</v>
      </c>
      <c r="D72" s="7" t="inlineStr">
        <is>
          <t>Self-Adhesive Cable Clips 10 PCs</t>
        </is>
      </c>
      <c r="E72" s="8" t="inlineStr">
        <is>
          <t>Klipy na uchycení kabelů 10 ks</t>
        </is>
      </c>
      <c r="F72" s="8" t="inlineStr">
        <is>
          <t>ABS</t>
        </is>
      </c>
      <c r="G72" s="8" t="inlineStr">
        <is>
          <t>Držák pro uchycení kabelů.</t>
        </is>
      </c>
      <c r="H72" s="7" t="inlineStr">
        <is>
          <t>3926 90 97 90</t>
        </is>
      </c>
      <c r="I72" s="9" t="n">
        <v>300</v>
      </c>
      <c r="J72" s="9" t="n">
        <v>1</v>
      </c>
      <c r="K72" s="10" t="n">
        <v>3.65</v>
      </c>
      <c r="L72" s="10" t="n">
        <v>4.65</v>
      </c>
      <c r="M72" s="31" t="n">
        <v>0.32</v>
      </c>
      <c r="N72" s="11" t="n">
        <v>96</v>
      </c>
      <c r="O72" s="11" t="n">
        <v>-10.6</v>
      </c>
      <c r="P72" s="11" t="n">
        <v>85.40000000000001</v>
      </c>
      <c r="Q72" s="8" t="inlineStr"/>
    </row>
    <row r="73">
      <c r="A73" s="7" t="inlineStr">
        <is>
          <t>Ningbo HowellGoods Import and Export Co., Ltd.</t>
        </is>
      </c>
      <c r="B73" s="7" t="inlineStr">
        <is>
          <t>4L26016S/2 (LCL14/2)</t>
        </is>
      </c>
      <c r="C73" s="7" t="n">
        <v>72</v>
      </c>
      <c r="D73" s="7" t="inlineStr">
        <is>
          <t>Princess Dress Up Accessories Set - blue snowflake</t>
        </is>
      </c>
      <c r="E73" s="8" t="inlineStr">
        <is>
          <t>Sada doplňků pro princeznu 6 ks - modrá</t>
        </is>
      </c>
      <c r="F73" s="8" t="inlineStr">
        <is>
          <t>Polyester (rukavice), PC (kamínky), PP</t>
        </is>
      </c>
      <c r="G73" s="8" t="inlineStr">
        <is>
          <t>Sada pro malé slečny ve stylu princezny. V balení je korunka s hůlkou, rukavičky a další drobné klenoty.</t>
        </is>
      </c>
      <c r="H73" s="7" t="inlineStr">
        <is>
          <t>7117 90 00 00</t>
        </is>
      </c>
      <c r="I73" s="9" t="n">
        <v>1300</v>
      </c>
      <c r="J73" s="9" t="n">
        <v>13</v>
      </c>
      <c r="K73" s="10" t="n">
        <v>156</v>
      </c>
      <c r="L73" s="10" t="n">
        <v>169</v>
      </c>
      <c r="M73" s="31" t="n">
        <v>1.52</v>
      </c>
      <c r="N73" s="11" t="n">
        <v>1976</v>
      </c>
      <c r="O73" s="11" t="n">
        <v>-218.28</v>
      </c>
      <c r="P73" s="11" t="n">
        <v>1757.72</v>
      </c>
      <c r="Q73" s="8" t="inlineStr"/>
    </row>
  </sheetData>
  <autoFilter ref="A1:Q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32" t="inlineStr">
        <is>
          <t>ZASILKA</t>
        </is>
      </c>
      <c r="B1" s="33" t="n"/>
    </row>
    <row r="2">
      <c r="A2" s="34" t="inlineStr">
        <is>
          <t>Klient / prijemce</t>
        </is>
      </c>
      <c r="B2" s="8" t="inlineStr">
        <is>
          <t>4Leaders, s.r.o., Pribenicka 695/5, 390 01 Tabor, CZ, EORI CZ28144708</t>
        </is>
      </c>
    </row>
    <row r="3">
      <c r="A3" s="34" t="inlineStr">
        <is>
          <t>Zasilka</t>
        </is>
      </c>
      <c r="B3" s="8" t="inlineStr">
        <is>
          <t>LCL14 (2026LCL14), kontejner MRKU4193663 / CN6483808</t>
        </is>
      </c>
    </row>
    <row r="4">
      <c r="A4" s="34" t="inlineStr">
        <is>
          <t>Odesilatele (3)</t>
        </is>
      </c>
      <c r="B4" s="8" t="inlineStr">
        <is>
          <t>1) Ningbo Onway Imp &amp; Exp Co., Ltd. - fa 26OW08001 LCL14 (52 pol.)
2) Hefei Howell E-commerce Co., Ltd. - fa 4L26016S/1 (10 pol.)
3) Ningbo HowellGoods Import and Export Co., Ltd. - fa 4L26016S/2 (10 pol.)</t>
        </is>
      </c>
    </row>
    <row r="5">
      <c r="A5" s="34" t="inlineStr">
        <is>
          <t>Incoterms</t>
        </is>
      </c>
      <c r="B5" s="8" t="inlineStr">
        <is>
          <t>FOB Ningbo (vsichni tri odesilatele - "Price (FOB Ningbo)" / "SHIPMENT TERMS: FOB NINGBO")</t>
        </is>
      </c>
    </row>
    <row r="6">
      <c r="A6" s="34" t="inlineStr">
        <is>
          <t>Zeme puvodu</t>
        </is>
      </c>
      <c r="B6" s="8" t="inlineStr">
        <is>
          <t>Cina (Made in China uvedeno na fa/PL Hefei Howell a Ningbo HowellGoods)</t>
        </is>
      </c>
    </row>
    <row r="7">
      <c r="A7" s="34" t="inlineStr">
        <is>
          <t>Mena</t>
        </is>
      </c>
      <c r="B7" s="8" t="inlineStr">
        <is>
          <t>USD</t>
        </is>
      </c>
    </row>
    <row r="8">
      <c r="A8" s="34" t="inlineStr">
        <is>
          <t>Zarazeni</t>
        </is>
      </c>
      <c r="B8" s="8" t="inlineStr">
        <is>
          <t>Zasilka je zatridena nejprve podle odesilatele, az potom podle HS kodu. Shodne HS kody u ruznych odesilatelu jsou proto na samostatnych radcich.</t>
        </is>
      </c>
    </row>
    <row r="9">
      <c r="A9" s="32" t="inlineStr">
        <is>
          <t>OPRAVA HS KODU (e-mail P. Vojtechove, 18/09/2026)</t>
        </is>
      </c>
      <c r="B9" s="33" t="n"/>
    </row>
    <row r="10">
      <c r="A10" s="35" t="inlineStr">
        <is>
          <t>Polozka c. 1</t>
        </is>
      </c>
      <c r="B10" s="13" t="inlineStr">
        <is>
          <t>Hřejivá mikinová deka - vínová: HS kod zmenen z 6104 43 00 00 na 6110 30 99 00.
Oprava dle e-mailu P. Vojtechove 18/09/2026 - spatne zarazeni zjisteno pri kontrole kontejneru</t>
        </is>
      </c>
    </row>
    <row r="11">
      <c r="A11" s="32" t="inlineStr">
        <is>
          <t>CBAM</t>
        </is>
      </c>
      <c r="B11" s="33" t="n"/>
    </row>
    <row r="12">
      <c r="A12" s="35" t="inlineStr">
        <is>
          <t>CBAM-relevantni zbozi</t>
        </is>
      </c>
      <c r="B12" s="13" t="inlineStr">
        <is>
          <t>ANO - polozka c. 4 "Prenosny polohovaci stolek na notebook s vetracimi sterbinami" (Folding Desk Pro), KN 7616 99 90 99, hlinik + polypropylen, odesilatel Ningbo Onway.
KN 7616 spada do prilohy I narizeni (EU) 2023/956 (hlinik). Mnozstvi 700 ks, cista hmotnost 875 kg.</t>
        </is>
      </c>
    </row>
    <row r="13">
      <c r="A13" s="35" t="inlineStr">
        <is>
          <t>Prijemce v registru CBAM?</t>
        </is>
      </c>
      <c r="B13" s="13" t="inlineStr">
        <is>
          <t>NE - 4Leaders, s.r.o. (EORI CZ28144708) NENI v souboru reference/CBAM_receivers_CZ.xlsx (list List1) - hledano podle nazvu firmy i podle EORI, a rovnez v prave casti souboru (spolecnosti mimo EU vyuzivajici sdileny ucet CBAM-CZ-2025-QGM67089385721). Nelze tedy uvest Y kod ani cislo povoleni. PROSIM OVERIT STATUS PRIJEMCE A DOPLNIT DO REGISTRU.</t>
        </is>
      </c>
    </row>
    <row r="14">
      <c r="A14" s="34" t="inlineStr">
        <is>
          <t>Ostatni kody</t>
        </is>
      </c>
      <c r="B14" s="8" t="inlineStr">
        <is>
          <t>KN 7324 90 00 90 (nerezovy drzak na kartacek) NENI v priloze I - seznam pro zelezo a ocel obsahuje 7301-7311, 7318 a 7326, nikoli 7324. CBAM se na nej nevztahuje.</t>
        </is>
      </c>
    </row>
    <row r="15">
      <c r="A15" s="32" t="inlineStr">
        <is>
          <t>ANTIDUMPING</t>
        </is>
      </c>
      <c r="B15" s="33" t="n"/>
    </row>
    <row r="16">
      <c r="A16" s="35" t="inlineStr">
        <is>
          <t>K overeni</t>
        </is>
      </c>
      <c r="B16" s="13" t="inlineStr">
        <is>
          <t>Polozka c. 4, KN 7616 99 90: kod ex 7616 99 90 je soucasti rozsahu AD opatreni na hlinikove vytlacovane vyrobky z Ciny (provadeci narizeni (EU) 2021/546). Opatreni se tyka vytlacovanych (extrudovanych) tyci, profilu a trubek. U tohoto stolku je nutne overit, zda je hlinikova cast extrudovany profil - pokud ano, AD clo se uplatni. Doporucuji potvrdit u tarifniho tymu (customs.tariff@mauriceward.com).</t>
        </is>
      </c>
    </row>
    <row r="17">
      <c r="A17" s="34" t="inlineStr">
        <is>
          <t>Ostatni polozky</t>
        </is>
      </c>
      <c r="B17" s="8" t="inlineStr">
        <is>
          <t>U zadne dalsi polozky zasilky nebyla zjistena AD opatreni vuci Cine.</t>
        </is>
      </c>
    </row>
    <row r="18">
      <c r="A18" s="32" t="inlineStr">
        <is>
          <t>COO / PREFERENCNI PUVOD</t>
        </is>
      </c>
      <c r="B18" s="33" t="n"/>
    </row>
    <row r="19">
      <c r="A19" s="35" t="inlineStr">
        <is>
          <t>Preferencni veta</t>
        </is>
      </c>
      <c r="B19" s="13" t="inlineStr">
        <is>
          <t>NENI. Zadny ze sesti dokumentu (3 faktury + 3 balici listy) neobsahuje prohlaseni o preferencnim puvodu. EU nema s Cinou dohodu o volnem obchodu, preferencni sazebni zachazeni proto nelze uplatnit - uplatni se bezne smluvni (tretizemske) clo.</t>
        </is>
      </c>
    </row>
    <row r="20">
      <c r="A20" s="35" t="inlineStr">
        <is>
          <t>REX cislo</t>
        </is>
      </c>
      <c r="B20" s="13" t="inlineStr">
        <is>
          <t>NENI. Na zadne z faktur (26OW08001 LCL14, 4L26016S/1, 4L26016S/2) neni uvedeno cislo registrovaneho vyvozce (REX) ani cislo celniho povoleni. Jeho absence je zde v souladu s tim, ze se o preferencni puvod nezada.</t>
        </is>
      </c>
    </row>
    <row r="21">
      <c r="A21" s="34" t="inlineStr">
        <is>
          <t>Znaceni puvodu</t>
        </is>
      </c>
      <c r="B21" s="8" t="inlineStr">
        <is>
          <t>Faktura a balici list Ningbo Onway neobsahuji udaj "Made in China" - u zbylych dvou odesilatelu je uveden. Puvod Cina vyplyva z ostatnich dokladu zasilky.</t>
        </is>
      </c>
    </row>
    <row r="22">
      <c r="A22" s="32" t="inlineStr">
        <is>
          <t>SLEVY A ROZPUSTENI DO CELNI HODNOTY</t>
        </is>
      </c>
      <c r="B22" s="33" t="n"/>
    </row>
    <row r="23">
      <c r="A23" s="34" t="inlineStr">
        <is>
          <t>Ningbo Onway Imp &amp; Exp Co., Ltd.</t>
        </is>
      </c>
      <c r="B23" s="8" t="inlineStr">
        <is>
          <t>Zadna sleva nebyla na fakture uplatnena.</t>
        </is>
      </c>
    </row>
    <row r="24">
      <c r="A24" s="34" t="inlineStr">
        <is>
          <t>Hefei Howell E-commerce Co., Ltd.</t>
        </is>
      </c>
      <c r="B24" s="8" t="inlineStr">
        <is>
          <t>Sleva celkem -983.76 USD z ceny zbozi 13550.36 USD (7.2600 %), rozpustena pomerne podle hodnoty na jednotlive HS kody.
Slozky: Sleva - devalvace jüanu 7,26 % = -983.76 USD</t>
        </is>
      </c>
    </row>
    <row r="25">
      <c r="A25" s="34" t="inlineStr">
        <is>
          <t>Ningbo HowellGoods Import and Export Co., Ltd.</t>
        </is>
      </c>
      <c r="B25" s="8" t="inlineStr">
        <is>
          <t>Sleva celkem -729.35 USD z ceny zbozi 6602.60 USD (11.0464 %), rozpustena pomerne podle hodnoty na jednotlive HS kody.
Slozky: Sleva - devalvace jüanu 7,26 % = -479.35 USD; Sleva za kontejner = -250.00 USD</t>
        </is>
      </c>
    </row>
    <row r="26">
      <c r="A26" s="34" t="inlineStr">
        <is>
          <t>Dalsi polozky faktur</t>
        </is>
      </c>
      <c r="B26" s="8" t="inlineStr">
        <is>
          <t>Ningbo Onway "Extra cost for the LCL" +290,00 USD a Ningbo HowellGoods "LCL cost for LCL14" +200,00 USD jsou naklady, nikoli cena zbozi - nejsou rozpusteny do celni hodnoty polozek a jsou uvedeny samostatne pod souhrnem.</t>
        </is>
      </c>
    </row>
    <row r="27">
      <c r="A27" s="32" t="inlineStr">
        <is>
          <t>KONTROLA PROTI DOKLADUM</t>
        </is>
      </c>
      <c r="B27" s="33" t="n"/>
    </row>
    <row r="28">
      <c r="A28" s="34" t="inlineStr">
        <is>
          <t>Ningbo Onway Imp &amp; Exp Co., Ltd.</t>
        </is>
      </c>
      <c r="B28" s="8" t="inlineStr">
        <is>
          <t>Ks 31277 | cista hm. 6753.300 kg | hruba hm. 7219.200 kg | cena zbozi 39872.42 USD | sleva 0.00 USD | celni hodnota 39872.42 USD | pocet unikatnich HS kodu 37
Souhlasi s fakturou i balicim listem (hmotnosti, kartony i castky zkontrolovany na soucty v dokladech).</t>
        </is>
      </c>
    </row>
    <row r="29">
      <c r="A29" s="34" t="inlineStr">
        <is>
          <t>Hefei Howell E-commerce Co., Ltd.</t>
        </is>
      </c>
      <c r="B29" s="8" t="inlineStr">
        <is>
          <t>Ks 6838 | cista hm. 2553.300 kg | hruba hm. 2714.300 kg | cena zbozi 13550.36 USD | sleva -983.76 USD | celni hodnota 12566.60 USD | pocet unikatnich HS kodu 9
Souhlasi s fakturou i balicim listem (hmotnosti, kartony i castky zkontrolovany na soucty v dokladech).</t>
        </is>
      </c>
    </row>
    <row r="30">
      <c r="A30" s="34" t="inlineStr">
        <is>
          <t>Ningbo HowellGoods Import and Export Co., Ltd.</t>
        </is>
      </c>
      <c r="B30" s="8" t="inlineStr">
        <is>
          <t>Ks 5602 | cista hm. 859.600 kg | hruba hm. 924.600 kg | cena zbozi 6602.60 USD | sleva -729.35 USD | celni hodnota 5873.25 USD | pocet unikatnich HS kodu 9
Souhlasi s fakturou i balicim listem (hmotnosti, kartony i castky zkontrolovany na soucty v dokladech).</t>
        </is>
      </c>
    </row>
    <row r="31">
      <c r="A31" s="34" t="inlineStr">
        <is>
          <t>CELKEM</t>
        </is>
      </c>
      <c r="B31" s="8" t="inlineStr">
        <is>
          <t>Ks 43717 | cista hm. 10166.200 kg | hruba hm. 10858.100 kg | celni hodnota 58312.27 USD | 72 polozek -&gt; 55 radku souhrnu</t>
        </is>
      </c>
    </row>
    <row r="32">
      <c r="A32" s="34" t="inlineStr">
        <is>
          <t>Uplnost HS kodu</t>
        </is>
      </c>
      <c r="B32" s="8" t="inlineStr">
        <is>
          <t>Vsech 72 polozek melo HS kod i cesky popis primo v podkladech klienta (Popis_2026LCL14.xlsx). Pravidlo CCT/VPV KN tarifni zarazeni nebylo nutne pouzit - zadny kod nebyl odvozovan.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2026-09-22T13:02:56Z</dcterms:created>
  <dcterms:modified xsi:type="dcterms:W3CDTF">2026-09-22T13:02:56Z</dcterms:modified>
</cp:coreProperties>
</file>