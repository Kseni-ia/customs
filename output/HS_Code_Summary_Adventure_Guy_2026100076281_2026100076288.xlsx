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etail dle faktur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i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4" fontId="2" fillId="4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70" customWidth="1" min="10" max="10"/>
  </cols>
  <sheetData>
    <row r="1">
      <c r="A1" s="1" t="inlineStr">
        <is>
          <t>HS kód (KN 2026)</t>
        </is>
      </c>
      <c r="B1" s="1" t="inlineStr">
        <is>
          <t>Popis zboží (CZ)</t>
        </is>
      </c>
      <c r="C1" s="1" t="inlineStr">
        <is>
          <t>Odesílatel</t>
        </is>
      </c>
      <c r="D1" s="1" t="inlineStr">
        <is>
          <t>Země původu (COO)</t>
        </is>
      </c>
      <c r="E1" s="1" t="inlineStr">
        <is>
          <t>Celkové 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Celní hodnota USD</t>
        </is>
      </c>
      <c r="I1" s="1" t="inlineStr">
        <is>
          <t>Příznak</t>
        </is>
      </c>
      <c r="J1" s="1" t="inlineStr">
        <is>
          <t>TARIC / poznámka / CBAM / Antidumping</t>
        </is>
      </c>
    </row>
    <row r="2">
      <c r="A2" s="2" t="inlineStr">
        <is>
          <t>4911 10 90</t>
        </is>
      </c>
      <c r="B2" s="2" t="inlineStr">
        <is>
          <t>Tištěné papírové samolepicí reklamní nálepky Darn Tough (bal. 100 ks / 25 ks) a potištěné kartonové reklamní headery pro prodejní stojany, bez elektrických částí.</t>
        </is>
      </c>
      <c r="C2" s="2" t="inlineStr">
        <is>
          <t>Cabot Hosiery Mills (Darn Tough), Northfield VT, USA</t>
        </is>
      </c>
      <c r="D2" s="2" t="inlineStr">
        <is>
          <t>US</t>
        </is>
      </c>
      <c r="E2" s="2" t="n">
        <v>143</v>
      </c>
      <c r="F2" s="3" t="inlineStr">
        <is>
          <t>CHYBÍ</t>
        </is>
      </c>
      <c r="G2" s="3" t="inlineStr">
        <is>
          <t>CHYBÍ</t>
        </is>
      </c>
      <c r="H2" s="4" t="n">
        <v>1105</v>
      </c>
      <c r="I2" s="5" t="inlineStr">
        <is>
          <t>OVĚŘIT</t>
        </is>
      </c>
      <c r="J2" s="2" t="inlineStr">
        <is>
          <t>Na fakturách deklarováno pod US HTS 4908.90.5060 (obtisky), 3920.43.0000 (plast) a 4823.90.8600 (papír) – do JSD se uvádí KN 4911 10 90 (tiskoviny). Doplněno zákazníkem: jde o tištěné papírové samolepky, nikoli přenosové obtisky.</t>
        </is>
      </c>
    </row>
    <row r="3">
      <c r="A3" s="2" t="inlineStr">
        <is>
          <t>9403 20 80</t>
        </is>
      </c>
      <c r="B3" s="2" t="inlineStr">
        <is>
          <t>Kompletní volně stojící ocelový prodejní stojan Darn Tough určený k vybavení prodejny (small a medium rack, sestava Top &amp; Base).</t>
        </is>
      </c>
      <c r="C3" s="2" t="inlineStr">
        <is>
          <t>Cabot Hosiery Mills (Darn Tough), Northfield VT, USA</t>
        </is>
      </c>
      <c r="D3" s="2" t="inlineStr">
        <is>
          <t>US</t>
        </is>
      </c>
      <c r="E3" s="2" t="n">
        <v>30</v>
      </c>
      <c r="F3" s="3" t="inlineStr">
        <is>
          <t>CHYBÍ</t>
        </is>
      </c>
      <c r="G3" s="3" t="inlineStr">
        <is>
          <t>CHYBÍ</t>
        </is>
      </c>
      <c r="H3" s="4" t="n">
        <v>300</v>
      </c>
      <c r="I3" s="2" t="inlineStr"/>
      <c r="J3" s="2" t="inlineStr">
        <is>
          <t>Faktura uvádí US HTS 9403.20.00.86. Doplněno zákazníkem: jde o kompletní volně stojící stojan (nikoli pouze část/nástavbu).</t>
        </is>
      </c>
    </row>
    <row r="4">
      <c r="A4" s="2" t="inlineStr">
        <is>
          <t>9618 00 00</t>
        </is>
      </c>
      <c r="B4" s="2" t="inlineStr">
        <is>
          <t>Plastová figurína části lidské nohy/chodidla, určená k vystavování ponožek v prodejně (CREW a OTC foot form).</t>
        </is>
      </c>
      <c r="C4" s="2" t="inlineStr">
        <is>
          <t>Cabot Hosiery Mills (Darn Tough), Northfield VT, USA</t>
        </is>
      </c>
      <c r="D4" s="2" t="inlineStr">
        <is>
          <t>US</t>
        </is>
      </c>
      <c r="E4" s="2" t="n">
        <v>40</v>
      </c>
      <c r="F4" s="3" t="inlineStr">
        <is>
          <t>CHYBÍ</t>
        </is>
      </c>
      <c r="G4" s="3" t="inlineStr">
        <is>
          <t>CHYBÍ</t>
        </is>
      </c>
      <c r="H4" s="4" t="n">
        <v>80</v>
      </c>
      <c r="I4" s="2" t="inlineStr"/>
      <c r="J4" s="2" t="inlineStr"/>
    </row>
    <row r="5">
      <c r="A5" s="2" t="inlineStr">
        <is>
          <t>5702 42 00</t>
        </is>
      </c>
      <c r="B5" s="2" t="inlineStr">
        <is>
          <t>Zcela zhotovená reklamní podlahová rohož, s potištěným syntetickým textilním nášlapným povrchem a gumovým spodním podkladem, nevšívaná.</t>
        </is>
      </c>
      <c r="C5" s="2" t="inlineStr">
        <is>
          <t>Cabot Hosiery Mills (Darn Tough), Northfield VT, USA</t>
        </is>
      </c>
      <c r="D5" s="2" t="inlineStr">
        <is>
          <t>US</t>
        </is>
      </c>
      <c r="E5" s="2" t="n">
        <v>32</v>
      </c>
      <c r="F5" s="3" t="inlineStr">
        <is>
          <t>CHYBÍ</t>
        </is>
      </c>
      <c r="G5" s="3" t="inlineStr">
        <is>
          <t>CHYBÍ</t>
        </is>
      </c>
      <c r="H5" s="4" t="n">
        <v>70</v>
      </c>
      <c r="I5" s="5" t="inlineStr">
        <is>
          <t>OVĚŘIT</t>
        </is>
      </c>
      <c r="J5" s="2" t="inlineStr">
        <is>
          <t>Faktura uvádí US HTS 5702.32.10.00. Přesné složení nášlapné plochy zákazník nezná – uvedeno: spodek gumový, nášlapná plocha syntetická, potištěná, nevšívaná. Zařazení 5702 42 00 z toho vychází; při odlišném složení ověřit.</t>
        </is>
      </c>
    </row>
    <row r="6">
      <c r="A6" s="2" t="inlineStr">
        <is>
          <t>9403 99 10</t>
        </is>
      </c>
      <c r="B6" s="2" t="inlineStr">
        <is>
          <t>Ocelové boční rozšiřovací díly „wings“ pro prodejní stojan Darn Tough, určené k rozšíření konkrétního stojanu, bez samostatné funkce.</t>
        </is>
      </c>
      <c r="C6" s="2" t="inlineStr">
        <is>
          <t>Cabot Hosiery Mills (Darn Tough), Northfield VT, USA</t>
        </is>
      </c>
      <c r="D6" s="2" t="inlineStr">
        <is>
          <t>US</t>
        </is>
      </c>
      <c r="E6" s="2" t="n">
        <v>5</v>
      </c>
      <c r="F6" s="3" t="inlineStr">
        <is>
          <t>CHYBÍ</t>
        </is>
      </c>
      <c r="G6" s="3" t="inlineStr">
        <is>
          <t>CHYBÍ</t>
        </is>
      </c>
      <c r="H6" s="4" t="n">
        <v>35</v>
      </c>
      <c r="I6" s="2" t="inlineStr"/>
      <c r="J6" s="2" t="inlineStr">
        <is>
          <t>Faktura uvádí US HTS 9403.20.00.86 (stojany); jde však o části nábytku z kovu → KN 9403 99 10.</t>
        </is>
      </c>
    </row>
    <row r="7">
      <c r="A7" s="2" t="inlineStr">
        <is>
          <t>9403 60 30</t>
        </is>
      </c>
      <c r="B7" s="2" t="inlineStr">
        <is>
          <t>Zkoušecí dřevěný box (překližka), potištěný, k postavení na zem, určený k vybavení prodejny – k vyzkoušení ponožek.</t>
        </is>
      </c>
      <c r="C7" s="2" t="inlineStr">
        <is>
          <t>Cabot Hosiery Mills (Darn Tough), Northfield VT, USA</t>
        </is>
      </c>
      <c r="D7" s="2" t="inlineStr">
        <is>
          <t>US</t>
        </is>
      </c>
      <c r="E7" s="2" t="n">
        <v>15</v>
      </c>
      <c r="F7" s="3" t="inlineStr">
        <is>
          <t>CHYBÍ</t>
        </is>
      </c>
      <c r="G7" s="3" t="inlineStr">
        <is>
          <t>CHYBÍ</t>
        </is>
      </c>
      <c r="H7" s="4" t="n">
        <v>30</v>
      </c>
      <c r="I7" s="2" t="inlineStr"/>
      <c r="J7" s="2" t="inlineStr">
        <is>
          <t>Faktura uvádí US HTS 9403.60.0000. Doplněno zákazníkem: potištěná překližková bedna sloužící jako reklamní box na zkoušení ponožek v prodejně.</t>
        </is>
      </c>
    </row>
    <row r="8">
      <c r="A8" s="2" t="inlineStr">
        <is>
          <t>8310 00 00</t>
        </is>
      </c>
      <c r="B8" s="2" t="inlineStr">
        <is>
          <t>Neosvětlená reklamní logo deska Darn Tough z nerezové oceli, pro označení prodejní prezentace.</t>
        </is>
      </c>
      <c r="C8" s="2" t="inlineStr">
        <is>
          <t>Cabot Hosiery Mills (Darn Tough), Northfield VT, USA</t>
        </is>
      </c>
      <c r="D8" s="2" t="inlineStr">
        <is>
          <t>US</t>
        </is>
      </c>
      <c r="E8" s="2" t="n">
        <v>1</v>
      </c>
      <c r="F8" s="3" t="inlineStr">
        <is>
          <t>CHYBÍ</t>
        </is>
      </c>
      <c r="G8" s="3" t="inlineStr">
        <is>
          <t>CHYBÍ</t>
        </is>
      </c>
      <c r="H8" s="4" t="n">
        <v>2</v>
      </c>
      <c r="I8" s="2" t="inlineStr"/>
      <c r="J8" s="2" t="inlineStr"/>
    </row>
    <row r="9">
      <c r="A9" s="6" t="inlineStr">
        <is>
          <t>CELKEM</t>
        </is>
      </c>
      <c r="B9" s="6" t="inlineStr"/>
      <c r="C9" s="6" t="inlineStr"/>
      <c r="D9" s="6" t="inlineStr"/>
      <c r="E9" s="6" t="n">
        <v>266</v>
      </c>
      <c r="F9" s="6" t="inlineStr">
        <is>
          <t>CHYBÍ</t>
        </is>
      </c>
      <c r="G9" s="6" t="inlineStr">
        <is>
          <t>CHYBÍ</t>
        </is>
      </c>
      <c r="H9" s="7" t="n">
        <v>1622</v>
      </c>
      <c r="I9" s="6" t="inlineStr"/>
      <c r="J9" s="6" t="inlineStr"/>
    </row>
    <row r="11">
      <c r="A11" s="8" t="inlineStr">
        <is>
          <t>Legenda:</t>
        </is>
      </c>
      <c r="B11" s="9" t="inlineStr"/>
    </row>
    <row r="12">
      <c r="A12" s="8" t="inlineStr">
        <is>
          <t>🟡 ŽLUTÁ</t>
        </is>
      </c>
      <c r="B12" s="9" t="inlineStr">
        <is>
          <t>Údaj chybí v podkladech nebo zařazení vyžaduje potvrzení – viz sloupec poznámky.</t>
        </is>
      </c>
    </row>
    <row r="13">
      <c r="A13" s="8" t="inlineStr">
        <is>
          <t>CBAM</t>
        </is>
      </c>
      <c r="B13" s="9" t="inlineStr">
        <is>
          <t>V zásilce NENÍ žádná položka podléhající CBAM – žádný z uvedených kódů KN není v příloze I nařízení CBAM. Detail viz list „Dokumenty a poznámky“.</t>
        </is>
      </c>
    </row>
    <row r="14">
      <c r="A14" s="8" t="inlineStr">
        <is>
          <t>Antidumping</t>
        </is>
      </c>
      <c r="B14" s="9" t="inlineStr">
        <is>
          <t>Žádná z položek nepodléhá antidumpingovému clu (původ US).</t>
        </is>
      </c>
    </row>
    <row r="15">
      <c r="A15" s="8" t="inlineStr">
        <is>
          <t>Incoterm</t>
        </is>
      </c>
      <c r="B15" s="9" t="inlineStr">
        <is>
          <t>EXW – faktury neuvádějí místo dodání. Ověřit s odesílatelem (pravděpodobně EXW Groveport, OH). Viz poznámky.</t>
        </is>
      </c>
    </row>
    <row r="16">
      <c r="A16" s="8" t="inlineStr">
        <is>
          <t>Hmotnosti</t>
        </is>
      </c>
      <c r="B16" s="9" t="inlineStr">
        <is>
          <t>Čistá ani hrubá hmotnost NEJSOU v žádném z dodaných dokladů uvedeny – nutno doplnit od odesílatele/dopravce.</t>
        </is>
      </c>
    </row>
    <row r="17">
      <c r="A17" s="8" t="inlineStr">
        <is>
          <t>Sleva</t>
        </is>
      </c>
      <c r="B17" s="9" t="inlineStr">
        <is>
          <t>Obchodní sleva se neuplatňuje – všechny řádky obou faktur mají DISCOUNT PERCENTAGE 0,00 %.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42" customWidth="1" min="4" max="4"/>
    <col width="13" customWidth="1" min="5" max="5"/>
    <col width="24" customWidth="1" min="6" max="6"/>
    <col width="24" customWidth="1" min="7" max="7"/>
    <col width="14" customWidth="1" min="8" max="8"/>
  </cols>
  <sheetData>
    <row r="1">
      <c r="A1" s="1" t="inlineStr">
        <is>
          <t>Faktura</t>
        </is>
      </c>
      <c r="B1" s="1" t="inlineStr">
        <is>
          <t>PO</t>
        </is>
      </c>
      <c r="C1" s="1" t="inlineStr">
        <is>
          <t>SKU</t>
        </is>
      </c>
      <c r="D1" s="1" t="inlineStr">
        <is>
          <t>Název z faktury / packing slipu</t>
        </is>
      </c>
      <c r="E1" s="1" t="inlineStr">
        <is>
          <t>Množství (ks)</t>
        </is>
      </c>
      <c r="F1" s="1" t="inlineStr">
        <is>
          <t>HTS kód (US, dle faktury)</t>
        </is>
      </c>
      <c r="G1" s="1" t="inlineStr">
        <is>
          <t>HS kód (KN 2026, pro JSD)</t>
        </is>
      </c>
      <c r="H1" s="1" t="inlineStr">
        <is>
          <t>Hodnota USD</t>
        </is>
      </c>
    </row>
    <row r="2">
      <c r="A2" s="2" t="inlineStr">
        <is>
          <t>2026100076281</t>
        </is>
      </c>
      <c r="B2" s="2" t="inlineStr">
        <is>
          <t>FW26 - PART 1-2</t>
        </is>
      </c>
      <c r="C2" s="2" t="inlineStr">
        <is>
          <t>9002_DARN</t>
        </is>
      </c>
      <c r="D2" s="2" t="inlineStr">
        <is>
          <t>DTV Stickers - 100 Pack</t>
        </is>
      </c>
      <c r="E2" s="2" t="n">
        <v>20</v>
      </c>
      <c r="F2" s="3" t="inlineStr">
        <is>
          <t>4908.90.5060</t>
        </is>
      </c>
      <c r="G2" s="3" t="inlineStr">
        <is>
          <t>4911 10 90</t>
        </is>
      </c>
      <c r="H2" s="4" t="n">
        <v>10</v>
      </c>
    </row>
    <row r="3">
      <c r="A3" s="2" t="inlineStr">
        <is>
          <t>2026100076281</t>
        </is>
      </c>
      <c r="B3" s="2" t="inlineStr">
        <is>
          <t>FW26 - PART 1-2</t>
        </is>
      </c>
      <c r="C3" s="2" t="inlineStr">
        <is>
          <t>9006_DARN</t>
        </is>
      </c>
      <c r="D3" s="2" t="inlineStr">
        <is>
          <t>DTV Metal Logo Sign</t>
        </is>
      </c>
      <c r="E3" s="2" t="n">
        <v>1</v>
      </c>
      <c r="F3" s="2" t="inlineStr">
        <is>
          <t>8310.00.0000</t>
        </is>
      </c>
      <c r="G3" s="2" t="inlineStr">
        <is>
          <t>8310 00 00</t>
        </is>
      </c>
      <c r="H3" s="4" t="n">
        <v>2</v>
      </c>
    </row>
    <row r="4">
      <c r="A4" s="2" t="inlineStr">
        <is>
          <t>2026100076281</t>
        </is>
      </c>
      <c r="B4" s="2" t="inlineStr">
        <is>
          <t>FW26 - PART 1-2</t>
        </is>
      </c>
      <c r="C4" s="2" t="inlineStr">
        <is>
          <t>9143_DARN</t>
        </is>
      </c>
      <c r="D4" s="2" t="inlineStr">
        <is>
          <t>DTV Retail Rug</t>
        </is>
      </c>
      <c r="E4" s="2" t="n">
        <v>2</v>
      </c>
      <c r="F4" s="2" t="inlineStr">
        <is>
          <t>5702.32.10.00</t>
        </is>
      </c>
      <c r="G4" s="2" t="inlineStr">
        <is>
          <t>5702 42 00</t>
        </is>
      </c>
      <c r="H4" s="4" t="n">
        <v>10</v>
      </c>
    </row>
    <row r="5">
      <c r="A5" s="2" t="inlineStr">
        <is>
          <t>2026100076281</t>
        </is>
      </c>
      <c r="B5" s="2" t="inlineStr">
        <is>
          <t>FW26 - PART 1-2</t>
        </is>
      </c>
      <c r="C5" s="2" t="inlineStr">
        <is>
          <t>9178_DARN</t>
        </is>
      </c>
      <c r="D5" s="2" t="inlineStr">
        <is>
          <t>DT Large Wings Only Retail Rack</t>
        </is>
      </c>
      <c r="E5" s="2" t="n">
        <v>3</v>
      </c>
      <c r="F5" s="2" t="inlineStr">
        <is>
          <t>9403.20.00.86</t>
        </is>
      </c>
      <c r="G5" s="2" t="inlineStr">
        <is>
          <t>9403 99 10</t>
        </is>
      </c>
      <c r="H5" s="4" t="n">
        <v>15</v>
      </c>
    </row>
    <row r="6">
      <c r="A6" s="2" t="inlineStr">
        <is>
          <t>2026100076288</t>
        </is>
      </c>
      <c r="B6" s="2" t="inlineStr">
        <is>
          <t>POP 2026</t>
        </is>
      </c>
      <c r="C6" s="2" t="inlineStr">
        <is>
          <t>9055_DARN</t>
        </is>
      </c>
      <c r="D6" s="2" t="inlineStr">
        <is>
          <t>TRY ON BOX SPRING 2021</t>
        </is>
      </c>
      <c r="E6" s="2" t="n">
        <v>15</v>
      </c>
      <c r="F6" s="2" t="inlineStr">
        <is>
          <t>9403.60.0000</t>
        </is>
      </c>
      <c r="G6" s="2" t="inlineStr">
        <is>
          <t>9403 60 30</t>
        </is>
      </c>
      <c r="H6" s="4" t="n">
        <v>30</v>
      </c>
    </row>
    <row r="7">
      <c r="A7" s="2" t="inlineStr">
        <is>
          <t>2026100076288</t>
        </is>
      </c>
      <c r="B7" s="2" t="inlineStr">
        <is>
          <t>POP 2026</t>
        </is>
      </c>
      <c r="C7" s="2" t="inlineStr">
        <is>
          <t>9093_DARN</t>
        </is>
      </c>
      <c r="D7" s="2" t="inlineStr">
        <is>
          <t>Med/Large Tactical Retail Header</t>
        </is>
      </c>
      <c r="E7" s="2" t="n">
        <v>3</v>
      </c>
      <c r="F7" s="3" t="inlineStr">
        <is>
          <t>3920.43.0000</t>
        </is>
      </c>
      <c r="G7" s="3" t="inlineStr">
        <is>
          <t>4911 10 90</t>
        </is>
      </c>
      <c r="H7" s="4" t="n">
        <v>6</v>
      </c>
    </row>
    <row r="8">
      <c r="A8" s="2" t="inlineStr">
        <is>
          <t>2026100076288</t>
        </is>
      </c>
      <c r="B8" s="2" t="inlineStr">
        <is>
          <t>POP 2026</t>
        </is>
      </c>
      <c r="C8" s="2" t="inlineStr">
        <is>
          <t>9121_DARN</t>
        </is>
      </c>
      <c r="D8" s="2" t="inlineStr">
        <is>
          <t>Medium Rack Header - Hike/Trek</t>
        </is>
      </c>
      <c r="E8" s="2" t="n">
        <v>3</v>
      </c>
      <c r="F8" s="3" t="inlineStr">
        <is>
          <t>4823.90.8600</t>
        </is>
      </c>
      <c r="G8" s="3" t="inlineStr">
        <is>
          <t>4911 10 90</t>
        </is>
      </c>
      <c r="H8" s="4" t="n">
        <v>6</v>
      </c>
    </row>
    <row r="9">
      <c r="A9" s="2" t="inlineStr">
        <is>
          <t>2026100076288</t>
        </is>
      </c>
      <c r="B9" s="2" t="inlineStr">
        <is>
          <t>POP 2026</t>
        </is>
      </c>
      <c r="C9" s="2" t="inlineStr">
        <is>
          <t>9122_DARN</t>
        </is>
      </c>
      <c r="D9" s="2" t="inlineStr">
        <is>
          <t>Medium Rack Header - Snow</t>
        </is>
      </c>
      <c r="E9" s="2" t="n">
        <v>3</v>
      </c>
      <c r="F9" s="3" t="inlineStr">
        <is>
          <t>3920.43.0000</t>
        </is>
      </c>
      <c r="G9" s="3" t="inlineStr">
        <is>
          <t>4911 10 90</t>
        </is>
      </c>
      <c r="H9" s="4" t="n">
        <v>6</v>
      </c>
    </row>
    <row r="10">
      <c r="A10" s="2" t="inlineStr">
        <is>
          <t>2026100076288</t>
        </is>
      </c>
      <c r="B10" s="2" t="inlineStr">
        <is>
          <t>POP 2026</t>
        </is>
      </c>
      <c r="C10" s="2" t="inlineStr">
        <is>
          <t>9125_DARN</t>
        </is>
      </c>
      <c r="D10" s="2" t="inlineStr">
        <is>
          <t>Medium Rack Header - Work</t>
        </is>
      </c>
      <c r="E10" s="2" t="n">
        <v>3</v>
      </c>
      <c r="F10" s="3" t="inlineStr">
        <is>
          <t>3920.43.0000</t>
        </is>
      </c>
      <c r="G10" s="3" t="inlineStr">
        <is>
          <t>4911 10 90</t>
        </is>
      </c>
      <c r="H10" s="4" t="n">
        <v>6</v>
      </c>
    </row>
    <row r="11">
      <c r="A11" s="2" t="inlineStr">
        <is>
          <t>2026100076288</t>
        </is>
      </c>
      <c r="B11" s="2" t="inlineStr">
        <is>
          <t>POP 2026</t>
        </is>
      </c>
      <c r="C11" s="2" t="inlineStr">
        <is>
          <t>9126_DARN</t>
        </is>
      </c>
      <c r="D11" s="2" t="inlineStr">
        <is>
          <t>Medium Rack Header - Hunt</t>
        </is>
      </c>
      <c r="E11" s="2" t="n">
        <v>3</v>
      </c>
      <c r="F11" s="3" t="inlineStr">
        <is>
          <t>3920.43.0000</t>
        </is>
      </c>
      <c r="G11" s="3" t="inlineStr">
        <is>
          <t>4911 10 90</t>
        </is>
      </c>
      <c r="H11" s="4" t="n">
        <v>6</v>
      </c>
    </row>
    <row r="12">
      <c r="A12" s="2" t="inlineStr">
        <is>
          <t>2026100076288</t>
        </is>
      </c>
      <c r="B12" s="2" t="inlineStr">
        <is>
          <t>POP 2026</t>
        </is>
      </c>
      <c r="C12" s="2" t="inlineStr">
        <is>
          <t>9134_DARN</t>
        </is>
      </c>
      <c r="D12" s="2" t="inlineStr">
        <is>
          <t>Medium Rack Header - Run-Road 2021-1044</t>
        </is>
      </c>
      <c r="E12" s="2" t="n">
        <v>3</v>
      </c>
      <c r="F12" s="3" t="inlineStr">
        <is>
          <t>4823.90.8600</t>
        </is>
      </c>
      <c r="G12" s="3" t="inlineStr">
        <is>
          <t>4911 10 90</t>
        </is>
      </c>
      <c r="H12" s="4" t="n">
        <v>15</v>
      </c>
    </row>
    <row r="13">
      <c r="A13" s="2" t="inlineStr">
        <is>
          <t>2026100076288</t>
        </is>
      </c>
      <c r="B13" s="2" t="inlineStr">
        <is>
          <t>POP 2026</t>
        </is>
      </c>
      <c r="C13" s="2" t="inlineStr">
        <is>
          <t>9143_DARN</t>
        </is>
      </c>
      <c r="D13" s="2" t="inlineStr">
        <is>
          <t>DTV Retail Rug</t>
        </is>
      </c>
      <c r="E13" s="2" t="n">
        <v>30</v>
      </c>
      <c r="F13" s="2" t="inlineStr">
        <is>
          <t>5702.32.10.00</t>
        </is>
      </c>
      <c r="G13" s="2" t="inlineStr">
        <is>
          <t>5702 42 00</t>
        </is>
      </c>
      <c r="H13" s="4" t="n">
        <v>60</v>
      </c>
    </row>
    <row r="14">
      <c r="A14" s="2" t="inlineStr">
        <is>
          <t>2026100076288</t>
        </is>
      </c>
      <c r="B14" s="2" t="inlineStr">
        <is>
          <t>POP 2026</t>
        </is>
      </c>
      <c r="C14" s="2" t="inlineStr">
        <is>
          <t>9147_DARN</t>
        </is>
      </c>
      <c r="D14" s="2" t="inlineStr">
        <is>
          <t>DTV CREW Foot Form</t>
        </is>
      </c>
      <c r="E14" s="2" t="n">
        <v>20</v>
      </c>
      <c r="F14" s="2" t="inlineStr">
        <is>
          <t>9618.00.00</t>
        </is>
      </c>
      <c r="G14" s="2" t="inlineStr">
        <is>
          <t>9618 00 00</t>
        </is>
      </c>
      <c r="H14" s="4" t="n">
        <v>40</v>
      </c>
    </row>
    <row r="15">
      <c r="A15" s="2" t="inlineStr">
        <is>
          <t>2026100076288</t>
        </is>
      </c>
      <c r="B15" s="2" t="inlineStr">
        <is>
          <t>POP 2026</t>
        </is>
      </c>
      <c r="C15" s="2" t="inlineStr">
        <is>
          <t>9158_DARN</t>
        </is>
      </c>
      <c r="D15" s="2" t="inlineStr">
        <is>
          <t>DT OTC Foot Form</t>
        </is>
      </c>
      <c r="E15" s="2" t="n">
        <v>20</v>
      </c>
      <c r="F15" s="2" t="inlineStr">
        <is>
          <t>9618.00.00</t>
        </is>
      </c>
      <c r="G15" s="2" t="inlineStr">
        <is>
          <t>9618 00 00</t>
        </is>
      </c>
      <c r="H15" s="4" t="n">
        <v>40</v>
      </c>
    </row>
    <row r="16">
      <c r="A16" s="2" t="inlineStr">
        <is>
          <t>2026100076288</t>
        </is>
      </c>
      <c r="B16" s="2" t="inlineStr">
        <is>
          <t>POP 2026</t>
        </is>
      </c>
      <c r="C16" s="2" t="inlineStr">
        <is>
          <t>9160_DARN</t>
        </is>
      </c>
      <c r="D16" s="2" t="inlineStr">
        <is>
          <t>Dog Mill Header for Medium Racks</t>
        </is>
      </c>
      <c r="E16" s="2" t="n">
        <v>5</v>
      </c>
      <c r="F16" s="3" t="inlineStr">
        <is>
          <t>3920.43.0000</t>
        </is>
      </c>
      <c r="G16" s="3" t="inlineStr">
        <is>
          <t>4911 10 90</t>
        </is>
      </c>
      <c r="H16" s="4" t="n">
        <v>50</v>
      </c>
    </row>
    <row r="17">
      <c r="A17" s="2" t="inlineStr">
        <is>
          <t>2026100076288</t>
        </is>
      </c>
      <c r="B17" s="2" t="inlineStr">
        <is>
          <t>POP 2026</t>
        </is>
      </c>
      <c r="C17" s="2" t="inlineStr">
        <is>
          <t>9176_DARN</t>
        </is>
      </c>
      <c r="D17" s="2" t="inlineStr">
        <is>
          <t>DT Small Retail Rack Top &amp; Base</t>
        </is>
      </c>
      <c r="E17" s="2" t="n">
        <v>20</v>
      </c>
      <c r="F17" s="2" t="inlineStr">
        <is>
          <t>9403.20.00.86</t>
        </is>
      </c>
      <c r="G17" s="2" t="inlineStr">
        <is>
          <t>9403 20 80</t>
        </is>
      </c>
      <c r="H17" s="4" t="n">
        <v>200</v>
      </c>
    </row>
    <row r="18">
      <c r="A18" s="2" t="inlineStr">
        <is>
          <t>2026100076288</t>
        </is>
      </c>
      <c r="B18" s="2" t="inlineStr">
        <is>
          <t>POP 2026</t>
        </is>
      </c>
      <c r="C18" s="2" t="inlineStr">
        <is>
          <t>9177_DARN</t>
        </is>
      </c>
      <c r="D18" s="2" t="inlineStr">
        <is>
          <t>DT Medium Retail Rack Top &amp; Base</t>
        </is>
      </c>
      <c r="E18" s="2" t="n">
        <v>10</v>
      </c>
      <c r="F18" s="2" t="inlineStr">
        <is>
          <t>9403.20.00.86</t>
        </is>
      </c>
      <c r="G18" s="2" t="inlineStr">
        <is>
          <t>9403 20 80</t>
        </is>
      </c>
      <c r="H18" s="4" t="n">
        <v>100</v>
      </c>
    </row>
    <row r="19">
      <c r="A19" s="2" t="inlineStr">
        <is>
          <t>2026100076288</t>
        </is>
      </c>
      <c r="B19" s="2" t="inlineStr">
        <is>
          <t>POP 2026</t>
        </is>
      </c>
      <c r="C19" s="2" t="inlineStr">
        <is>
          <t>9178_DARN</t>
        </is>
      </c>
      <c r="D19" s="2" t="inlineStr">
        <is>
          <t>DT Large Wings Only Retail Rack</t>
        </is>
      </c>
      <c r="E19" s="2" t="n">
        <v>2</v>
      </c>
      <c r="F19" s="2" t="inlineStr">
        <is>
          <t>9403.20.00.86</t>
        </is>
      </c>
      <c r="G19" s="2" t="inlineStr">
        <is>
          <t>9403 99 10</t>
        </is>
      </c>
      <c r="H19" s="4" t="n">
        <v>20</v>
      </c>
    </row>
    <row r="20">
      <c r="A20" s="2" t="inlineStr">
        <is>
          <t>2026100076288</t>
        </is>
      </c>
      <c r="B20" s="2" t="inlineStr">
        <is>
          <t>POP 2026</t>
        </is>
      </c>
      <c r="C20" s="2" t="inlineStr">
        <is>
          <t>9179_DARN</t>
        </is>
      </c>
      <c r="D20" s="2" t="inlineStr">
        <is>
          <t>Willoughby (25 Pack)</t>
        </is>
      </c>
      <c r="E20" s="2" t="n">
        <v>100</v>
      </c>
      <c r="F20" s="3" t="inlineStr">
        <is>
          <t>4908.90.5060</t>
        </is>
      </c>
      <c r="G20" s="3" t="inlineStr">
        <is>
          <t>4911 10 90</t>
        </is>
      </c>
      <c r="H20" s="4" t="n">
        <v>1000</v>
      </c>
    </row>
    <row r="21">
      <c r="A21" s="6" t="inlineStr">
        <is>
          <t>CELKEM</t>
        </is>
      </c>
      <c r="B21" s="6" t="inlineStr"/>
      <c r="C21" s="6" t="inlineStr"/>
      <c r="D21" s="6" t="inlineStr"/>
      <c r="E21" s="6" t="n">
        <v>266</v>
      </c>
      <c r="F21" s="6" t="inlineStr"/>
      <c r="G21" s="6" t="inlineStr"/>
      <c r="H21" s="7" t="n">
        <v>1622</v>
      </c>
    </row>
    <row r="23">
      <c r="A23" s="10" t="inlineStr">
        <is>
          <t>Žlutě: US HTS kód na faktuře se liší od kódu KN použitého pro dovozní JSD (běžná odchylka US HTS vs. EU KN).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1">
        <f>== ZÁSILKA ===</f>
        <v/>
      </c>
    </row>
    <row r="2">
      <c r="A2" s="12" t="inlineStr">
        <is>
          <t>Klient / příjemce (CZ): ADVENTURE GUY S.R.O., Radlická 348/142, Praha 5, 150 00, Česká republika</t>
        </is>
      </c>
    </row>
    <row r="3">
      <c r="A3" s="12" t="inlineStr">
        <is>
          <t>Dodací adresa: Adventure Guy, Tomáš Man, Resin 6, Bezdružice 349 53, CZ</t>
        </is>
      </c>
    </row>
    <row r="4">
      <c r="A4" s="12" t="inlineStr">
        <is>
          <t>Odesílatel: Cabot Hosiery Mills (Darn Tough), 364 Whetstone Drive, PO Box 307, Northfield VT 05663, USA</t>
        </is>
      </c>
    </row>
    <row r="5">
      <c r="A5" s="12" t="inlineStr">
        <is>
          <t>Místo odeslání dle packing slipů: 6390 Commerce Ct, Groveport OH 43125, USA</t>
        </is>
      </c>
    </row>
    <row r="6">
      <c r="A6" s="12" t="inlineStr">
        <is>
          <t>Faktury: 2026100076281 (objednávka 0010229255, PO „FW26 - PART 1-2“) a 2026100076288 (objednávka 0010242510, PO „POP 2026“), obě ze dne 15.7.2026</t>
        </is>
      </c>
    </row>
    <row r="7">
      <c r="A7" s="12" t="inlineStr">
        <is>
          <t>Zákaznické č.: 9575 | Platební podmínky: N45, splatnost 28.8.2026</t>
        </is>
      </c>
    </row>
    <row r="8">
      <c r="A8" s="12" t="inlineStr">
        <is>
          <t>Celkem: 266 ks, 1 622,00 USD (faktura 76281: 26 ks / 37,00 USD; faktura 76288: 240 ks / 1 585,00 USD)</t>
        </is>
      </c>
    </row>
    <row r="9">
      <c r="A9" s="12" t="inlineStr">
        <is>
          <t>Množství na fakturách bylo odsouhlaseno kus po kuse proti oběma packing slipům – sedí přesně (26 ks i 240 ks).</t>
        </is>
      </c>
    </row>
    <row r="10">
      <c r="A10" s="12" t="inlineStr"/>
    </row>
    <row r="11">
      <c r="A11" s="11">
        <f>== ⚠️ PREFERENČNÍ VĚTA / COO – DŮLEŽITÉ ===</f>
        <v/>
      </c>
    </row>
    <row r="12">
      <c r="A12" s="12" t="inlineStr">
        <is>
          <t>V žádném z dodaných dokladů (obě faktury ani oba packing slipy) NENÍ uvedena preferenční věta (prohlášení o preferenčním původu).</t>
        </is>
      </c>
    </row>
    <row r="13">
      <c r="A13" s="12" t="inlineStr">
        <is>
          <t>Země původu deklarovaná na fakturách: US (Spojené státy) u všech položek.</t>
        </is>
      </c>
    </row>
    <row r="14">
      <c r="A14" s="13" t="inlineStr">
        <is>
          <t>→ EU nemá se Spojenými státy dohodu o preferenčním obchodu, preferenční sazební zacházení tedy nelze uplatnit ani při doložení věty.</t>
        </is>
      </c>
    </row>
    <row r="15">
      <c r="A15" s="13" t="inlineStr">
        <is>
          <t>→ Uplatní se běžné třetizemní (erga omnes) clo dle TARIC.</t>
        </is>
      </c>
    </row>
    <row r="16">
      <c r="A16" s="12" t="inlineStr">
        <is>
          <t>Orientační sazby erga omnes (nutno ověřit v TARIC ke dni podání JSD):</t>
        </is>
      </c>
    </row>
    <row r="17">
      <c r="A17" s="12" t="inlineStr">
        <is>
          <t xml:space="preserve">   4911 10 90 – 0 %  |  8310 00 00 – 0 %  |  5702 42 00 – 8 %  |  9403 20 80 – 2,7 %  |  9403 99 10 – 2,7 %  |  9403 60 30 – 2,7 %  |  9618 00 00 – 1,7 %</t>
        </is>
      </c>
    </row>
    <row r="18">
      <c r="A18" s="12" t="inlineStr"/>
    </row>
    <row r="19">
      <c r="A19" s="11">
        <f>== CBAM ===</f>
        <v/>
      </c>
    </row>
    <row r="20">
      <c r="A20" s="12" t="inlineStr">
        <is>
          <t>V zásilce NENÍ žádná položka podléhající CBAM.</t>
        </is>
      </c>
    </row>
    <row r="21">
      <c r="A21" s="12" t="inlineStr">
        <is>
          <t>Žádný z kódů KN v této zásilce (4911 10 90, 5702 42 00, 8310 00 00, 9403 20 80, 9403 60 30, 9403 99 10, 9618 00 00) není uveden v příloze I nařízení o CBAM.</t>
        </is>
      </c>
    </row>
    <row r="22">
      <c r="A22" s="12" t="inlineStr">
        <is>
          <t>Pozor: některé položky ocel obsahují (prodejní stojany, „wings“, logo deska), ale jako hotové výrobky se zařazují do kap. 94 a 83, které do CBAM nespadají. CBAM se řídí kódem KN dovezeného zboží, nikoli materiálem.</t>
        </is>
      </c>
    </row>
    <row r="23">
      <c r="A23" s="13" t="inlineStr">
        <is>
          <t>→ Do JSD se pro tuto zásilku žádný Y kód (Y128 / Y238 / Y137) neuvádí.</t>
        </is>
      </c>
    </row>
    <row r="24">
      <c r="A24" s="12" t="inlineStr"/>
    </row>
    <row r="25">
      <c r="A25" s="13" t="inlineStr">
        <is>
          <t>⚠️ POZNÁMKA K REGISTRU CBAM: Příjemce ADVENTURE GUY S.R.O. NENÍ uveden v reference/CBAM_receivers_CZ.xlsx (list List1, sloupec Firma ani EORI).</t>
        </is>
      </c>
    </row>
    <row r="26">
      <c r="A26" s="12" t="inlineStr">
        <is>
          <t>Pro tuto zásilku to nevadí (žádné CBAM zboží), ale pro budoucí zásilky s CBAM zbožím je potřeba firmu prověřit a do registru doplnit.</t>
        </is>
      </c>
    </row>
    <row r="27">
      <c r="A27" s="12" t="inlineStr">
        <is>
          <t>Firma rovněž není mezi společnostmi využívajícími sdílený účet CBAM-CZ-2025-QGM67089385721.</t>
        </is>
      </c>
    </row>
    <row r="28">
      <c r="A28" s="12" t="inlineStr"/>
    </row>
    <row r="29">
      <c r="A29" s="11">
        <f>== ANTIDUMPING ===</f>
        <v/>
      </c>
    </row>
    <row r="30">
      <c r="A30" s="12" t="inlineStr">
        <is>
          <t>Žádná z položek zásilky nepodléhá antidumpingovému clu – původ zboží je US a na uvedené kódy KN nejsou vůči USA zavedena antidumpingová opatření.</t>
        </is>
      </c>
    </row>
    <row r="31">
      <c r="A31" s="12" t="inlineStr">
        <is>
          <t>Doporučeno ověřit v TARIC ke dni podání JSD.</t>
        </is>
      </c>
    </row>
    <row r="32">
      <c r="A32" s="12" t="inlineStr"/>
    </row>
    <row r="33">
      <c r="A33" s="11">
        <f>== ⚠️ INCOTERM ===</f>
        <v/>
      </c>
    </row>
    <row r="34">
      <c r="A34" s="12" t="inlineStr">
        <is>
          <t>Faktury uvádějí FREIGHT TERMS: EXW – ale BEZ uvedeného místa dodání (města).</t>
        </is>
      </c>
    </row>
    <row r="35">
      <c r="A35" s="12" t="inlineStr">
        <is>
          <t>Packing slipy uvádějí jako místo odeslání 6390 Commerce Ct, Groveport OH 43125 → pravděpodobně EXW Groveport, OH.</t>
        </is>
      </c>
    </row>
    <row r="36">
      <c r="A36" s="12" t="inlineStr">
        <is>
          <t>Sídlo prodávajícího je však Northfield, VT (adresa na faktuře).</t>
        </is>
      </c>
    </row>
    <row r="37">
      <c r="A37" s="13" t="inlineStr">
        <is>
          <t>→ NUTNO POTVRDIT s odesílatelem, které místo k doložce EXW patří, před podáním JSD.</t>
        </is>
      </c>
    </row>
    <row r="38">
      <c r="A38" s="13" t="inlineStr">
        <is>
          <t>→ Při EXW nejsou v ceně zahrnuty náklady na dopravu – do celní hodnoty je nutno připočíst dopravné a pojistné do místa vstupu do EU. Freight Charges na fakturách = 0,00 USD.</t>
        </is>
      </c>
    </row>
    <row r="39">
      <c r="A39" s="12" t="inlineStr"/>
    </row>
    <row r="40">
      <c r="A40" s="11">
        <f>== ⚠️ HMOTNOSTI – CHYBÍ ===</f>
        <v/>
      </c>
    </row>
    <row r="41">
      <c r="A41" s="12" t="inlineStr">
        <is>
          <t>Čistá ani hrubá hmotnost NEJSOU uvedeny v žádném z dodaných dokladů (faktury, packing slipy ani sazební zařazení).</t>
        </is>
      </c>
    </row>
    <row r="42">
      <c r="A42" s="12" t="inlineStr">
        <is>
          <t>Packing slipy uvádějí pouze počty kusů a čísla kartonů, nikoli hmotnosti.</t>
        </is>
      </c>
    </row>
    <row r="43">
      <c r="A43" s="13" t="inlineStr">
        <is>
          <t>→ Nutno vyžádat od odesílatele nebo dopravce (LTL Carrier) – ideálně hmotnost po kartonech, aby šlo rozpočítat na jednotlivé kódy KN.</t>
        </is>
      </c>
    </row>
    <row r="44">
      <c r="A44" s="12" t="inlineStr">
        <is>
          <t>Sloupce v přehledu jsou ponechány a označeny „CHYBÍ“.</t>
        </is>
      </c>
    </row>
    <row r="45">
      <c r="A45" s="12" t="inlineStr"/>
    </row>
    <row r="46">
      <c r="A46" s="11">
        <f>== SLEVA ===</f>
        <v/>
      </c>
    </row>
    <row r="47">
      <c r="A47" s="12" t="inlineStr">
        <is>
          <t>Obchodní sleva se neuplatňuje – všechny řádky obou faktur mají DISCOUNT PERCENTAGE 0,00 % a sloupec DISCOUNT PRICE je prázdný.</t>
        </is>
      </c>
    </row>
    <row r="48">
      <c r="A48" s="12" t="inlineStr">
        <is>
          <t>Celní hodnota tedy odpovídá fakturované částce (Sub Total = Total Amount Due).</t>
        </is>
      </c>
    </row>
    <row r="49">
      <c r="A49" s="12" t="inlineStr"/>
    </row>
    <row r="50">
      <c r="A50" s="11">
        <f>== MĚNA ===</f>
        <v/>
      </c>
    </row>
    <row r="51">
      <c r="A51" s="12" t="inlineStr">
        <is>
          <t>Faktury jsou v USD. Pro JSD přepočítat celním kurzem platným ke dni přijetí celního prohlášení.</t>
        </is>
      </c>
    </row>
    <row r="52">
      <c r="A52" s="12" t="inlineStr"/>
    </row>
    <row r="53">
      <c r="A53" s="11">
        <f>== SAZEBNÍ ZAŘAZENÍ – ZDROJ ===</f>
        <v/>
      </c>
    </row>
    <row r="54">
      <c r="A54" s="12" t="inlineStr">
        <is>
          <t>Kódy KN převzaty z podkladu „Darn Tough TARIFF – sazební zařazení“ (listy 2026100076281 a 2026100076288), sloupce „Návrh HSC MW“ / „KN 2026“.</t>
        </is>
      </c>
    </row>
    <row r="55">
      <c r="A55" s="12" t="inlineStr">
        <is>
          <t>Popisy pro kolonku 31 JSD převzaty ze sloupce „Popis pro CP (kol. 31)“ téhož podkladu.</t>
        </is>
      </c>
    </row>
    <row r="56">
      <c r="A56" s="12" t="inlineStr">
        <is>
          <t>Dotazy na doplnění údajů byly zákazníkem zodpovězeny u SKU 9002, 9143, 9055, 9176, 9177, 9179 – odpovědi jsou zapracovány.</t>
        </is>
      </c>
    </row>
    <row r="57">
      <c r="A57" s="12" t="inlineStr">
        <is>
          <t>Zbývající nejistota: přesné složení rohože 9143 (zákazník uvádí, že složení nezná) – zařazení 5702 42 00 vychází z popisu „gumový spodek, potištěná syntetická nášlapná plocha, nevšívaná“.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2026-08-28T14:39:11Z</dcterms:created>
  <dcterms:modified xsi:type="dcterms:W3CDTF">2026-08-28T14:39:11Z</dcterms:modified>
</cp:coreProperties>
</file>