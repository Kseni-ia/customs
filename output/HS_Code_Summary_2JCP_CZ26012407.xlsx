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S Summary" sheetId="1" state="visible" r:id="rId1"/>
    <sheet name="Položky faktury" sheetId="2" state="visible" r:id="rId2"/>
    <sheet name="Poznámky a kontroly" sheetId="3" state="visible" r:id="rId3"/>
  </sheets>
  <definedNames/>
  <calcPr calcId="124519" fullCalcOnLoad="1"/>
</workbook>
</file>

<file path=xl/styles.xml><?xml version="1.0" encoding="utf-8"?>
<styleSheet xmlns="http://schemas.openxmlformats.org/spreadsheetml/2006/main">
  <numFmts count="1">
    <numFmt numFmtId="164" formatCode="#,##0.000"/>
  </numFmts>
  <fonts count="6">
    <font>
      <name val="Calibri"/>
      <family val="2"/>
      <color theme="1"/>
      <sz val="11"/>
      <scheme val="minor"/>
    </font>
    <font>
      <b val="1"/>
      <color rgb="001F3864"/>
      <sz val="13"/>
    </font>
    <font>
      <b val="1"/>
      <color rgb="001F3864"/>
      <sz val="10"/>
    </font>
    <font>
      <b val="1"/>
      <color rgb="00FFFFFF"/>
      <sz val="10"/>
    </font>
    <font>
      <b val="1"/>
    </font>
    <font>
      <b val="1"/>
      <color rgb="001F3864"/>
    </font>
  </fonts>
  <fills count="6">
    <fill>
      <patternFill/>
    </fill>
    <fill>
      <patternFill patternType="gray125"/>
    </fill>
    <fill>
      <patternFill patternType="solid">
        <fgColor rgb="001F3864"/>
      </patternFill>
    </fill>
    <fill>
      <patternFill patternType="solid">
        <fgColor rgb="00D9E1F2"/>
      </patternFill>
    </fill>
    <fill>
      <patternFill patternType="solid">
        <fgColor rgb="00C6EFCE"/>
      </patternFill>
    </fill>
    <fill>
      <patternFill patternType="solid">
        <fgColor rgb="00FFE699"/>
      </patternFill>
    </fill>
  </fills>
  <borders count="2">
    <border>
      <left/>
      <right/>
      <top/>
      <bottom/>
      <diagonal/>
    </border>
    <border>
      <left style="thin">
        <color rgb="008EA9DB"/>
      </left>
      <right style="thin">
        <color rgb="008EA9DB"/>
      </right>
      <top style="thin">
        <color rgb="008EA9DB"/>
      </top>
      <bottom style="thin">
        <color rgb="008EA9DB"/>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horizontal="center" vertical="center" wrapText="1"/>
    </xf>
    <xf numFmtId="0" fontId="0" fillId="0" borderId="1" applyAlignment="1" pivotButton="0" quotePrefix="0" xfId="0">
      <alignment vertical="top" wrapText="1"/>
    </xf>
    <xf numFmtId="3" fontId="0" fillId="0" borderId="1" applyAlignment="1" pivotButton="0" quotePrefix="0" xfId="0">
      <alignment vertical="top" wrapText="1"/>
    </xf>
    <xf numFmtId="164" fontId="0" fillId="0" borderId="1" applyAlignment="1" pivotButton="0" quotePrefix="0" xfId="0">
      <alignment vertical="top" wrapText="1"/>
    </xf>
    <xf numFmtId="4" fontId="0" fillId="0" borderId="1" applyAlignment="1" pivotButton="0" quotePrefix="0" xfId="0">
      <alignment vertical="top" wrapText="1"/>
    </xf>
    <xf numFmtId="0" fontId="4" fillId="3" borderId="1" pivotButton="0" quotePrefix="0" xfId="0"/>
    <xf numFmtId="3" fontId="4" fillId="3" borderId="1" pivotButton="0" quotePrefix="0" xfId="0"/>
    <xf numFmtId="164" fontId="4" fillId="3" borderId="1" pivotButton="0" quotePrefix="0" xfId="0"/>
    <xf numFmtId="4" fontId="4" fillId="3" borderId="1" pivotButton="0" quotePrefix="0" xfId="0"/>
    <xf numFmtId="0" fontId="4" fillId="4" borderId="0" applyAlignment="1" pivotButton="0" quotePrefix="0" xfId="0">
      <alignment vertical="top" wrapText="1"/>
    </xf>
    <xf numFmtId="0" fontId="4" fillId="0" borderId="0" applyAlignment="1" pivotButton="0" quotePrefix="0" xfId="0">
      <alignment vertical="top" wrapText="1"/>
    </xf>
    <xf numFmtId="0" fontId="4" fillId="5" borderId="0" applyAlignment="1" pivotButton="0" quotePrefix="0" xfId="0">
      <alignment vertical="top" wrapText="1"/>
    </xf>
    <xf numFmtId="0" fontId="0" fillId="0" borderId="1" pivotButton="0" quotePrefix="0" xfId="0"/>
    <xf numFmtId="4" fontId="0" fillId="0" borderId="1" pivotButton="0" quotePrefix="0" xfId="0"/>
    <xf numFmtId="0" fontId="0" fillId="3" borderId="0" pivotButton="0" quotePrefix="0" xfId="0"/>
    <xf numFmtId="0" fontId="4" fillId="3" borderId="0" pivotButton="0" quotePrefix="0" xfId="0"/>
    <xf numFmtId="4" fontId="4" fillId="3"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7"/>
  <sheetViews>
    <sheetView workbookViewId="0">
      <pane ySplit="15" topLeftCell="A16" activePane="bottomLeft" state="frozen"/>
      <selection pane="bottomLeft" activeCell="A1" sqref="A1"/>
    </sheetView>
  </sheetViews>
  <sheetFormatPr baseColWidth="8" defaultRowHeight="15"/>
  <cols>
    <col width="30" customWidth="1" min="1" max="1"/>
    <col width="12" customWidth="1" min="2" max="2"/>
    <col width="42" customWidth="1" min="3" max="3"/>
    <col width="42" customWidth="1" min="4" max="4"/>
    <col width="11" customWidth="1" min="5" max="5"/>
    <col width="12" customWidth="1" min="6" max="6"/>
    <col width="15" customWidth="1" min="7" max="7"/>
    <col width="15" customWidth="1" min="8" max="8"/>
    <col width="16" customWidth="1" min="9" max="9"/>
    <col width="12" customWidth="1" min="10" max="10"/>
    <col width="20" customWidth="1" min="11" max="11"/>
    <col width="52" customWidth="1" min="12" max="12"/>
  </cols>
  <sheetData>
    <row r="1">
      <c r="A1" s="1" t="inlineStr">
        <is>
          <t>SOUHRN HS KÓDŮ – 2JCP a.s. – zásilka OR/Import/CZ26012407</t>
        </is>
      </c>
    </row>
    <row r="3" ht="28" customHeight="1">
      <c r="A3" s="2" t="inlineStr">
        <is>
          <t>Klient / příjemce (CZ):</t>
        </is>
      </c>
      <c r="B3" s="3" t="inlineStr">
        <is>
          <t>2JCP a.s., Průmyslová 162, 674 01 Třebíč (dle faktury) / Račice 126, 411 08 Štětí (dle HBL) – viz poznámka k rozporu</t>
        </is>
      </c>
    </row>
    <row r="4" ht="28" customHeight="1">
      <c r="A4" s="2" t="inlineStr">
        <is>
          <t>Odesílatel / vývozce:</t>
        </is>
      </c>
      <c r="B4" s="3" t="inlineStr">
        <is>
          <t>EagleBurgmann KE Private Limited, Survey No. 109/2A-1B, Old GNT Road, Karanodai, Sholavaram, Chennai 600 067, Indie</t>
        </is>
      </c>
    </row>
    <row r="5" ht="28" customHeight="1">
      <c r="A5" s="2" t="inlineStr">
        <is>
          <t>Kupující / fakturováno na:</t>
        </is>
      </c>
      <c r="B5" s="3" t="inlineStr">
        <is>
          <t>EagleBurgmann KE A/S, Odinsvej 1, 6950 Ringkøbing, Dánsko – clení v dánském EORI EagleBurgmann (dle pokynu Moniky Karlíkové)</t>
        </is>
      </c>
    </row>
    <row r="6" ht="28" customHeight="1">
      <c r="A6" s="2" t="inlineStr">
        <is>
          <t>Faktura / datum:</t>
        </is>
      </c>
      <c r="B6" s="3" t="inlineStr">
        <is>
          <t>č. 266 ze dne 9. 7. 2026 (job DEN01029/26, PO 4500068539 z 26. 2. 2026)</t>
        </is>
      </c>
    </row>
    <row r="7" ht="28" customHeight="1">
      <c r="A7" s="2" t="inlineStr">
        <is>
          <t>Přeprava:</t>
        </is>
      </c>
      <c r="B7" s="3" t="inlineStr">
        <is>
          <t>MBL MAA/PRG/01684 + HBL SEF/MAA/000013/26-27, MSC ROMA 0NNNPW1MA, Ennore/Chennai → Hamburg → Praha, LCL/LCL, freight collect, Express release</t>
        </is>
      </c>
    </row>
    <row r="8" ht="28" customHeight="1">
      <c r="A8" s="2" t="inlineStr">
        <is>
          <t>Kontejner / balení:</t>
        </is>
      </c>
      <c r="B8" s="3" t="inlineStr">
        <is>
          <t>WBPU 706803-3 (40'HC), plomba M8979025, 1 dřevěná bedna, 10,098 m³, značka DEN01029/26</t>
        </is>
      </c>
    </row>
    <row r="9" ht="28" customHeight="1">
      <c r="A9" s="2" t="inlineStr">
        <is>
          <t>Země původu:</t>
        </is>
      </c>
      <c r="B9" s="3" t="inlineStr">
        <is>
          <t>Indie (IN)</t>
        </is>
      </c>
    </row>
    <row r="10" ht="28" customHeight="1">
      <c r="A10" s="2" t="inlineStr">
        <is>
          <t>Země určení:</t>
        </is>
      </c>
      <c r="B10" s="3" t="inlineStr">
        <is>
          <t>Česká republika (CZ)</t>
        </is>
      </c>
    </row>
    <row r="11" ht="28" customHeight="1">
      <c r="A11" s="2" t="inlineStr">
        <is>
          <t>Incoterm:</t>
        </is>
      </c>
      <c r="B11" s="3" t="inlineStr">
        <is>
          <t>EXW Chennai (Indie) – dle faktury „Terms of Delivery: EXW“, místo nakládky Chennai</t>
        </is>
      </c>
    </row>
    <row r="12" ht="28" customHeight="1">
      <c r="A12" s="2" t="inlineStr">
        <is>
          <t>Měna:</t>
        </is>
      </c>
      <c r="B12" s="3" t="inlineStr">
        <is>
          <t>DKK (dánská koruna) – přepočet na CZK celním kurzem platným pro měsíc podání JSD</t>
        </is>
      </c>
    </row>
    <row r="13" ht="28" customHeight="1">
      <c r="A13" s="2" t="inlineStr">
        <is>
          <t>Očekávaný příchod:</t>
        </is>
      </c>
      <c r="B13" s="3" t="inlineStr">
        <is>
          <t>ECU WORLDWIDE (CZ) s.r.o., Hrušov – cca 20. 9. 2026, dle e-mailu bude SCP</t>
        </is>
      </c>
    </row>
    <row r="15" ht="34" customHeight="1">
      <c r="A15" s="4" t="inlineStr">
        <is>
          <t>Odesílatel</t>
        </is>
      </c>
      <c r="B15" s="4" t="inlineStr">
        <is>
          <t>HS kód</t>
        </is>
      </c>
      <c r="C15" s="4" t="inlineStr">
        <is>
          <t>Popis zboží (dle faktury)</t>
        </is>
      </c>
      <c r="D15" s="4" t="inlineStr">
        <is>
          <t>Popis zboží (CZ)</t>
        </is>
      </c>
      <c r="E15" s="4" t="inlineStr">
        <is>
          <t>Země původu</t>
        </is>
      </c>
      <c r="F15" s="4" t="inlineStr">
        <is>
          <t>Množství (ks)</t>
        </is>
      </c>
      <c r="G15" s="4" t="inlineStr">
        <is>
          <t>Čistá hmotnost (kg)</t>
        </is>
      </c>
      <c r="H15" s="4" t="inlineStr">
        <is>
          <t>Hrubá hmotnost (kg)</t>
        </is>
      </c>
      <c r="I15" s="4" t="inlineStr">
        <is>
          <t>Hodnota zboží (DKK)</t>
        </is>
      </c>
      <c r="J15" s="4" t="inlineStr">
        <is>
          <t>Balné (DKK)</t>
        </is>
      </c>
      <c r="K15" s="4" t="inlineStr">
        <is>
          <t>Celní hodnota – základ (DKK)</t>
        </is>
      </c>
      <c r="L15" s="4" t="inlineStr">
        <is>
          <t>Poznámka</t>
        </is>
      </c>
    </row>
    <row r="16" ht="90" customHeight="1">
      <c r="A16" s="5" t="inlineStr">
        <is>
          <t>EagleBurgmann KE Private Limited, Chennai, Indie</t>
        </is>
      </c>
      <c r="B16" s="5" t="inlineStr">
        <is>
          <t>70199000</t>
        </is>
      </c>
      <c r="C16" s="5" t="inlineStr">
        <is>
          <t>Non Metalic Expansion Joint (Fabric Expansion Joint, Bolster Type 66, Steel Foil HF, Wiremesh 16/16, KE Pulse Breaker A, KE1400 HT, Joining Kit)</t>
        </is>
      </c>
      <c r="D16" s="5" t="inlineStr">
        <is>
          <t>Nekovové kompenzátory ze skleněných vláken – tkaninové kompenzátory, izolační vložky (bolstery), ocelové fólie, drátěné síťoviny, tlumič pulzací, spojovací sady</t>
        </is>
      </c>
      <c r="E16" s="5" t="inlineStr">
        <is>
          <t>IN</t>
        </is>
      </c>
      <c r="F16" s="6" t="n">
        <v>35</v>
      </c>
      <c r="G16" s="7" t="n">
        <v>1180</v>
      </c>
      <c r="H16" s="7" t="n">
        <v>1420</v>
      </c>
      <c r="I16" s="8" t="n">
        <v>207779.39</v>
      </c>
      <c r="J16" s="8" t="n">
        <v>5450</v>
      </c>
      <c r="K16" s="8" t="n">
        <v>213229.39</v>
      </c>
      <c r="L16" s="5" t="inlineStr">
        <is>
          <t>Jediný HS kód dle faktury a B/L (HS Tariff 70 19 90 00). Balné 5 450 DKK je součástí celní hodnoty (čl. 71 UCC). K celní hodnotě nutno přičíst dopravné do místa vstupu do EU – EXW + freight collect (viz list „Poznámky a kontroly“).</t>
        </is>
      </c>
    </row>
    <row r="17">
      <c r="A17" s="9" t="inlineStr">
        <is>
          <t>CELKEM</t>
        </is>
      </c>
      <c r="B17" s="9" t="inlineStr"/>
      <c r="C17" s="9" t="inlineStr"/>
      <c r="D17" s="9" t="inlineStr"/>
      <c r="E17" s="9" t="inlineStr"/>
      <c r="F17" s="10" t="n">
        <v>35</v>
      </c>
      <c r="G17" s="11" t="n">
        <v>1180</v>
      </c>
      <c r="H17" s="11" t="n">
        <v>1420</v>
      </c>
      <c r="I17" s="12" t="n">
        <v>207779.39</v>
      </c>
      <c r="J17" s="12" t="n">
        <v>5450</v>
      </c>
      <c r="K17" s="12" t="n">
        <v>213229.39</v>
      </c>
      <c r="L17" s="9" t="inlineStr"/>
    </row>
    <row r="19">
      <c r="A19" s="1" t="inlineStr">
        <is>
          <t>PŘÍZNAKY A KONTROLY</t>
        </is>
      </c>
    </row>
    <row r="20" ht="62" customHeight="1">
      <c r="A20" s="13" t="inlineStr">
        <is>
          <t>🟢 PREFERENČNÍ VĚTA – ANO</t>
        </is>
      </c>
      <c r="B20" s="3" t="inlineStr">
        <is>
          <t>Na faktuře je uvedeno preferenční prohlášení (REX): „The exporter Ms. EagleBurgmann KE Pvt. Ltd., REX Registration No.: INREX0500068909EC013 of the products covered by this document declares that, except where otherwise clearly indicated, these products are of "INDIA" preferential origin according to rules of origin of the Generalized System of Preferences of the European Union and that the origin criterion met is "W" [Heading of HS System: 7019].“ → Uplatnit preferenční celní sazbu GSP pro Indii místo standardní sazby erga omnes. KRITICKÉ pro správné vyclení – ověřit platnost REX čísla v databázi REX a sazbu v TARIC ke dni přijetí JSD.</t>
        </is>
      </c>
    </row>
    <row r="21" ht="62" customHeight="1">
      <c r="A21" s="14" t="inlineStr">
        <is>
          <t>⚪ CBAM – netýká se</t>
        </is>
      </c>
      <c r="B21" s="3" t="inlineStr">
        <is>
          <t>HS 7019 90 00 (výrobky ze skleněných vláken) není zbožím podle přílohy I nařízení CBAM (cement, železo a ocel, hliník, hnojiva, elektřina, vodík). CBAM kód se v této zásilce neuvádí. Pozn.: příjemce 2JCP a.s. ani EagleBurgmann KE A/S NEJSOU v registru reference/CBAM_receivers_CZ.xlsx – pokud by v budoucí zásilce bylo CBAM zboží, je nutné firmu prověřit a do registru doplnit.</t>
        </is>
      </c>
    </row>
    <row r="22" ht="62" customHeight="1">
      <c r="A22" s="14" t="inlineStr">
        <is>
          <t>⚪ Antidumping – dle původu se nepředpokládá</t>
        </is>
      </c>
      <c r="B22" s="3" t="inlineStr">
        <is>
          <t>Antidumpingová/vyrovnávací opatření EU na výrobky ze skleněných vláken (kap. 7019) se vztahují na původ ČLR a Egypt. Původ tohoto zboží je INDIE, opatření by se tedy uplatnit neměla. Přesto ověřit v TARIC pro kód 7019 90 00 / původ IN ke dni podání JSD.</t>
        </is>
      </c>
    </row>
    <row r="23" ht="62" customHeight="1">
      <c r="A23" s="15" t="inlineStr">
        <is>
          <t>🟡 Celní hodnota – dopravné</t>
        </is>
      </c>
      <c r="B23" s="3" t="inlineStr">
        <is>
          <t>Dodací podmínka EXW Chennai, přeprava „freight collect“, všechny náklady v destinaci hrazeny při dodání. Do celní hodnoty je nutno připočíst náklady dopravy a pojištění až na místo vstupu do EU (Hamburk). Vyžádat si od ECU Worldwide / Maurice Ward rozpis přepravného.</t>
        </is>
      </c>
    </row>
    <row r="24" ht="62" customHeight="1">
      <c r="A24" s="15" t="inlineStr">
        <is>
          <t>🟡 Clení v dánském EORI</t>
        </is>
      </c>
      <c r="B24" s="3" t="inlineStr">
        <is>
          <t>Dle pokynu zákazníka má být zásilka vyclena na dánské EORI EagleBurgmann (EagleBurgmann KE A/S, Dánsko) jako obvykle, ačkoli zboží fyzicky míří k 2JCP a.s. v ČR. Ověřit platnou plnou moc (nepřímé zastoupení) a DPH režim dovozu v ČR pro subjekt neusazený v ČR.</t>
        </is>
      </c>
    </row>
    <row r="25" ht="62" customHeight="1">
      <c r="A25" s="15" t="inlineStr">
        <is>
          <t>🟡 Rozpor v adrese příjemce</t>
        </is>
      </c>
      <c r="B25" s="3" t="inlineStr">
        <is>
          <t>Faktura/packing list uvádí 2JCP, Průmyslová 162, 674 01 Třebíč; HBL uvádí 2JCP, Račice 126, 411 08 Štětí. Před podáním JSD potvrdit správnou adresu (a EORI) příjemce.</t>
        </is>
      </c>
    </row>
    <row r="26" ht="62" customHeight="1">
      <c r="A26" s="15" t="inlineStr">
        <is>
          <t>🟡 Rozpor v packing listu</t>
        </is>
      </c>
      <c r="B26" s="3" t="inlineStr">
        <is>
          <t>Rozpis balení na packing listu uvádí „Pulse Breaker – 5 PC“, zatímco Annexure-I obsahuje 1 ks KE Pulse Breaker A. Součet položek Annexure-I = 35 ks a odpovídá deklarovanému celkovému množství 35 ks; rozpis v packing listu (39 ks) je zjevně chybný. Pro JSD použito množství dle Annexure-I.</t>
        </is>
      </c>
    </row>
    <row r="27" ht="62" customHeight="1">
      <c r="A27" s="14" t="inlineStr">
        <is>
          <t>⚪ Sleva</t>
        </is>
      </c>
      <c r="B27" s="3" t="inlineStr">
        <is>
          <t>Na faktuře není uvedena žádná obchodní sleva – proporcionální rozpouštění slevy se neuplatní.</t>
        </is>
      </c>
    </row>
  </sheetData>
  <mergeCells count="20">
    <mergeCell ref="B4:L4"/>
    <mergeCell ref="B26:L26"/>
    <mergeCell ref="B7:L7"/>
    <mergeCell ref="B25:L25"/>
    <mergeCell ref="B3:L3"/>
    <mergeCell ref="B22:L22"/>
    <mergeCell ref="B27:L27"/>
    <mergeCell ref="B12:L12"/>
    <mergeCell ref="B21:L21"/>
    <mergeCell ref="B11:L11"/>
    <mergeCell ref="B23:L23"/>
    <mergeCell ref="B8:L8"/>
    <mergeCell ref="B13:L13"/>
    <mergeCell ref="B10:L10"/>
    <mergeCell ref="B9:L9"/>
    <mergeCell ref="B6:L6"/>
    <mergeCell ref="A1:L1"/>
    <mergeCell ref="B24:L24"/>
    <mergeCell ref="B5:L5"/>
    <mergeCell ref="B20:L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2"/>
  <sheetViews>
    <sheetView workbookViewId="0">
      <pane ySplit="3" topLeftCell="A4" activePane="bottomLeft" state="frozen"/>
      <selection pane="bottomLeft" activeCell="A1" sqref="A1"/>
    </sheetView>
  </sheetViews>
  <sheetFormatPr baseColWidth="8" defaultRowHeight="15"/>
  <cols>
    <col width="7" customWidth="1" min="1" max="1"/>
    <col width="16" customWidth="1" min="2" max="2"/>
    <col width="30" customWidth="1" min="3" max="3"/>
    <col width="38" customWidth="1" min="4" max="4"/>
    <col width="13" customWidth="1" min="5" max="5"/>
    <col width="7" customWidth="1" min="6" max="6"/>
    <col width="16" customWidth="1" min="7" max="7"/>
    <col width="16" customWidth="1" min="8" max="8"/>
  </cols>
  <sheetData>
    <row r="1">
      <c r="A1" s="1" t="inlineStr">
        <is>
          <t>Faktura č. 266 / 9. 7. 2026 – Annexure-I (všechny položky pod HS 7019 90 00)</t>
        </is>
      </c>
    </row>
    <row r="3">
      <c r="A3" s="4" t="inlineStr">
        <is>
          <t>Pol.</t>
        </is>
      </c>
      <c r="B3" s="4" t="inlineStr">
        <is>
          <t>Číslo položky</t>
        </is>
      </c>
      <c r="C3" s="4" t="inlineStr">
        <is>
          <t>Popis (dle faktury)</t>
        </is>
      </c>
      <c r="D3" s="4" t="inlineStr">
        <is>
          <t>Popis (CZ)</t>
        </is>
      </c>
      <c r="E3" s="4" t="inlineStr">
        <is>
          <t>Množství (ks)</t>
        </is>
      </c>
      <c r="F3" s="4" t="inlineStr">
        <is>
          <t>MJ</t>
        </is>
      </c>
      <c r="G3" s="4" t="inlineStr">
        <is>
          <t>Jedn. cena (DKK)</t>
        </is>
      </c>
      <c r="H3" s="4" t="inlineStr">
        <is>
          <t>Celkem (DKK)</t>
        </is>
      </c>
    </row>
    <row r="4">
      <c r="A4" s="16" t="n">
        <v>10</v>
      </c>
      <c r="B4" s="16" t="inlineStr">
        <is>
          <t>1000744720</t>
        </is>
      </c>
      <c r="C4" s="16" t="inlineStr">
        <is>
          <t>Joining Kit</t>
        </is>
      </c>
      <c r="D4" s="16" t="inlineStr">
        <is>
          <t>Spojovací sada</t>
        </is>
      </c>
      <c r="E4" s="16" t="n">
        <v>1</v>
      </c>
      <c r="F4" s="16" t="inlineStr">
        <is>
          <t>PCS</t>
        </is>
      </c>
      <c r="G4" s="17" t="n">
        <v>166.27</v>
      </c>
      <c r="H4" s="17" t="n">
        <v>166.27</v>
      </c>
    </row>
    <row r="5">
      <c r="A5" s="16" t="n">
        <v>20</v>
      </c>
      <c r="B5" s="16" t="inlineStr">
        <is>
          <t>1001126491</t>
        </is>
      </c>
      <c r="C5" s="16" t="inlineStr">
        <is>
          <t>Joining Kit</t>
        </is>
      </c>
      <c r="D5" s="16" t="inlineStr">
        <is>
          <t>Spojovací sada</t>
        </is>
      </c>
      <c r="E5" s="16" t="n">
        <v>3</v>
      </c>
      <c r="F5" s="16" t="inlineStr">
        <is>
          <t>PCS</t>
        </is>
      </c>
      <c r="G5" s="17" t="n">
        <v>156.22</v>
      </c>
      <c r="H5" s="17" t="n">
        <v>468.66</v>
      </c>
    </row>
    <row r="6">
      <c r="A6" s="16" t="n">
        <v>30</v>
      </c>
      <c r="B6" s="16" t="inlineStr">
        <is>
          <t>1001167494</t>
        </is>
      </c>
      <c r="C6" s="16" t="inlineStr">
        <is>
          <t>Joining Kit</t>
        </is>
      </c>
      <c r="D6" s="16" t="inlineStr">
        <is>
          <t>Spojovací sada</t>
        </is>
      </c>
      <c r="E6" s="16" t="n">
        <v>1</v>
      </c>
      <c r="F6" s="16" t="inlineStr">
        <is>
          <t>PCS</t>
        </is>
      </c>
      <c r="G6" s="17" t="n">
        <v>223.18</v>
      </c>
      <c r="H6" s="17" t="n">
        <v>223.18</v>
      </c>
    </row>
    <row r="7">
      <c r="A7" s="16" t="n">
        <v>40</v>
      </c>
      <c r="B7" s="16" t="inlineStr">
        <is>
          <t>1001227778</t>
        </is>
      </c>
      <c r="C7" s="16" t="inlineStr">
        <is>
          <t>Joining Kit</t>
        </is>
      </c>
      <c r="D7" s="16" t="inlineStr">
        <is>
          <t>Spojovací sada</t>
        </is>
      </c>
      <c r="E7" s="16" t="n">
        <v>1</v>
      </c>
      <c r="F7" s="16" t="inlineStr">
        <is>
          <t>PCS</t>
        </is>
      </c>
      <c r="G7" s="17" t="n">
        <v>223.18</v>
      </c>
      <c r="H7" s="17" t="n">
        <v>223.18</v>
      </c>
    </row>
    <row r="8">
      <c r="A8" s="16" t="n">
        <v>50</v>
      </c>
      <c r="B8" s="16" t="inlineStr">
        <is>
          <t>1001428061</t>
        </is>
      </c>
      <c r="C8" s="16" t="inlineStr">
        <is>
          <t>Fabric Expansion Joint</t>
        </is>
      </c>
      <c r="D8" s="16" t="inlineStr">
        <is>
          <t>Tkaninový kompenzátor</t>
        </is>
      </c>
      <c r="E8" s="16" t="n">
        <v>1</v>
      </c>
      <c r="F8" s="16" t="inlineStr">
        <is>
          <t>PCS</t>
        </is>
      </c>
      <c r="G8" s="17" t="n">
        <v>33744.21</v>
      </c>
      <c r="H8" s="17" t="n">
        <v>33744.21</v>
      </c>
    </row>
    <row r="9">
      <c r="A9" s="16" t="n">
        <v>60</v>
      </c>
      <c r="B9" s="16" t="inlineStr">
        <is>
          <t>1001428062</t>
        </is>
      </c>
      <c r="C9" s="16" t="inlineStr">
        <is>
          <t>Fabric Expansion Joint</t>
        </is>
      </c>
      <c r="D9" s="16" t="inlineStr">
        <is>
          <t>Tkaninový kompenzátor</t>
        </is>
      </c>
      <c r="E9" s="16" t="n">
        <v>1</v>
      </c>
      <c r="F9" s="16" t="inlineStr">
        <is>
          <t>PCS</t>
        </is>
      </c>
      <c r="G9" s="17" t="n">
        <v>21521.61</v>
      </c>
      <c r="H9" s="17" t="n">
        <v>21521.61</v>
      </c>
    </row>
    <row r="10">
      <c r="A10" s="16" t="n">
        <v>70</v>
      </c>
      <c r="B10" s="16" t="inlineStr">
        <is>
          <t>1001428063</t>
        </is>
      </c>
      <c r="C10" s="16" t="inlineStr">
        <is>
          <t>KE Pulse Breaker A</t>
        </is>
      </c>
      <c r="D10" s="16" t="inlineStr">
        <is>
          <t>Tlumič pulzací KE typ A</t>
        </is>
      </c>
      <c r="E10" s="16" t="n">
        <v>1</v>
      </c>
      <c r="F10" s="16" t="inlineStr">
        <is>
          <t>PCS</t>
        </is>
      </c>
      <c r="G10" s="17" t="n">
        <v>16068.67</v>
      </c>
      <c r="H10" s="17" t="n">
        <v>16068.67</v>
      </c>
    </row>
    <row r="11">
      <c r="A11" s="16" t="n">
        <v>80</v>
      </c>
      <c r="B11" s="16" t="inlineStr">
        <is>
          <t>1001428064</t>
        </is>
      </c>
      <c r="C11" s="16" t="inlineStr">
        <is>
          <t>Bolster Type 66</t>
        </is>
      </c>
      <c r="D11" s="16" t="inlineStr">
        <is>
          <t>Izolační vložka (bolster) typ 66</t>
        </is>
      </c>
      <c r="E11" s="16" t="n">
        <v>1</v>
      </c>
      <c r="F11" s="16" t="inlineStr">
        <is>
          <t>PCS</t>
        </is>
      </c>
      <c r="G11" s="17" t="n">
        <v>6531.62</v>
      </c>
      <c r="H11" s="17" t="n">
        <v>6531.62</v>
      </c>
    </row>
    <row r="12">
      <c r="A12" s="16" t="n">
        <v>90</v>
      </c>
      <c r="B12" s="16" t="inlineStr">
        <is>
          <t>1001428065</t>
        </is>
      </c>
      <c r="C12" s="16" t="inlineStr">
        <is>
          <t>Bolster Type 66</t>
        </is>
      </c>
      <c r="D12" s="16" t="inlineStr">
        <is>
          <t>Izolační vložka (bolster) typ 66</t>
        </is>
      </c>
      <c r="E12" s="16" t="n">
        <v>1</v>
      </c>
      <c r="F12" s="16" t="inlineStr">
        <is>
          <t>PCS</t>
        </is>
      </c>
      <c r="G12" s="17" t="n">
        <v>6531.62</v>
      </c>
      <c r="H12" s="17" t="n">
        <v>6531.62</v>
      </c>
    </row>
    <row r="13">
      <c r="A13" s="16" t="n">
        <v>100</v>
      </c>
      <c r="B13" s="16" t="inlineStr">
        <is>
          <t>1001428066</t>
        </is>
      </c>
      <c r="C13" s="16" t="inlineStr">
        <is>
          <t>Bolster Type 66</t>
        </is>
      </c>
      <c r="D13" s="16" t="inlineStr">
        <is>
          <t>Izolační vložka (bolster) typ 66</t>
        </is>
      </c>
      <c r="E13" s="16" t="n">
        <v>1</v>
      </c>
      <c r="F13" s="16" t="inlineStr">
        <is>
          <t>PCS</t>
        </is>
      </c>
      <c r="G13" s="17" t="n">
        <v>6531.62</v>
      </c>
      <c r="H13" s="17" t="n">
        <v>6531.62</v>
      </c>
    </row>
    <row r="14">
      <c r="A14" s="16" t="n">
        <v>110</v>
      </c>
      <c r="B14" s="16" t="inlineStr">
        <is>
          <t>1001428067</t>
        </is>
      </c>
      <c r="C14" s="16" t="inlineStr">
        <is>
          <t>Bolster Type 66</t>
        </is>
      </c>
      <c r="D14" s="16" t="inlineStr">
        <is>
          <t>Izolační vložka (bolster) typ 66</t>
        </is>
      </c>
      <c r="E14" s="16" t="n">
        <v>1</v>
      </c>
      <c r="F14" s="16" t="inlineStr">
        <is>
          <t>PCS</t>
        </is>
      </c>
      <c r="G14" s="17" t="n">
        <v>9306.440000000001</v>
      </c>
      <c r="H14" s="17" t="n">
        <v>9306.440000000001</v>
      </c>
    </row>
    <row r="15">
      <c r="A15" s="16" t="n">
        <v>120</v>
      </c>
      <c r="B15" s="16" t="inlineStr">
        <is>
          <t>1001428068</t>
        </is>
      </c>
      <c r="C15" s="16" t="inlineStr">
        <is>
          <t>Bolster Type 66</t>
        </is>
      </c>
      <c r="D15" s="16" t="inlineStr">
        <is>
          <t>Izolační vložka (bolster) typ 66</t>
        </is>
      </c>
      <c r="E15" s="16" t="n">
        <v>2</v>
      </c>
      <c r="F15" s="16" t="inlineStr">
        <is>
          <t>PCS</t>
        </is>
      </c>
      <c r="G15" s="17" t="n">
        <v>3749.36</v>
      </c>
      <c r="H15" s="17" t="n">
        <v>7498.72</v>
      </c>
    </row>
    <row r="16">
      <c r="A16" s="16" t="n">
        <v>130</v>
      </c>
      <c r="B16" s="16" t="inlineStr">
        <is>
          <t>1001428069</t>
        </is>
      </c>
      <c r="C16" s="16" t="inlineStr">
        <is>
          <t>Bolster Type 66</t>
        </is>
      </c>
      <c r="D16" s="16" t="inlineStr">
        <is>
          <t>Izolační vložka (bolster) typ 66</t>
        </is>
      </c>
      <c r="E16" s="16" t="n">
        <v>2</v>
      </c>
      <c r="F16" s="16" t="inlineStr">
        <is>
          <t>PCS</t>
        </is>
      </c>
      <c r="G16" s="17" t="n">
        <v>10191.7</v>
      </c>
      <c r="H16" s="17" t="n">
        <v>20383.4</v>
      </c>
    </row>
    <row r="17">
      <c r="A17" s="16" t="n">
        <v>140</v>
      </c>
      <c r="B17" s="16" t="inlineStr">
        <is>
          <t>1001428070</t>
        </is>
      </c>
      <c r="C17" s="16" t="inlineStr">
        <is>
          <t>Bolster Type 66</t>
        </is>
      </c>
      <c r="D17" s="16" t="inlineStr">
        <is>
          <t>Izolační vložka (bolster) typ 66</t>
        </is>
      </c>
      <c r="E17" s="16" t="n">
        <v>3</v>
      </c>
      <c r="F17" s="16" t="inlineStr">
        <is>
          <t>PCS</t>
        </is>
      </c>
      <c r="G17" s="17" t="n">
        <v>8847.66</v>
      </c>
      <c r="H17" s="17" t="n">
        <v>26542.98</v>
      </c>
    </row>
    <row r="18">
      <c r="A18" s="16" t="n">
        <v>150</v>
      </c>
      <c r="B18" s="16" t="inlineStr">
        <is>
          <t>1001428071</t>
        </is>
      </c>
      <c r="C18" s="16" t="inlineStr">
        <is>
          <t>Bolster Type 66</t>
        </is>
      </c>
      <c r="D18" s="16" t="inlineStr">
        <is>
          <t>Izolační vložka (bolster) typ 66</t>
        </is>
      </c>
      <c r="E18" s="16" t="n">
        <v>2</v>
      </c>
      <c r="F18" s="16" t="inlineStr">
        <is>
          <t>PCS</t>
        </is>
      </c>
      <c r="G18" s="17" t="n">
        <v>14015.45</v>
      </c>
      <c r="H18" s="17" t="n">
        <v>28030.9</v>
      </c>
    </row>
    <row r="19">
      <c r="A19" s="16" t="n">
        <v>160</v>
      </c>
      <c r="B19" s="16" t="inlineStr">
        <is>
          <t>1001428072</t>
        </is>
      </c>
      <c r="C19" s="16" t="inlineStr">
        <is>
          <t>Steel Foil HF</t>
        </is>
      </c>
      <c r="D19" s="16" t="inlineStr">
        <is>
          <t>Ocelová fólie HF</t>
        </is>
      </c>
      <c r="E19" s="16" t="n">
        <v>1</v>
      </c>
      <c r="F19" s="16" t="inlineStr">
        <is>
          <t>PCS</t>
        </is>
      </c>
      <c r="G19" s="17" t="n">
        <v>2447.5</v>
      </c>
      <c r="H19" s="17" t="n">
        <v>2447.5</v>
      </c>
    </row>
    <row r="20">
      <c r="A20" s="16" t="n">
        <v>170</v>
      </c>
      <c r="B20" s="16" t="inlineStr">
        <is>
          <t>1001428073</t>
        </is>
      </c>
      <c r="C20" s="16" t="inlineStr">
        <is>
          <t>Steel Foil HF</t>
        </is>
      </c>
      <c r="D20" s="16" t="inlineStr">
        <is>
          <t>Ocelová fólie HF</t>
        </is>
      </c>
      <c r="E20" s="16" t="n">
        <v>1</v>
      </c>
      <c r="F20" s="16" t="inlineStr">
        <is>
          <t>PCS</t>
        </is>
      </c>
      <c r="G20" s="17" t="n">
        <v>2447.5</v>
      </c>
      <c r="H20" s="17" t="n">
        <v>2447.5</v>
      </c>
    </row>
    <row r="21">
      <c r="A21" s="16" t="n">
        <v>180</v>
      </c>
      <c r="B21" s="16" t="inlineStr">
        <is>
          <t>1001428074</t>
        </is>
      </c>
      <c r="C21" s="16" t="inlineStr">
        <is>
          <t>Steel Foil HF</t>
        </is>
      </c>
      <c r="D21" s="16" t="inlineStr">
        <is>
          <t>Ocelová fólie HF</t>
        </is>
      </c>
      <c r="E21" s="16" t="n">
        <v>1</v>
      </c>
      <c r="F21" s="16" t="inlineStr">
        <is>
          <t>PCS</t>
        </is>
      </c>
      <c r="G21" s="17" t="n">
        <v>2447.5</v>
      </c>
      <c r="H21" s="17" t="n">
        <v>2447.5</v>
      </c>
    </row>
    <row r="22">
      <c r="A22" s="16" t="n">
        <v>190</v>
      </c>
      <c r="B22" s="16" t="inlineStr">
        <is>
          <t>1001428075</t>
        </is>
      </c>
      <c r="C22" s="16" t="inlineStr">
        <is>
          <t>Steel Foil HF</t>
        </is>
      </c>
      <c r="D22" s="16" t="inlineStr">
        <is>
          <t>Ocelová fólie HF</t>
        </is>
      </c>
      <c r="E22" s="16" t="n">
        <v>1</v>
      </c>
      <c r="F22" s="16" t="inlineStr">
        <is>
          <t>PCS</t>
        </is>
      </c>
      <c r="G22" s="17" t="n">
        <v>2447.5</v>
      </c>
      <c r="H22" s="17" t="n">
        <v>2447.5</v>
      </c>
    </row>
    <row r="23">
      <c r="A23" s="16" t="n">
        <v>200</v>
      </c>
      <c r="B23" s="16" t="inlineStr">
        <is>
          <t>1001428076</t>
        </is>
      </c>
      <c r="C23" s="16" t="inlineStr">
        <is>
          <t>Steel Foil HF</t>
        </is>
      </c>
      <c r="D23" s="16" t="inlineStr">
        <is>
          <t>Ocelová fólie HF</t>
        </is>
      </c>
      <c r="E23" s="16" t="n">
        <v>1</v>
      </c>
      <c r="F23" s="16" t="inlineStr">
        <is>
          <t>PCS</t>
        </is>
      </c>
      <c r="G23" s="17" t="n">
        <v>2447.5</v>
      </c>
      <c r="H23" s="17" t="n">
        <v>2447.5</v>
      </c>
    </row>
    <row r="24">
      <c r="A24" s="16" t="n">
        <v>210</v>
      </c>
      <c r="B24" s="16" t="inlineStr">
        <is>
          <t>1001428077</t>
        </is>
      </c>
      <c r="C24" s="16" t="inlineStr">
        <is>
          <t>KE1400 HT</t>
        </is>
      </c>
      <c r="D24" s="16" t="inlineStr">
        <is>
          <t>Tkanina KE1400 HT (vysokoteplotní)</t>
        </is>
      </c>
      <c r="E24" s="16" t="n">
        <v>1</v>
      </c>
      <c r="F24" s="16" t="inlineStr">
        <is>
          <t>PCS</t>
        </is>
      </c>
      <c r="G24" s="17" t="n">
        <v>2343.35</v>
      </c>
      <c r="H24" s="17" t="n">
        <v>2343.35</v>
      </c>
    </row>
    <row r="25">
      <c r="A25" s="16" t="n">
        <v>220</v>
      </c>
      <c r="B25" s="16" t="inlineStr">
        <is>
          <t>1001428078</t>
        </is>
      </c>
      <c r="C25" s="16" t="inlineStr">
        <is>
          <t>Wiremesh 16/16</t>
        </is>
      </c>
      <c r="D25" s="16" t="inlineStr">
        <is>
          <t>Drátěná síťovina 16/16</t>
        </is>
      </c>
      <c r="E25" s="16" t="n">
        <v>2</v>
      </c>
      <c r="F25" s="16" t="inlineStr">
        <is>
          <t>PCS</t>
        </is>
      </c>
      <c r="G25" s="17" t="n">
        <v>1071.24</v>
      </c>
      <c r="H25" s="17" t="n">
        <v>2142.48</v>
      </c>
    </row>
    <row r="26">
      <c r="A26" s="16" t="n">
        <v>230</v>
      </c>
      <c r="B26" s="16" t="inlineStr">
        <is>
          <t>1001428079</t>
        </is>
      </c>
      <c r="C26" s="16" t="inlineStr">
        <is>
          <t>Steel Foil HF</t>
        </is>
      </c>
      <c r="D26" s="16" t="inlineStr">
        <is>
          <t>Ocelová fólie HF</t>
        </is>
      </c>
      <c r="E26" s="16" t="n">
        <v>2</v>
      </c>
      <c r="F26" s="16" t="inlineStr">
        <is>
          <t>PCS</t>
        </is>
      </c>
      <c r="G26" s="17" t="n">
        <v>2332.19</v>
      </c>
      <c r="H26" s="17" t="n">
        <v>4664.38</v>
      </c>
    </row>
    <row r="27">
      <c r="A27" s="16" t="n">
        <v>240</v>
      </c>
      <c r="B27" s="16" t="inlineStr">
        <is>
          <t>1001428212</t>
        </is>
      </c>
      <c r="C27" s="16" t="inlineStr">
        <is>
          <t>Wiremesh 16/16</t>
        </is>
      </c>
      <c r="D27" s="16" t="inlineStr">
        <is>
          <t>Drátěná síťovina 16/16</t>
        </is>
      </c>
      <c r="E27" s="16" t="n">
        <v>1</v>
      </c>
      <c r="F27" s="16" t="inlineStr">
        <is>
          <t>PCS</t>
        </is>
      </c>
      <c r="G27" s="17" t="n">
        <v>758.8</v>
      </c>
      <c r="H27" s="17" t="n">
        <v>758.8</v>
      </c>
    </row>
    <row r="28">
      <c r="A28" s="16" t="n">
        <v>250</v>
      </c>
      <c r="B28" s="16" t="inlineStr">
        <is>
          <t>1001428213</t>
        </is>
      </c>
      <c r="C28" s="16" t="inlineStr">
        <is>
          <t>Steel Foil HF</t>
        </is>
      </c>
      <c r="D28" s="16" t="inlineStr">
        <is>
          <t>Ocelová fólie HF</t>
        </is>
      </c>
      <c r="E28" s="16" t="n">
        <v>1</v>
      </c>
      <c r="F28" s="16" t="inlineStr">
        <is>
          <t>PCS</t>
        </is>
      </c>
      <c r="G28" s="17" t="n">
        <v>1673.82</v>
      </c>
      <c r="H28" s="17" t="n">
        <v>1673.82</v>
      </c>
    </row>
    <row r="29">
      <c r="A29" s="16" t="n">
        <v>260</v>
      </c>
      <c r="B29" s="16" t="inlineStr">
        <is>
          <t>1001428214</t>
        </is>
      </c>
      <c r="C29" s="16" t="inlineStr">
        <is>
          <t>Joining Kit</t>
        </is>
      </c>
      <c r="D29" s="16" t="inlineStr">
        <is>
          <t>Spojovací sada</t>
        </is>
      </c>
      <c r="E29" s="16" t="n">
        <v>1</v>
      </c>
      <c r="F29" s="16" t="inlineStr">
        <is>
          <t>PCS</t>
        </is>
      </c>
      <c r="G29" s="17" t="n">
        <v>185.98</v>
      </c>
      <c r="H29" s="17" t="n">
        <v>185.98</v>
      </c>
    </row>
    <row r="30">
      <c r="A30" s="18" t="n"/>
      <c r="B30" s="18" t="n"/>
      <c r="C30" s="19" t="inlineStr">
        <is>
          <t>CELKEM zboží</t>
        </is>
      </c>
      <c r="D30" s="18" t="n"/>
      <c r="E30" s="19" t="n">
        <v>35</v>
      </c>
      <c r="F30" s="18" t="n"/>
      <c r="G30" s="18" t="n"/>
      <c r="H30" s="20" t="n">
        <v>207779.39</v>
      </c>
    </row>
    <row r="31">
      <c r="A31" s="18" t="n"/>
      <c r="B31" s="18" t="n"/>
      <c r="C31" s="19" t="inlineStr">
        <is>
          <t>Balné (Packing Charges)</t>
        </is>
      </c>
      <c r="D31" s="18" t="n"/>
      <c r="E31" s="18" t="n"/>
      <c r="F31" s="18" t="n"/>
      <c r="G31" s="18" t="n"/>
      <c r="H31" s="20" t="n">
        <v>5450</v>
      </c>
    </row>
    <row r="32">
      <c r="A32" s="18" t="n"/>
      <c r="B32" s="18" t="n"/>
      <c r="C32" s="19" t="inlineStr">
        <is>
          <t>CELKEM faktura</t>
        </is>
      </c>
      <c r="D32" s="18" t="n"/>
      <c r="E32" s="19" t="n">
        <v>35</v>
      </c>
      <c r="F32" s="18" t="n"/>
      <c r="G32" s="18" t="n"/>
      <c r="H32" s="20" t="n">
        <v>213229.39</v>
      </c>
    </row>
  </sheetData>
  <mergeCells count="1">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6"/>
  <sheetViews>
    <sheetView workbookViewId="0">
      <selection activeCell="A1" sqref="A1"/>
    </sheetView>
  </sheetViews>
  <sheetFormatPr baseColWidth="8" defaultRowHeight="15"/>
  <cols>
    <col width="150" customWidth="1" min="1" max="1"/>
  </cols>
  <sheetData>
    <row r="1">
      <c r="A1" s="21">
        <f>== PREFERENČNÍ PŮVOD (COO) – KRITICKÉ ===</f>
        <v/>
      </c>
    </row>
    <row r="2">
      <c r="A2" s="21" t="inlineStr">
        <is>
          <t>NA FAKTUŘE JE PREFERENČNÍ VĚTA (prohlášení o původu REX) – uplatnit preferenci!</t>
        </is>
      </c>
    </row>
    <row r="3">
      <c r="A3" t="inlineStr">
        <is>
          <t>Znění: „REX Declaration: The exporter Ms. EagleBurgmann KE Pvt. Ltd., REX Registration No.: INREX0500068909EC013 of the</t>
        </is>
      </c>
    </row>
    <row r="4">
      <c r="A4" t="inlineStr">
        <is>
          <t>products covered by this document declares that, except where otherwise clearly indicated, these products are of "INDIA"</t>
        </is>
      </c>
    </row>
    <row r="5">
      <c r="A5" t="inlineStr">
        <is>
          <t>preferential origin according to rules of origin of the Generalized System of Preferences of the European Union and that the</t>
        </is>
      </c>
    </row>
    <row r="6">
      <c r="A6" t="inlineStr">
        <is>
          <t>origin criterion met is "W" [Heading of HS System: 7019].“</t>
        </is>
      </c>
    </row>
    <row r="7">
      <c r="A7" t="inlineStr">
        <is>
          <t>→ Dopad: bez tohoto prohlášení by se uplatnila standardní sazba třetích zemí. S platným prohlášením lze uplatnit</t>
        </is>
      </c>
    </row>
    <row r="8">
      <c r="A8" t="inlineStr">
        <is>
          <t xml:space="preserve">   preferenční sazbu GSP pro Indii (snížené / nulové clo).</t>
        </is>
      </c>
    </row>
    <row r="9">
      <c r="A9" t="inlineStr">
        <is>
          <t>→ Před podáním JSD ověřit: platnost REX čísla INREX0500068909EC013 v databázi REX EU a preferenční sazbu</t>
        </is>
      </c>
    </row>
    <row r="10">
      <c r="A10" t="inlineStr">
        <is>
          <t xml:space="preserve">   pro 7019 90 00 / původ IN v TARIC ke dni přijetí celního prohlášení.</t>
        </is>
      </c>
    </row>
    <row r="11">
      <c r="A11" t="inlineStr">
        <is>
          <t>→ Pozn.: vývozce je registrovaný vývozce (REX), hodnota zásilky přesahuje 6 000 EUR – prohlášení je proto formálně v pořádku.</t>
        </is>
      </c>
    </row>
    <row r="12">
      <c r="A12" t="inlineStr"/>
    </row>
    <row r="13">
      <c r="A13" s="21">
        <f>== CBAM ===</f>
        <v/>
      </c>
    </row>
    <row r="14">
      <c r="A14" t="inlineStr">
        <is>
          <t>HS 7019 90 00 = výrobky ze skleněných vláken → NENÍ zboží podle přílohy I nařízení CBAM. CBAM se na tuto zásilku nevztahuje.</t>
        </is>
      </c>
    </row>
    <row r="15">
      <c r="A15" t="inlineStr">
        <is>
          <t>Kontrola registru reference/CBAM_receivers_CZ.xlsx (list List1): ani „2JCP a.s.“, ani „EagleBurgmann KE A/S“ v registru NEJSOU.</t>
        </is>
      </c>
    </row>
    <row r="16">
      <c r="A16" t="inlineStr">
        <is>
          <t>→ Pro tuto zásilku to nevadí (CBAM zboží zde není). Pokud však u některé příští zásilky bude CBAM zboží,</t>
        </is>
      </c>
    </row>
    <row r="17">
      <c r="A17" t="inlineStr">
        <is>
          <t xml:space="preserve">   je nutné firmu prověřit a doplnit do registru včetně Y kódu (Y128 / Y238 / Y137).</t>
        </is>
      </c>
    </row>
    <row r="18">
      <c r="A18" t="inlineStr"/>
    </row>
    <row r="19">
      <c r="A19" s="21">
        <f>== ANTIDUMPING ===</f>
        <v/>
      </c>
    </row>
    <row r="20">
      <c r="A20" t="inlineStr">
        <is>
          <t>Antidumpingová a vyrovnávací opatření EU u kapitoly 7019 (skleněná vlákna, rovingy, tkaniny) míří na původ ČLR a Egypt.</t>
        </is>
      </c>
    </row>
    <row r="21">
      <c r="A21" t="inlineStr">
        <is>
          <t>Původ zboží v této zásilce je INDIE → opatření by se uplatnit neměla. Ověřit v TARIC (kód 7019 90 00, původ IN) při podání JSD.</t>
        </is>
      </c>
    </row>
    <row r="22">
      <c r="A22" t="inlineStr"/>
    </row>
    <row r="23">
      <c r="A23" s="21">
        <f>== INCOTERM ===</f>
        <v/>
      </c>
    </row>
    <row r="24">
      <c r="A24" t="inlineStr">
        <is>
          <t>EXW Chennai (Indie) – dle faktury „Terms of Delivery &amp; Payment: EXW“, místo převzetí / přístav nakládky Chennai.</t>
        </is>
      </c>
    </row>
    <row r="25">
      <c r="A25" t="inlineStr">
        <is>
          <t>Přeprava LCL/LCL, „FREIGHT COLLECT“, všechny náklady v destinaci hrazeny při dodání (MBL i HBL).</t>
        </is>
      </c>
    </row>
    <row r="26">
      <c r="A26" t="inlineStr">
        <is>
          <t>→ Do celní hodnoty připočíst dopravné + pojištění až do místa vstupu do EU (přístav vykládky Hamburk).</t>
        </is>
      </c>
    </row>
    <row r="27">
      <c r="A27" t="inlineStr">
        <is>
          <t>→ Vyžádat rozpis přepravních nákladů od ECU Worldwide (CZ) / Maurice Ward.</t>
        </is>
      </c>
    </row>
    <row r="28">
      <c r="A28" t="inlineStr"/>
    </row>
    <row r="29">
      <c r="A29" s="21">
        <f>== HODNOTY A HMOTNOSTI ===</f>
        <v/>
      </c>
    </row>
    <row r="30">
      <c r="A30" t="inlineStr">
        <is>
          <t>Hodnota zboží dle faktury č. 266: 207 779,39 DKK (35 ks, součet Annexure-I ověřen).</t>
        </is>
      </c>
    </row>
    <row r="31">
      <c r="A31" t="inlineStr">
        <is>
          <t>Balné (Packing Charges): 5 450,00 DKK – dle čl. 71 UCC součást celní hodnoty.</t>
        </is>
      </c>
    </row>
    <row r="32">
      <c r="A32" t="inlineStr">
        <is>
          <t>Fakturovaná částka celkem: 213 229,39 DKK.</t>
        </is>
      </c>
    </row>
    <row r="33">
      <c r="A33" t="inlineStr">
        <is>
          <t>Obchodní sleva: žádná (na faktuře neuvedena) → proporcionální rozpuštění slevy se neuplatňuje.</t>
        </is>
      </c>
    </row>
    <row r="34">
      <c r="A34" t="inlineStr">
        <is>
          <t>Čistá hmotnost: 1 180,00 kg; hrubá hmotnost: 1 420,00 kg (shodně faktura/packing list, MBL i HBL). Objem 10,098 m³.</t>
        </is>
      </c>
    </row>
    <row r="35">
      <c r="A35" t="inlineStr">
        <is>
          <t>Vše pod jedním HS kódem → rozpouštění hmotností a hodnot mezi kódy není potřeba.</t>
        </is>
      </c>
    </row>
    <row r="36">
      <c r="A36" t="inlineStr">
        <is>
          <t>Přepočet DKK → CZK proveďte celním kurzem platným pro měsíc přijetí celního prohlášení.</t>
        </is>
      </c>
    </row>
    <row r="37">
      <c r="A37" t="inlineStr"/>
    </row>
    <row r="38">
      <c r="A38" s="21">
        <f>== ROZPORY V DOKLADECH – OVĚŘIT ===</f>
        <v/>
      </c>
    </row>
    <row r="39">
      <c r="A39" t="inlineStr">
        <is>
          <t>1) Adresa příjemce: faktura + packing list = 2JCP, Průmyslová 162, 674 01 Třebíč; HBL = 2JCP, Račice 126, 411 08 Štětí.</t>
        </is>
      </c>
    </row>
    <row r="40">
      <c r="A40" t="inlineStr">
        <is>
          <t>2) Packing list uvádí „Pulse Breaker – 5 PC“, ale Annexure-I obsahuje 1 ks. Součet Annexure-I = 35 ks = deklarovaný celkový počet;</t>
        </is>
      </c>
    </row>
    <row r="41">
      <c r="A41" t="inlineStr">
        <is>
          <t xml:space="preserve">   rozpis v packing listu by dával 39 ks. Pro JSD použito množství dle Annexure-I (35 ks).</t>
        </is>
      </c>
    </row>
    <row r="42">
      <c r="A42" t="inlineStr">
        <is>
          <t>3) MBL uvádí přístav vykládky Hamburk a místo dodání Praha; HBL uvádí Prague/Prague. Fyzická dodávka dle e-mailu:</t>
        </is>
      </c>
    </row>
    <row r="43">
      <c r="A43" t="inlineStr">
        <is>
          <t xml:space="preserve">   ECU Worldwide (CZ) s.r.o., Hrušov, cca 20. 9. 2026.</t>
        </is>
      </c>
    </row>
    <row r="44">
      <c r="A44" t="inlineStr"/>
    </row>
    <row r="45">
      <c r="A45" s="21">
        <f>== CLENÍ / ZASTOUPENÍ ===</f>
        <v/>
      </c>
    </row>
    <row r="46">
      <c r="A46" t="inlineStr">
        <is>
          <t>Dle e-mailu Moniky Karlíkové (Maurice Ward): „Clení by mělo být provedeno v dánském čísle EORI EagleBurgmann jako obvykle.“</t>
        </is>
      </c>
    </row>
    <row r="47">
      <c r="A47" t="inlineStr">
        <is>
          <t>Deklarant/dovozce = EagleBurgmann KE A/S, Odinsvej 1, 6950 Ringkøbing, Dánsko (na faktuře jako „Bill To“).</t>
        </is>
      </c>
    </row>
    <row r="48">
      <c r="A48" t="inlineStr">
        <is>
          <t>Zboží fyzicky dodáno k 2JCP a.s. v ČR („Ship To“) → řetězový obchod.</t>
        </is>
      </c>
    </row>
    <row r="49">
      <c r="A49" t="inlineStr">
        <is>
          <t>→ Ověřit platnou plnou moc (nepřímé zastoupení) a režim DPH při dovozu v ČR pro subjekt neusazený v ČR.</t>
        </is>
      </c>
    </row>
    <row r="50">
      <c r="A50" t="inlineStr"/>
    </row>
    <row r="51">
      <c r="A51" s="21">
        <f>== POUŽITÉ DOKLADY ===</f>
        <v/>
      </c>
    </row>
    <row r="52">
      <c r="A52" t="inlineStr">
        <is>
          <t>• Commercial Invoice + Packing List + Annexure-I č. 266 ze dne 9. 7. 2026 (DK26000863_com_inv.pdf)</t>
        </is>
      </c>
    </row>
    <row r="53">
      <c r="A53" t="inlineStr">
        <is>
          <t>• Master B/L MAA/PRG/01684, Allcargo Global Ltd, vydán 22. 7. 2026 (DK26000863_MBL.pdf)</t>
        </is>
      </c>
    </row>
    <row r="54">
      <c r="A54" t="inlineStr">
        <is>
          <t>• House B/L (MTD) SEF/MAA/000013/26-27, CCI Worldwide Logistics, Chennai 22. 7. 2026 (DK26000863_HBL.pdf)</t>
        </is>
      </c>
    </row>
    <row r="55">
      <c r="A55" t="inlineStr">
        <is>
          <t>• E-mail Monika Karlíková, Maurice Ward, věc OR/Import/CZ26012407/2JCP,a.s.</t>
        </is>
      </c>
    </row>
    <row r="56">
      <c r="A56" t="inlineStr">
        <is>
          <t>• Pokyn ze zadání: „Popis + HS code prosím použít z faktury.“ → použit HS 70 19 90 00 a popisy z faktury.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2026-09-10T11:13:54Z</dcterms:created>
  <dcterms:modified xsi:type="dcterms:W3CDTF">2026-09-10T11:13:54Z</dcterms:modified>
</cp:coreProperties>
</file>