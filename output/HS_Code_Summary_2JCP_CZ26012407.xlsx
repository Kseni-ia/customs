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Položky faktury" sheetId="2" state="visible" r:id="rId2"/>
    <sheet name="Poznámky a kontroly" sheetId="3" state="visible" r:id="rId3"/>
    <sheet name="Kontrola JS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1F3864"/>
      <sz val="10"/>
    </font>
    <font>
      <b val="1"/>
      <color rgb="00FFFFFF"/>
      <sz val="10"/>
    </font>
    <font>
      <b val="1"/>
    </font>
    <font>
      <b val="1"/>
      <color rgb="001F3864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FFE69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  <xf numFmtId="4" fontId="4" fillId="3" borderId="1" pivotButton="0" quotePrefix="0" xfId="0"/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0" fillId="0" borderId="1" pivotButton="0" quotePrefix="0" xfId="0"/>
    <xf numFmtId="4" fontId="0" fillId="0" borderId="1" pivotButton="0" quotePrefix="0" xfId="0"/>
    <xf numFmtId="0" fontId="0" fillId="3" borderId="0" pivotButton="0" quotePrefix="0" xfId="0"/>
    <xf numFmtId="0" fontId="4" fillId="3" borderId="0" pivotButton="0" quotePrefix="0" xfId="0"/>
    <xf numFmtId="4" fontId="4" fillId="3" borderId="0" pivotButton="0" quotePrefix="0" xfId="0"/>
    <xf numFmtId="0" fontId="5" fillId="0" borderId="0" pivotButton="0" quotePrefix="0" xfId="0"/>
    <xf numFmtId="0" fontId="4" fillId="4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2" customWidth="1" min="3" max="3"/>
    <col width="42" customWidth="1" min="4" max="4"/>
    <col width="11" customWidth="1" min="5" max="5"/>
    <col width="12" customWidth="1" min="6" max="6"/>
    <col width="15" customWidth="1" min="7" max="7"/>
    <col width="15" customWidth="1" min="8" max="8"/>
    <col width="16" customWidth="1" min="9" max="9"/>
    <col width="12" customWidth="1" min="10" max="10"/>
    <col width="20" customWidth="1" min="11" max="11"/>
    <col width="52" customWidth="1" min="12" max="12"/>
  </cols>
  <sheetData>
    <row r="1">
      <c r="A1" s="1" t="inlineStr">
        <is>
          <t>SOUHRN HS KÓDŮ – 2JCP a.s. – zásilka OR/Import/CZ26012407</t>
        </is>
      </c>
    </row>
    <row r="3" ht="28" customHeight="1">
      <c r="A3" s="2" t="inlineStr">
        <is>
          <t>Klient / příjemce (CZ):</t>
        </is>
      </c>
      <c r="B3" s="3" t="inlineStr">
        <is>
          <t>2JCP a.s., Průmyslová 162, 674 01 Třebíč (dle faktury) / Račice 126, 411 08 Štětí (dle HBL) – viz poznámka k rozporu</t>
        </is>
      </c>
    </row>
    <row r="4" ht="28" customHeight="1">
      <c r="A4" s="2" t="inlineStr">
        <is>
          <t>Odesílatel / vývozce:</t>
        </is>
      </c>
      <c r="B4" s="3" t="inlineStr">
        <is>
          <t>EagleBurgmann KE Private Limited, Survey No. 109/2A-1B, Old GNT Road, Karanodai, Sholavaram, Chennai 600 067, Indie</t>
        </is>
      </c>
    </row>
    <row r="5" ht="28" customHeight="1">
      <c r="A5" s="2" t="inlineStr">
        <is>
          <t>Kupující / fakturováno na:</t>
        </is>
      </c>
      <c r="B5" s="3" t="inlineStr">
        <is>
          <t>EagleBurgmann KE A/S, Odinsvej 1, 6950 Ringkøbing, Dánsko – clení v dánském EORI EagleBurgmann (dle pokynu Moniky Karlíkové)</t>
        </is>
      </c>
    </row>
    <row r="6" ht="28" customHeight="1">
      <c r="A6" s="2" t="inlineStr">
        <is>
          <t>Faktura / datum:</t>
        </is>
      </c>
      <c r="B6" s="3" t="inlineStr">
        <is>
          <t>č. 266 ze dne 9. 7. 2026 (job DEN01029/26, PO 4500068539 z 26. 2. 2026)</t>
        </is>
      </c>
    </row>
    <row r="7" ht="28" customHeight="1">
      <c r="A7" s="2" t="inlineStr">
        <is>
          <t>Přeprava:</t>
        </is>
      </c>
      <c r="B7" s="3" t="inlineStr">
        <is>
          <t>MBL MAA/PRG/01684 + HBL SEF/MAA/000013/26-27, MSC ROMA 0NNNPW1MA, Ennore/Chennai → Hamburg → Praha, LCL/LCL, freight collect, Express release</t>
        </is>
      </c>
    </row>
    <row r="8" ht="28" customHeight="1">
      <c r="A8" s="2" t="inlineStr">
        <is>
          <t>Kontejner / balení:</t>
        </is>
      </c>
      <c r="B8" s="3" t="inlineStr">
        <is>
          <t>WBPU 706803-3 (40'HC), plomba M8979025, 1 dřevěná bedna, 10,098 m³, značka DEN01029/26</t>
        </is>
      </c>
    </row>
    <row r="9" ht="28" customHeight="1">
      <c r="A9" s="2" t="inlineStr">
        <is>
          <t>Země původu:</t>
        </is>
      </c>
      <c r="B9" s="3" t="inlineStr">
        <is>
          <t>INDIE (IN) – POZOR: nikoli CN! Faktura: „Country of origin of goods: India“, REX prohlášení zní na „INDIA“, nakládka Chennai.</t>
        </is>
      </c>
    </row>
    <row r="10" ht="28" customHeight="1">
      <c r="A10" s="2" t="inlineStr">
        <is>
          <t>Zbožový kód:</t>
        </is>
      </c>
      <c r="B10" s="3" t="inlineStr">
        <is>
          <t>7019 90 00, TARIC 7019 90 00 85 (ostatní) – dle faktury a B/L; kód preference 100 (erga omnes), viz preferenční blok níže</t>
        </is>
      </c>
    </row>
    <row r="11" ht="28" customHeight="1">
      <c r="A11" s="2" t="inlineStr">
        <is>
          <t>Země určení:</t>
        </is>
      </c>
      <c r="B11" s="3" t="inlineStr">
        <is>
          <t>Česká republika (CZ)</t>
        </is>
      </c>
    </row>
    <row r="12" ht="28" customHeight="1">
      <c r="A12" s="2" t="inlineStr">
        <is>
          <t>Incoterm:</t>
        </is>
      </c>
      <c r="B12" s="3" t="inlineStr">
        <is>
          <t>EXW Chennai (Indie) – dle faktury „Terms of Delivery: EXW“, místo nakládky Chennai</t>
        </is>
      </c>
    </row>
    <row r="13" ht="28" customHeight="1">
      <c r="A13" s="2" t="inlineStr">
        <is>
          <t>Měna:</t>
        </is>
      </c>
      <c r="B13" s="3" t="inlineStr">
        <is>
          <t>DKK (dánská koruna) – přepočet na CZK celním kurzem platným pro měsíc podání JSD</t>
        </is>
      </c>
    </row>
    <row r="14" ht="28" customHeight="1">
      <c r="A14" s="2" t="inlineStr">
        <is>
          <t>Očekávaný příchod:</t>
        </is>
      </c>
      <c r="B14" s="3" t="inlineStr">
        <is>
          <t>ECU WORLDWIDE (CZ) s.r.o., Hrušov – cca 20. 9. 2026, dle e-mailu bude SCP</t>
        </is>
      </c>
    </row>
    <row r="16" ht="34" customHeight="1">
      <c r="A16" s="4" t="inlineStr">
        <is>
          <t>Odesílatel</t>
        </is>
      </c>
      <c r="B16" s="4" t="inlineStr">
        <is>
          <t>HS kód</t>
        </is>
      </c>
      <c r="C16" s="4" t="inlineStr">
        <is>
          <t>Popis zboží (dle faktury)</t>
        </is>
      </c>
      <c r="D16" s="4" t="inlineStr">
        <is>
          <t>Popis zboží (CZ)</t>
        </is>
      </c>
      <c r="E16" s="4" t="inlineStr">
        <is>
          <t>Země původu</t>
        </is>
      </c>
      <c r="F16" s="4" t="inlineStr">
        <is>
          <t>Množství (ks)</t>
        </is>
      </c>
      <c r="G16" s="4" t="inlineStr">
        <is>
          <t>Čistá hmotnost (kg)</t>
        </is>
      </c>
      <c r="H16" s="4" t="inlineStr">
        <is>
          <t>Hrubá hmotnost (kg)</t>
        </is>
      </c>
      <c r="I16" s="4" t="inlineStr">
        <is>
          <t>Hodnota zboží (DKK)</t>
        </is>
      </c>
      <c r="J16" s="4" t="inlineStr">
        <is>
          <t>Balné (DKK)</t>
        </is>
      </c>
      <c r="K16" s="4" t="inlineStr">
        <is>
          <t>Celní hodnota – základ (DKK)</t>
        </is>
      </c>
      <c r="L16" s="4" t="inlineStr">
        <is>
          <t>Poznámka</t>
        </is>
      </c>
    </row>
    <row r="17" ht="90" customHeight="1">
      <c r="A17" s="5" t="inlineStr">
        <is>
          <t>EagleBurgmann KE Private Limited, Chennai, Indie</t>
        </is>
      </c>
      <c r="B17" s="5" t="inlineStr">
        <is>
          <t>70199000</t>
        </is>
      </c>
      <c r="C17" s="5" t="inlineStr">
        <is>
          <t>Non Metalic Expansion Joint (Fabric Expansion Joint, Bolster Type 66, Steel Foil HF, Wiremesh 16/16, KE Pulse Breaker A, KE1400 HT, Joining Kit)</t>
        </is>
      </c>
      <c r="D17" s="5" t="inlineStr">
        <is>
          <t>Nekovové kompenzátory ze skleněných vláken – tkaninové kompenzátory, izolační vložky (bolstery), ocelové fólie, drátěné síťoviny, tlumič pulzací, spojovací sady</t>
        </is>
      </c>
      <c r="E17" s="5" t="inlineStr">
        <is>
          <t>IN</t>
        </is>
      </c>
      <c r="F17" s="6" t="n">
        <v>35</v>
      </c>
      <c r="G17" s="7" t="n">
        <v>1180</v>
      </c>
      <c r="H17" s="7" t="n">
        <v>1420</v>
      </c>
      <c r="I17" s="8" t="n">
        <v>207779.39</v>
      </c>
      <c r="J17" s="8" t="n">
        <v>5450</v>
      </c>
      <c r="K17" s="8" t="n">
        <v>213229.39</v>
      </c>
      <c r="L17" s="5" t="inlineStr">
        <is>
          <t>Jediný HS kód dle faktury a B/L (HS Tariff 70 19 90 00). Balné 5 450 DKK je součástí celní hodnoty (čl. 71 UCC). K celní hodnotě nutno přičíst dopravné do místa vstupu do EU – EXW + freight collect (viz list „Poznámky a kontroly“).</t>
        </is>
      </c>
    </row>
    <row r="18">
      <c r="A18" s="9" t="inlineStr">
        <is>
          <t>CELKEM</t>
        </is>
      </c>
      <c r="B18" s="9" t="inlineStr"/>
      <c r="C18" s="9" t="inlineStr"/>
      <c r="D18" s="9" t="inlineStr"/>
      <c r="E18" s="9" t="inlineStr"/>
      <c r="F18" s="10" t="n">
        <v>35</v>
      </c>
      <c r="G18" s="11" t="n">
        <v>1180</v>
      </c>
      <c r="H18" s="11" t="n">
        <v>1420</v>
      </c>
      <c r="I18" s="12" t="n">
        <v>207779.39</v>
      </c>
      <c r="J18" s="12" t="n">
        <v>5450</v>
      </c>
      <c r="K18" s="12" t="n">
        <v>213229.39</v>
      </c>
      <c r="L18" s="9" t="inlineStr"/>
    </row>
    <row r="20">
      <c r="A20" s="1" t="inlineStr">
        <is>
          <t>PŘÍZNAKY A KONTROLY</t>
        </is>
      </c>
    </row>
    <row r="21" ht="62" customHeight="1">
      <c r="A21" s="13" t="inlineStr">
        <is>
          <t>🔴 PREFERENČNÍ VĚTA JE, ALE PREFERENCI NELZE UPLATNIT</t>
        </is>
      </c>
      <c r="B21" s="3" t="inlineStr">
        <is>
          <t>Na faktuře JE preferenční prohlášení (REX): „The exporter Ms. EagleBurgmann KE Pvt. Ltd., REX Registration No.: INREX0500068909EC013 … these products are of "INDIA" preferential origin according to rules of origin of the Generalized System of Preferences of the European Union … origin criterion "W" [Heading of HS System: 7019].“ ALE: Indie je od 1. 1. 2026 do 31. 12. 2028 vyřazena (graduace) ze sekce GSP S-13 „Výrobky z kamene, sádry, cementu, azbestu, slídy; keramické výrobky; SKLO“ (kap. 68–70) dle nařízení (EU) 2025/1909. Kód 7019 90 00 spadá do S-13 → pro původ IN NENÍ v roce 2026 dostupná preference GSP. → Uplatní se standardní sazba třetích zemí, kód preference 100. Prohlášení REX ponechat ve spisu, ale preferenci NENÁROKOVAT. Ověřit v TARIC ke dni přijetí JSD.</t>
        </is>
      </c>
    </row>
    <row r="22" ht="62" customHeight="1">
      <c r="A22" s="13" t="inlineStr">
        <is>
          <t>🔴 JSD – ZEMĚ PŮVODU</t>
        </is>
      </c>
      <c r="B22" s="3" t="inlineStr">
        <is>
          <t>V celním prohlášení musí být země původu IN (Indie), NIKOLI CN (Čína). Původ CN by byl nesprávnou deklarací a navíc by u kap. 7019 mohl aktivovat antidumpingová/vyrovnávací opatření na skleněná vlákna z ČLR.</t>
        </is>
      </c>
    </row>
    <row r="23" ht="62" customHeight="1">
      <c r="A23" s="14" t="inlineStr">
        <is>
          <t>⚪ CBAM – netýká se</t>
        </is>
      </c>
      <c r="B23" s="3" t="inlineStr">
        <is>
          <t>HS 7019 90 00 (výrobky ze skleněných vláken) není zbožím podle přílohy I nařízení CBAM (cement, železo a ocel, hliník, hnojiva, elektřina, vodík). CBAM kód se v této zásilce neuvádí. Pozn.: příjemce 2JCP a.s. ani EagleBurgmann KE A/S NEJSOU v registru reference/CBAM_receivers_CZ.xlsx – pokud by v budoucí zásilce bylo CBAM zboží, je nutné firmu prověřit a do registru doplnit.</t>
        </is>
      </c>
    </row>
    <row r="24" ht="62" customHeight="1">
      <c r="A24" s="14" t="inlineStr">
        <is>
          <t>⚪ Antidumping – dle původu se nepředpokládá</t>
        </is>
      </c>
      <c r="B24" s="3" t="inlineStr">
        <is>
          <t>Antidumpingová a vyrovnávací opatření EU na tkaniny ze skleněných vláken (nař. (EU) 2020/492 a 2020/776) se týkají původu ČLR a Egypt a v rámci 7019 90 00 míří na TARIC linku …80. Zde je původ INDIE a použita TARIC linka …85 (ostatní) → opatření se neuplatní. Ověřit v TARIC pro 7019 90 00 85 / původ IN ke dni podání JSD.</t>
        </is>
      </c>
    </row>
    <row r="25" ht="62" customHeight="1">
      <c r="A25" s="15" t="inlineStr">
        <is>
          <t>🟡 Celní hodnota – dopravné</t>
        </is>
      </c>
      <c r="B25" s="3" t="inlineStr">
        <is>
          <t>Dodací podmínka EXW Chennai, přeprava „freight collect“, všechny náklady v destinaci hrazeny při dodání. Do celní hodnoty je nutno připočíst náklady dopravy a pojištění až na místo vstupu do EU (Hamburk). Vyžádat si od ECU Worldwide / Maurice Ward rozpis přepravného.</t>
        </is>
      </c>
    </row>
    <row r="26" ht="62" customHeight="1">
      <c r="A26" s="15" t="inlineStr">
        <is>
          <t>🟡 Clení v dánském EORI</t>
        </is>
      </c>
      <c r="B26" s="3" t="inlineStr">
        <is>
          <t>Dle pokynu zákazníka má být zásilka vyclena na dánské EORI EagleBurgmann (EagleBurgmann KE A/S, Dánsko) jako obvykle, ačkoli zboží fyzicky míří k 2JCP a.s. v ČR. Ověřit platnou plnou moc (nepřímé zastoupení) a DPH režim dovozu v ČR pro subjekt neusazený v ČR.</t>
        </is>
      </c>
    </row>
    <row r="27" ht="62" customHeight="1">
      <c r="A27" s="15" t="inlineStr">
        <is>
          <t>🟡 Rozpor v adrese příjemce</t>
        </is>
      </c>
      <c r="B27" s="3" t="inlineStr">
        <is>
          <t>Faktura/packing list uvádí 2JCP, Průmyslová 162, 674 01 Třebíč; HBL uvádí 2JCP, Račice 126, 411 08 Štětí. Před podáním JSD potvrdit správnou adresu (a EORI) příjemce.</t>
        </is>
      </c>
    </row>
    <row r="28" ht="62" customHeight="1">
      <c r="A28" s="15" t="inlineStr">
        <is>
          <t>🟡 Rozpor v packing listu</t>
        </is>
      </c>
      <c r="B28" s="3" t="inlineStr">
        <is>
          <t>Rozpis balení na packing listu uvádí „Pulse Breaker – 5 PC“, zatímco Annexure-I obsahuje 1 ks KE Pulse Breaker A. Součet položek Annexure-I = 35 ks a odpovídá deklarovanému celkovému množství 35 ks; rozpis v packing listu (39 ks) je zjevně chybný. Pro JSD použito množství dle Annexure-I.</t>
        </is>
      </c>
    </row>
    <row r="29" ht="62" customHeight="1">
      <c r="A29" s="14" t="inlineStr">
        <is>
          <t>⚪ Sleva</t>
        </is>
      </c>
      <c r="B29" s="3" t="inlineStr">
        <is>
          <t>Na faktuře není uvedena žádná obchodní sleva – proporcionální rozpouštění slevy se neuplatní.</t>
        </is>
      </c>
    </row>
  </sheetData>
  <mergeCells count="22">
    <mergeCell ref="B4:L4"/>
    <mergeCell ref="B26:L26"/>
    <mergeCell ref="B7:L7"/>
    <mergeCell ref="B25:L25"/>
    <mergeCell ref="B3:L3"/>
    <mergeCell ref="B22:L22"/>
    <mergeCell ref="B27:L27"/>
    <mergeCell ref="B12:L12"/>
    <mergeCell ref="B21:L21"/>
    <mergeCell ref="B11:L11"/>
    <mergeCell ref="B14:L14"/>
    <mergeCell ref="B23:L23"/>
    <mergeCell ref="B8:L8"/>
    <mergeCell ref="B13:L13"/>
    <mergeCell ref="B29:L29"/>
    <mergeCell ref="B10:L10"/>
    <mergeCell ref="B28:L28"/>
    <mergeCell ref="B9:L9"/>
    <mergeCell ref="B6:L6"/>
    <mergeCell ref="A1:L1"/>
    <mergeCell ref="B24:L24"/>
    <mergeCell ref="B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0" customWidth="1" min="3" max="3"/>
    <col width="38" customWidth="1" min="4" max="4"/>
    <col width="13" customWidth="1" min="5" max="5"/>
    <col width="7" customWidth="1" min="6" max="6"/>
    <col width="16" customWidth="1" min="7" max="7"/>
    <col width="16" customWidth="1" min="8" max="8"/>
  </cols>
  <sheetData>
    <row r="1">
      <c r="A1" s="1" t="inlineStr">
        <is>
          <t>Faktura č. 266 / 9. 7. 2026 – Annexure-I (všechny položky pod HS 7019 90 00)</t>
        </is>
      </c>
    </row>
    <row r="3">
      <c r="A3" s="4" t="inlineStr">
        <is>
          <t>Pol.</t>
        </is>
      </c>
      <c r="B3" s="4" t="inlineStr">
        <is>
          <t>Číslo položky</t>
        </is>
      </c>
      <c r="C3" s="4" t="inlineStr">
        <is>
          <t>Popis (dle faktury)</t>
        </is>
      </c>
      <c r="D3" s="4" t="inlineStr">
        <is>
          <t>Popis (CZ)</t>
        </is>
      </c>
      <c r="E3" s="4" t="inlineStr">
        <is>
          <t>Množství (ks)</t>
        </is>
      </c>
      <c r="F3" s="4" t="inlineStr">
        <is>
          <t>MJ</t>
        </is>
      </c>
      <c r="G3" s="4" t="inlineStr">
        <is>
          <t>Jedn. cena (DKK)</t>
        </is>
      </c>
      <c r="H3" s="4" t="inlineStr">
        <is>
          <t>Celkem (DKK)</t>
        </is>
      </c>
    </row>
    <row r="4">
      <c r="A4" s="16" t="n">
        <v>10</v>
      </c>
      <c r="B4" s="16" t="inlineStr">
        <is>
          <t>1000744720</t>
        </is>
      </c>
      <c r="C4" s="16" t="inlineStr">
        <is>
          <t>Joining Kit</t>
        </is>
      </c>
      <c r="D4" s="16" t="inlineStr">
        <is>
          <t>Spojovací sada</t>
        </is>
      </c>
      <c r="E4" s="16" t="n">
        <v>1</v>
      </c>
      <c r="F4" s="16" t="inlineStr">
        <is>
          <t>PCS</t>
        </is>
      </c>
      <c r="G4" s="17" t="n">
        <v>166.27</v>
      </c>
      <c r="H4" s="17" t="n">
        <v>166.27</v>
      </c>
    </row>
    <row r="5">
      <c r="A5" s="16" t="n">
        <v>20</v>
      </c>
      <c r="B5" s="16" t="inlineStr">
        <is>
          <t>1001126491</t>
        </is>
      </c>
      <c r="C5" s="16" t="inlineStr">
        <is>
          <t>Joining Kit</t>
        </is>
      </c>
      <c r="D5" s="16" t="inlineStr">
        <is>
          <t>Spojovací sada</t>
        </is>
      </c>
      <c r="E5" s="16" t="n">
        <v>3</v>
      </c>
      <c r="F5" s="16" t="inlineStr">
        <is>
          <t>PCS</t>
        </is>
      </c>
      <c r="G5" s="17" t="n">
        <v>156.22</v>
      </c>
      <c r="H5" s="17" t="n">
        <v>468.66</v>
      </c>
    </row>
    <row r="6">
      <c r="A6" s="16" t="n">
        <v>30</v>
      </c>
      <c r="B6" s="16" t="inlineStr">
        <is>
          <t>1001167494</t>
        </is>
      </c>
      <c r="C6" s="16" t="inlineStr">
        <is>
          <t>Joining Kit</t>
        </is>
      </c>
      <c r="D6" s="16" t="inlineStr">
        <is>
          <t>Spojovací sada</t>
        </is>
      </c>
      <c r="E6" s="16" t="n">
        <v>1</v>
      </c>
      <c r="F6" s="16" t="inlineStr">
        <is>
          <t>PCS</t>
        </is>
      </c>
      <c r="G6" s="17" t="n">
        <v>223.18</v>
      </c>
      <c r="H6" s="17" t="n">
        <v>223.18</v>
      </c>
    </row>
    <row r="7">
      <c r="A7" s="16" t="n">
        <v>40</v>
      </c>
      <c r="B7" s="16" t="inlineStr">
        <is>
          <t>1001227778</t>
        </is>
      </c>
      <c r="C7" s="16" t="inlineStr">
        <is>
          <t>Joining Kit</t>
        </is>
      </c>
      <c r="D7" s="16" t="inlineStr">
        <is>
          <t>Spojovací sada</t>
        </is>
      </c>
      <c r="E7" s="16" t="n">
        <v>1</v>
      </c>
      <c r="F7" s="16" t="inlineStr">
        <is>
          <t>PCS</t>
        </is>
      </c>
      <c r="G7" s="17" t="n">
        <v>223.18</v>
      </c>
      <c r="H7" s="17" t="n">
        <v>223.18</v>
      </c>
    </row>
    <row r="8">
      <c r="A8" s="16" t="n">
        <v>50</v>
      </c>
      <c r="B8" s="16" t="inlineStr">
        <is>
          <t>1001428061</t>
        </is>
      </c>
      <c r="C8" s="16" t="inlineStr">
        <is>
          <t>Fabric Expansion Joint</t>
        </is>
      </c>
      <c r="D8" s="16" t="inlineStr">
        <is>
          <t>Tkaninový kompenzátor</t>
        </is>
      </c>
      <c r="E8" s="16" t="n">
        <v>1</v>
      </c>
      <c r="F8" s="16" t="inlineStr">
        <is>
          <t>PCS</t>
        </is>
      </c>
      <c r="G8" s="17" t="n">
        <v>33744.21</v>
      </c>
      <c r="H8" s="17" t="n">
        <v>33744.21</v>
      </c>
    </row>
    <row r="9">
      <c r="A9" s="16" t="n">
        <v>60</v>
      </c>
      <c r="B9" s="16" t="inlineStr">
        <is>
          <t>1001428062</t>
        </is>
      </c>
      <c r="C9" s="16" t="inlineStr">
        <is>
          <t>Fabric Expansion Joint</t>
        </is>
      </c>
      <c r="D9" s="16" t="inlineStr">
        <is>
          <t>Tkaninový kompenzátor</t>
        </is>
      </c>
      <c r="E9" s="16" t="n">
        <v>1</v>
      </c>
      <c r="F9" s="16" t="inlineStr">
        <is>
          <t>PCS</t>
        </is>
      </c>
      <c r="G9" s="17" t="n">
        <v>21521.61</v>
      </c>
      <c r="H9" s="17" t="n">
        <v>21521.61</v>
      </c>
    </row>
    <row r="10">
      <c r="A10" s="16" t="n">
        <v>70</v>
      </c>
      <c r="B10" s="16" t="inlineStr">
        <is>
          <t>1001428063</t>
        </is>
      </c>
      <c r="C10" s="16" t="inlineStr">
        <is>
          <t>KE Pulse Breaker A</t>
        </is>
      </c>
      <c r="D10" s="16" t="inlineStr">
        <is>
          <t>Tlumič pulzací KE typ A</t>
        </is>
      </c>
      <c r="E10" s="16" t="n">
        <v>1</v>
      </c>
      <c r="F10" s="16" t="inlineStr">
        <is>
          <t>PCS</t>
        </is>
      </c>
      <c r="G10" s="17" t="n">
        <v>16068.67</v>
      </c>
      <c r="H10" s="17" t="n">
        <v>16068.67</v>
      </c>
    </row>
    <row r="11">
      <c r="A11" s="16" t="n">
        <v>80</v>
      </c>
      <c r="B11" s="16" t="inlineStr">
        <is>
          <t>1001428064</t>
        </is>
      </c>
      <c r="C11" s="16" t="inlineStr">
        <is>
          <t>Bolster Type 66</t>
        </is>
      </c>
      <c r="D11" s="16" t="inlineStr">
        <is>
          <t>Izolační vložka (bolster) typ 66</t>
        </is>
      </c>
      <c r="E11" s="16" t="n">
        <v>1</v>
      </c>
      <c r="F11" s="16" t="inlineStr">
        <is>
          <t>PCS</t>
        </is>
      </c>
      <c r="G11" s="17" t="n">
        <v>6531.62</v>
      </c>
      <c r="H11" s="17" t="n">
        <v>6531.62</v>
      </c>
    </row>
    <row r="12">
      <c r="A12" s="16" t="n">
        <v>90</v>
      </c>
      <c r="B12" s="16" t="inlineStr">
        <is>
          <t>1001428065</t>
        </is>
      </c>
      <c r="C12" s="16" t="inlineStr">
        <is>
          <t>Bolster Type 66</t>
        </is>
      </c>
      <c r="D12" s="16" t="inlineStr">
        <is>
          <t>Izolační vložka (bolster) typ 66</t>
        </is>
      </c>
      <c r="E12" s="16" t="n">
        <v>1</v>
      </c>
      <c r="F12" s="16" t="inlineStr">
        <is>
          <t>PCS</t>
        </is>
      </c>
      <c r="G12" s="17" t="n">
        <v>6531.62</v>
      </c>
      <c r="H12" s="17" t="n">
        <v>6531.62</v>
      </c>
    </row>
    <row r="13">
      <c r="A13" s="16" t="n">
        <v>100</v>
      </c>
      <c r="B13" s="16" t="inlineStr">
        <is>
          <t>1001428066</t>
        </is>
      </c>
      <c r="C13" s="16" t="inlineStr">
        <is>
          <t>Bolster Type 66</t>
        </is>
      </c>
      <c r="D13" s="16" t="inlineStr">
        <is>
          <t>Izolační vložka (bolster) typ 66</t>
        </is>
      </c>
      <c r="E13" s="16" t="n">
        <v>1</v>
      </c>
      <c r="F13" s="16" t="inlineStr">
        <is>
          <t>PCS</t>
        </is>
      </c>
      <c r="G13" s="17" t="n">
        <v>6531.62</v>
      </c>
      <c r="H13" s="17" t="n">
        <v>6531.62</v>
      </c>
    </row>
    <row r="14">
      <c r="A14" s="16" t="n">
        <v>110</v>
      </c>
      <c r="B14" s="16" t="inlineStr">
        <is>
          <t>1001428067</t>
        </is>
      </c>
      <c r="C14" s="16" t="inlineStr">
        <is>
          <t>Bolster Type 66</t>
        </is>
      </c>
      <c r="D14" s="16" t="inlineStr">
        <is>
          <t>Izolační vložka (bolster) typ 66</t>
        </is>
      </c>
      <c r="E14" s="16" t="n">
        <v>1</v>
      </c>
      <c r="F14" s="16" t="inlineStr">
        <is>
          <t>PCS</t>
        </is>
      </c>
      <c r="G14" s="17" t="n">
        <v>9306.440000000001</v>
      </c>
      <c r="H14" s="17" t="n">
        <v>9306.440000000001</v>
      </c>
    </row>
    <row r="15">
      <c r="A15" s="16" t="n">
        <v>120</v>
      </c>
      <c r="B15" s="16" t="inlineStr">
        <is>
          <t>1001428068</t>
        </is>
      </c>
      <c r="C15" s="16" t="inlineStr">
        <is>
          <t>Bolster Type 66</t>
        </is>
      </c>
      <c r="D15" s="16" t="inlineStr">
        <is>
          <t>Izolační vložka (bolster) typ 66</t>
        </is>
      </c>
      <c r="E15" s="16" t="n">
        <v>2</v>
      </c>
      <c r="F15" s="16" t="inlineStr">
        <is>
          <t>PCS</t>
        </is>
      </c>
      <c r="G15" s="17" t="n">
        <v>3749.36</v>
      </c>
      <c r="H15" s="17" t="n">
        <v>7498.72</v>
      </c>
    </row>
    <row r="16">
      <c r="A16" s="16" t="n">
        <v>130</v>
      </c>
      <c r="B16" s="16" t="inlineStr">
        <is>
          <t>1001428069</t>
        </is>
      </c>
      <c r="C16" s="16" t="inlineStr">
        <is>
          <t>Bolster Type 66</t>
        </is>
      </c>
      <c r="D16" s="16" t="inlineStr">
        <is>
          <t>Izolační vložka (bolster) typ 66</t>
        </is>
      </c>
      <c r="E16" s="16" t="n">
        <v>2</v>
      </c>
      <c r="F16" s="16" t="inlineStr">
        <is>
          <t>PCS</t>
        </is>
      </c>
      <c r="G16" s="17" t="n">
        <v>10191.7</v>
      </c>
      <c r="H16" s="17" t="n">
        <v>20383.4</v>
      </c>
    </row>
    <row r="17">
      <c r="A17" s="16" t="n">
        <v>140</v>
      </c>
      <c r="B17" s="16" t="inlineStr">
        <is>
          <t>1001428070</t>
        </is>
      </c>
      <c r="C17" s="16" t="inlineStr">
        <is>
          <t>Bolster Type 66</t>
        </is>
      </c>
      <c r="D17" s="16" t="inlineStr">
        <is>
          <t>Izolační vložka (bolster) typ 66</t>
        </is>
      </c>
      <c r="E17" s="16" t="n">
        <v>3</v>
      </c>
      <c r="F17" s="16" t="inlineStr">
        <is>
          <t>PCS</t>
        </is>
      </c>
      <c r="G17" s="17" t="n">
        <v>8847.66</v>
      </c>
      <c r="H17" s="17" t="n">
        <v>26542.98</v>
      </c>
    </row>
    <row r="18">
      <c r="A18" s="16" t="n">
        <v>150</v>
      </c>
      <c r="B18" s="16" t="inlineStr">
        <is>
          <t>1001428071</t>
        </is>
      </c>
      <c r="C18" s="16" t="inlineStr">
        <is>
          <t>Bolster Type 66</t>
        </is>
      </c>
      <c r="D18" s="16" t="inlineStr">
        <is>
          <t>Izolační vložka (bolster) typ 66</t>
        </is>
      </c>
      <c r="E18" s="16" t="n">
        <v>2</v>
      </c>
      <c r="F18" s="16" t="inlineStr">
        <is>
          <t>PCS</t>
        </is>
      </c>
      <c r="G18" s="17" t="n">
        <v>14015.45</v>
      </c>
      <c r="H18" s="17" t="n">
        <v>28030.9</v>
      </c>
    </row>
    <row r="19">
      <c r="A19" s="16" t="n">
        <v>160</v>
      </c>
      <c r="B19" s="16" t="inlineStr">
        <is>
          <t>1001428072</t>
        </is>
      </c>
      <c r="C19" s="16" t="inlineStr">
        <is>
          <t>Steel Foil HF</t>
        </is>
      </c>
      <c r="D19" s="16" t="inlineStr">
        <is>
          <t>Ocelová fólie HF</t>
        </is>
      </c>
      <c r="E19" s="16" t="n">
        <v>1</v>
      </c>
      <c r="F19" s="16" t="inlineStr">
        <is>
          <t>PCS</t>
        </is>
      </c>
      <c r="G19" s="17" t="n">
        <v>2447.5</v>
      </c>
      <c r="H19" s="17" t="n">
        <v>2447.5</v>
      </c>
    </row>
    <row r="20">
      <c r="A20" s="16" t="n">
        <v>170</v>
      </c>
      <c r="B20" s="16" t="inlineStr">
        <is>
          <t>1001428073</t>
        </is>
      </c>
      <c r="C20" s="16" t="inlineStr">
        <is>
          <t>Steel Foil HF</t>
        </is>
      </c>
      <c r="D20" s="16" t="inlineStr">
        <is>
          <t>Ocelová fólie HF</t>
        </is>
      </c>
      <c r="E20" s="16" t="n">
        <v>1</v>
      </c>
      <c r="F20" s="16" t="inlineStr">
        <is>
          <t>PCS</t>
        </is>
      </c>
      <c r="G20" s="17" t="n">
        <v>2447.5</v>
      </c>
      <c r="H20" s="17" t="n">
        <v>2447.5</v>
      </c>
    </row>
    <row r="21">
      <c r="A21" s="16" t="n">
        <v>180</v>
      </c>
      <c r="B21" s="16" t="inlineStr">
        <is>
          <t>1001428074</t>
        </is>
      </c>
      <c r="C21" s="16" t="inlineStr">
        <is>
          <t>Steel Foil HF</t>
        </is>
      </c>
      <c r="D21" s="16" t="inlineStr">
        <is>
          <t>Ocelová fólie HF</t>
        </is>
      </c>
      <c r="E21" s="16" t="n">
        <v>1</v>
      </c>
      <c r="F21" s="16" t="inlineStr">
        <is>
          <t>PCS</t>
        </is>
      </c>
      <c r="G21" s="17" t="n">
        <v>2447.5</v>
      </c>
      <c r="H21" s="17" t="n">
        <v>2447.5</v>
      </c>
    </row>
    <row r="22">
      <c r="A22" s="16" t="n">
        <v>190</v>
      </c>
      <c r="B22" s="16" t="inlineStr">
        <is>
          <t>1001428075</t>
        </is>
      </c>
      <c r="C22" s="16" t="inlineStr">
        <is>
          <t>Steel Foil HF</t>
        </is>
      </c>
      <c r="D22" s="16" t="inlineStr">
        <is>
          <t>Ocelová fólie HF</t>
        </is>
      </c>
      <c r="E22" s="16" t="n">
        <v>1</v>
      </c>
      <c r="F22" s="16" t="inlineStr">
        <is>
          <t>PCS</t>
        </is>
      </c>
      <c r="G22" s="17" t="n">
        <v>2447.5</v>
      </c>
      <c r="H22" s="17" t="n">
        <v>2447.5</v>
      </c>
    </row>
    <row r="23">
      <c r="A23" s="16" t="n">
        <v>200</v>
      </c>
      <c r="B23" s="16" t="inlineStr">
        <is>
          <t>1001428076</t>
        </is>
      </c>
      <c r="C23" s="16" t="inlineStr">
        <is>
          <t>Steel Foil HF</t>
        </is>
      </c>
      <c r="D23" s="16" t="inlineStr">
        <is>
          <t>Ocelová fólie HF</t>
        </is>
      </c>
      <c r="E23" s="16" t="n">
        <v>1</v>
      </c>
      <c r="F23" s="16" t="inlineStr">
        <is>
          <t>PCS</t>
        </is>
      </c>
      <c r="G23" s="17" t="n">
        <v>2447.5</v>
      </c>
      <c r="H23" s="17" t="n">
        <v>2447.5</v>
      </c>
    </row>
    <row r="24">
      <c r="A24" s="16" t="n">
        <v>210</v>
      </c>
      <c r="B24" s="16" t="inlineStr">
        <is>
          <t>1001428077</t>
        </is>
      </c>
      <c r="C24" s="16" t="inlineStr">
        <is>
          <t>KE1400 HT</t>
        </is>
      </c>
      <c r="D24" s="16" t="inlineStr">
        <is>
          <t>Tkanina KE1400 HT (vysokoteplotní)</t>
        </is>
      </c>
      <c r="E24" s="16" t="n">
        <v>1</v>
      </c>
      <c r="F24" s="16" t="inlineStr">
        <is>
          <t>PCS</t>
        </is>
      </c>
      <c r="G24" s="17" t="n">
        <v>2343.35</v>
      </c>
      <c r="H24" s="17" t="n">
        <v>2343.35</v>
      </c>
    </row>
    <row r="25">
      <c r="A25" s="16" t="n">
        <v>220</v>
      </c>
      <c r="B25" s="16" t="inlineStr">
        <is>
          <t>1001428078</t>
        </is>
      </c>
      <c r="C25" s="16" t="inlineStr">
        <is>
          <t>Wiremesh 16/16</t>
        </is>
      </c>
      <c r="D25" s="16" t="inlineStr">
        <is>
          <t>Drátěná síťovina 16/16</t>
        </is>
      </c>
      <c r="E25" s="16" t="n">
        <v>2</v>
      </c>
      <c r="F25" s="16" t="inlineStr">
        <is>
          <t>PCS</t>
        </is>
      </c>
      <c r="G25" s="17" t="n">
        <v>1071.24</v>
      </c>
      <c r="H25" s="17" t="n">
        <v>2142.48</v>
      </c>
    </row>
    <row r="26">
      <c r="A26" s="16" t="n">
        <v>230</v>
      </c>
      <c r="B26" s="16" t="inlineStr">
        <is>
          <t>1001428079</t>
        </is>
      </c>
      <c r="C26" s="16" t="inlineStr">
        <is>
          <t>Steel Foil HF</t>
        </is>
      </c>
      <c r="D26" s="16" t="inlineStr">
        <is>
          <t>Ocelová fólie HF</t>
        </is>
      </c>
      <c r="E26" s="16" t="n">
        <v>2</v>
      </c>
      <c r="F26" s="16" t="inlineStr">
        <is>
          <t>PCS</t>
        </is>
      </c>
      <c r="G26" s="17" t="n">
        <v>2332.19</v>
      </c>
      <c r="H26" s="17" t="n">
        <v>4664.38</v>
      </c>
    </row>
    <row r="27">
      <c r="A27" s="16" t="n">
        <v>240</v>
      </c>
      <c r="B27" s="16" t="inlineStr">
        <is>
          <t>1001428212</t>
        </is>
      </c>
      <c r="C27" s="16" t="inlineStr">
        <is>
          <t>Wiremesh 16/16</t>
        </is>
      </c>
      <c r="D27" s="16" t="inlineStr">
        <is>
          <t>Drátěná síťovina 16/16</t>
        </is>
      </c>
      <c r="E27" s="16" t="n">
        <v>1</v>
      </c>
      <c r="F27" s="16" t="inlineStr">
        <is>
          <t>PCS</t>
        </is>
      </c>
      <c r="G27" s="17" t="n">
        <v>758.8</v>
      </c>
      <c r="H27" s="17" t="n">
        <v>758.8</v>
      </c>
    </row>
    <row r="28">
      <c r="A28" s="16" t="n">
        <v>250</v>
      </c>
      <c r="B28" s="16" t="inlineStr">
        <is>
          <t>1001428213</t>
        </is>
      </c>
      <c r="C28" s="16" t="inlineStr">
        <is>
          <t>Steel Foil HF</t>
        </is>
      </c>
      <c r="D28" s="16" t="inlineStr">
        <is>
          <t>Ocelová fólie HF</t>
        </is>
      </c>
      <c r="E28" s="16" t="n">
        <v>1</v>
      </c>
      <c r="F28" s="16" t="inlineStr">
        <is>
          <t>PCS</t>
        </is>
      </c>
      <c r="G28" s="17" t="n">
        <v>1673.82</v>
      </c>
      <c r="H28" s="17" t="n">
        <v>1673.82</v>
      </c>
    </row>
    <row r="29">
      <c r="A29" s="16" t="n">
        <v>260</v>
      </c>
      <c r="B29" s="16" t="inlineStr">
        <is>
          <t>1001428214</t>
        </is>
      </c>
      <c r="C29" s="16" t="inlineStr">
        <is>
          <t>Joining Kit</t>
        </is>
      </c>
      <c r="D29" s="16" t="inlineStr">
        <is>
          <t>Spojovací sada</t>
        </is>
      </c>
      <c r="E29" s="16" t="n">
        <v>1</v>
      </c>
      <c r="F29" s="16" t="inlineStr">
        <is>
          <t>PCS</t>
        </is>
      </c>
      <c r="G29" s="17" t="n">
        <v>185.98</v>
      </c>
      <c r="H29" s="17" t="n">
        <v>185.98</v>
      </c>
    </row>
    <row r="30">
      <c r="A30" s="18" t="n"/>
      <c r="B30" s="18" t="n"/>
      <c r="C30" s="19" t="inlineStr">
        <is>
          <t>CELKEM zboží</t>
        </is>
      </c>
      <c r="D30" s="18" t="n"/>
      <c r="E30" s="19" t="n">
        <v>35</v>
      </c>
      <c r="F30" s="18" t="n"/>
      <c r="G30" s="18" t="n"/>
      <c r="H30" s="20" t="n">
        <v>207779.39</v>
      </c>
    </row>
    <row r="31">
      <c r="A31" s="18" t="n"/>
      <c r="B31" s="18" t="n"/>
      <c r="C31" s="19" t="inlineStr">
        <is>
          <t>Balné (Packing Charges)</t>
        </is>
      </c>
      <c r="D31" s="18" t="n"/>
      <c r="E31" s="18" t="n"/>
      <c r="F31" s="18" t="n"/>
      <c r="G31" s="18" t="n"/>
      <c r="H31" s="20" t="n">
        <v>5450</v>
      </c>
    </row>
    <row r="32">
      <c r="A32" s="18" t="n"/>
      <c r="B32" s="18" t="n"/>
      <c r="C32" s="19" t="inlineStr">
        <is>
          <t>CELKEM faktura</t>
        </is>
      </c>
      <c r="D32" s="18" t="n"/>
      <c r="E32" s="19" t="n">
        <v>35</v>
      </c>
      <c r="F32" s="18" t="n"/>
      <c r="G32" s="18" t="n"/>
      <c r="H32" s="20" t="n">
        <v>213229.39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1">
        <f>== PREFERENČNÍ PŮVOD (COO) – KRITICKÉ ===</f>
        <v/>
      </c>
    </row>
    <row r="2">
      <c r="A2" s="21" t="inlineStr">
        <is>
          <t>PREFERENČNÍ VĚTA NA FAKTUŘE JE – ale preferenci pro rok 2026 NELZE uplatnit. Uplatní se kód preference 100.</t>
        </is>
      </c>
    </row>
    <row r="3">
      <c r="A3" t="inlineStr">
        <is>
          <t>Znění na faktuře: „REX Declaration: The exporter Ms. EagleBurgmann KE Pvt. Ltd., REX Registration No.: INREX0500068909EC013 of the</t>
        </is>
      </c>
    </row>
    <row r="4">
      <c r="A4" t="inlineStr">
        <is>
          <t>products covered by this document declares that, except where otherwise clearly indicated, these products are of "INDIA"</t>
        </is>
      </c>
    </row>
    <row r="5">
      <c r="A5" t="inlineStr">
        <is>
          <t>preferential origin according to rules of origin of the Generalized System of Preferences of the European Union and that the</t>
        </is>
      </c>
    </row>
    <row r="6">
      <c r="A6" t="inlineStr">
        <is>
          <t>origin criterion met is "W" [Heading of HS System: 7019].“</t>
        </is>
      </c>
    </row>
    <row r="7">
      <c r="A7" s="21" t="inlineStr">
        <is>
          <t>DŮVOD, PROČ PREFERENCE NEPLATÍ:</t>
        </is>
      </c>
    </row>
    <row r="8">
      <c r="A8" t="inlineStr">
        <is>
          <t>Indie byla nařízením (EU) 2025/1909 vyřazena (graduace) ze sekce GSP S-13 = „Výrobky z kamene, sádry, cementu, azbestu,</t>
        </is>
      </c>
    </row>
    <row r="9">
      <c r="A9" t="inlineStr">
        <is>
          <t>slídy nebo podobných materiálů; keramické výrobky; SKLO A SKLENĚNÉ VÝROBKY“ (kapitoly 68–70), a to na období</t>
        </is>
      </c>
    </row>
    <row r="10">
      <c r="A10" t="inlineStr">
        <is>
          <t>od 1. 1. 2026 do 31. 12. 2028. Zbožový kód 7019 90 00 je kapitola 70 → spadá do S-13 → GSP preference pro původ IN</t>
        </is>
      </c>
    </row>
    <row r="11">
      <c r="A11" t="inlineStr">
        <is>
          <t>v tomto období NENÍ dostupná. Prohlášení REX je tedy formálně platné, ale bez celního dopadu.</t>
        </is>
      </c>
    </row>
    <row r="12">
      <c r="A12" t="inlineStr">
        <is>
          <t>→ V JSD uvést kód preference 100 (erga omnes / standardní sazba třetích zemí), NIKOLI 200 (GSP).</t>
        </is>
      </c>
    </row>
    <row r="13">
      <c r="A13" t="inlineStr">
        <is>
          <t>→ Prohlášení REX přesto založit do spisu k zásilce.</t>
        </is>
      </c>
    </row>
    <row r="14">
      <c r="A14" t="inlineStr">
        <is>
          <t>→ Sazbu erga omnes pro 7019 90 00 85 ověřit v TARIC / e-Dovoz ke dni přijetí celního prohlášení.</t>
        </is>
      </c>
    </row>
    <row r="15">
      <c r="A15" t="inlineStr">
        <is>
          <t>→ Pozn.: u dřívějších zásilek EagleBurgmann Indie (do 31. 12. 2025) preference GSP dostupná byla – od 1. 1. 2026 už ne.</t>
        </is>
      </c>
    </row>
    <row r="16">
      <c r="A16" t="inlineStr"/>
    </row>
    <row r="17">
      <c r="A17" s="21">
        <f>== CBAM ===</f>
        <v/>
      </c>
    </row>
    <row r="18">
      <c r="A18" t="inlineStr">
        <is>
          <t>HS 7019 90 00 = výrobky ze skleněných vláken → NENÍ zboží podle přílohy I nařízení CBAM. CBAM se na tuto zásilku nevztahuje.</t>
        </is>
      </c>
    </row>
    <row r="19">
      <c r="A19" t="inlineStr">
        <is>
          <t>Kontrola registru reference/CBAM_receivers_CZ.xlsx (list List1): ani „2JCP a.s.“, ani „EagleBurgmann KE A/S“ v registru NEJSOU.</t>
        </is>
      </c>
    </row>
    <row r="20">
      <c r="A20" t="inlineStr">
        <is>
          <t>→ Pro tuto zásilku to nevadí (CBAM zboží zde není). Pokud však u některé příští zásilky bude CBAM zboží,</t>
        </is>
      </c>
    </row>
    <row r="21">
      <c r="A21" t="inlineStr">
        <is>
          <t xml:space="preserve">   je nutné firmu prověřit a doplnit do registru včetně Y kódu (Y128 / Y238 / Y137).</t>
        </is>
      </c>
    </row>
    <row r="22">
      <c r="A22" t="inlineStr"/>
    </row>
    <row r="23">
      <c r="A23" s="21">
        <f>== ANTIDUMPING ===</f>
        <v/>
      </c>
    </row>
    <row r="24">
      <c r="A24" t="inlineStr">
        <is>
          <t>Antidumpingová a vyrovnávací opatření EU na tkaniny ze skleněných vláken (nař. (EU) 2020/492, 2020/776) se týkají původu ČLR a Egypt.</t>
        </is>
      </c>
    </row>
    <row r="25">
      <c r="A25" t="inlineStr">
        <is>
          <t>V rámci 7019 90 00 míří tato opatření na TARIC linku 7019 90 00 80. Zde je použita linka 7019 90 00 85 (ostatní) a původ INDIE →</t>
        </is>
      </c>
    </row>
    <row r="26">
      <c r="A26" t="inlineStr">
        <is>
          <t>opatření se neuplatní. Právě proto je volba TARIC linky 85 (ne 80) podstatná. Ověřit v TARIC při podání JSD.</t>
        </is>
      </c>
    </row>
    <row r="27">
      <c r="A27" t="inlineStr">
        <is>
          <t>POZOR: kdyby v JSD zůstal původ CN, TARIC by u kap. 7019 mohl vyžadovat antidumpingový přídavný kód – další důvod původ opravit.</t>
        </is>
      </c>
    </row>
    <row r="28">
      <c r="A28" t="inlineStr"/>
    </row>
    <row r="29">
      <c r="A29" s="21">
        <f>== INCOTERM ===</f>
        <v/>
      </c>
    </row>
    <row r="30">
      <c r="A30" t="inlineStr">
        <is>
          <t>EXW Chennai (Indie) – dle faktury „Terms of Delivery &amp; Payment: EXW“, místo převzetí / přístav nakládky Chennai.</t>
        </is>
      </c>
    </row>
    <row r="31">
      <c r="A31" t="inlineStr">
        <is>
          <t>Přeprava LCL/LCL, „FREIGHT COLLECT“, všechny náklady v destinaci hrazeny při dodání (MBL i HBL).</t>
        </is>
      </c>
    </row>
    <row r="32">
      <c r="A32" t="inlineStr">
        <is>
          <t>→ Do celní hodnoty připočíst dopravné + pojištění až do místa vstupu do EU (přístav vykládky Hamburk).</t>
        </is>
      </c>
    </row>
    <row r="33">
      <c r="A33" t="inlineStr">
        <is>
          <t>→ Vyžádat rozpis přepravních nákladů od ECU Worldwide (CZ) / Maurice Ward.</t>
        </is>
      </c>
    </row>
    <row r="34">
      <c r="A34" t="inlineStr"/>
    </row>
    <row r="35">
      <c r="A35" s="21">
        <f>== HODNOTY A HMOTNOSTI ===</f>
        <v/>
      </c>
    </row>
    <row r="36">
      <c r="A36" t="inlineStr">
        <is>
          <t>Hodnota zboží dle faktury č. 266: 207 779,39 DKK (35 ks, součet Annexure-I ověřen).</t>
        </is>
      </c>
    </row>
    <row r="37">
      <c r="A37" t="inlineStr">
        <is>
          <t>Balné (Packing Charges): 5 450,00 DKK – dle čl. 71 UCC součást celní hodnoty.</t>
        </is>
      </c>
    </row>
    <row r="38">
      <c r="A38" t="inlineStr">
        <is>
          <t>Fakturovaná částka celkem: 213 229,39 DKK.</t>
        </is>
      </c>
    </row>
    <row r="39">
      <c r="A39" t="inlineStr">
        <is>
          <t>Obchodní sleva: žádná (na faktuře neuvedena) → proporcionální rozpuštění slevy se neuplatňuje.</t>
        </is>
      </c>
    </row>
    <row r="40">
      <c r="A40" t="inlineStr">
        <is>
          <t>Čistá hmotnost: 1 180,00 kg; hrubá hmotnost: 1 420,00 kg (shodně faktura/packing list, MBL i HBL). Objem 10,098 m³.</t>
        </is>
      </c>
    </row>
    <row r="41">
      <c r="A41" t="inlineStr">
        <is>
          <t>Vše pod jedním HS kódem → rozpouštění hmotností a hodnot mezi kódy není potřeba.</t>
        </is>
      </c>
    </row>
    <row r="42">
      <c r="A42" t="inlineStr">
        <is>
          <t>Přepočet DKK → CZK proveďte celním kurzem platným pro měsíc přijetí celního prohlášení.</t>
        </is>
      </c>
    </row>
    <row r="43">
      <c r="A43" t="inlineStr"/>
    </row>
    <row r="44">
      <c r="A44" s="21">
        <f>== ROZPORY V DOKLADECH – OVĚŘIT ===</f>
        <v/>
      </c>
    </row>
    <row r="45">
      <c r="A45" t="inlineStr">
        <is>
          <t>1) Adresa příjemce: faktura + packing list = 2JCP, Průmyslová 162, 674 01 Třebíč; HBL = 2JCP, Račice 126, 411 08 Štětí.</t>
        </is>
      </c>
    </row>
    <row r="46">
      <c r="A46" t="inlineStr">
        <is>
          <t>2) Packing list uvádí „Pulse Breaker – 5 PC“, ale Annexure-I obsahuje 1 ks. Součet Annexure-I = 35 ks = deklarovaný celkový počet;</t>
        </is>
      </c>
    </row>
    <row r="47">
      <c r="A47" t="inlineStr">
        <is>
          <t xml:space="preserve">   rozpis v packing listu by dával 39 ks. Pro JSD použito množství dle Annexure-I (35 ks).</t>
        </is>
      </c>
    </row>
    <row r="48">
      <c r="A48" t="inlineStr">
        <is>
          <t>3) MBL uvádí přístav vykládky Hamburk a místo dodání Praha; HBL uvádí Prague/Prague. Fyzická dodávka dle e-mailu:</t>
        </is>
      </c>
    </row>
    <row r="49">
      <c r="A49" t="inlineStr">
        <is>
          <t xml:space="preserve">   ECU Worldwide (CZ) s.r.o., Hrušov, cca 20. 9. 2026.</t>
        </is>
      </c>
    </row>
    <row r="50">
      <c r="A50" t="inlineStr"/>
    </row>
    <row r="51">
      <c r="A51" s="21">
        <f>== CLENÍ / ZASTOUPENÍ ===</f>
        <v/>
      </c>
    </row>
    <row r="52">
      <c r="A52" t="inlineStr">
        <is>
          <t>Dle e-mailu Moniky Karlíkové (Maurice Ward): „Clení by mělo být provedeno v dánském čísle EORI EagleBurgmann jako obvykle.“</t>
        </is>
      </c>
    </row>
    <row r="53">
      <c r="A53" t="inlineStr">
        <is>
          <t>Deklarant/dovozce = EagleBurgmann KE A/S, Odinsvej 1, 6950 Ringkøbing, Dánsko (na faktuře jako „Bill To“).</t>
        </is>
      </c>
    </row>
    <row r="54">
      <c r="A54" t="inlineStr">
        <is>
          <t>Zboží fyzicky dodáno k 2JCP a.s. v ČR („Ship To“) → řetězový obchod.</t>
        </is>
      </c>
    </row>
    <row r="55">
      <c r="A55" t="inlineStr">
        <is>
          <t>→ Ověřit platnou plnou moc (nepřímé zastoupení) a režim DPH při dovozu v ČR pro subjekt neusazený v ČR.</t>
        </is>
      </c>
    </row>
    <row r="56">
      <c r="A56" t="inlineStr"/>
    </row>
    <row r="57">
      <c r="A57" s="21">
        <f>== POUŽITÉ DOKLADY ===</f>
        <v/>
      </c>
    </row>
    <row r="58">
      <c r="A58" t="inlineStr">
        <is>
          <t>• Commercial Invoice + Packing List + Annexure-I č. 266 ze dne 9. 7. 2026 (DK26000863_com_inv.pdf)</t>
        </is>
      </c>
    </row>
    <row r="59">
      <c r="A59" t="inlineStr">
        <is>
          <t>• Master B/L MAA/PRG/01684, Allcargo Global Ltd, vydán 22. 7. 2026 (DK26000863_MBL.pdf)</t>
        </is>
      </c>
    </row>
    <row r="60">
      <c r="A60" t="inlineStr">
        <is>
          <t>• House B/L (MTD) SEF/MAA/000013/26-27, CCI Worldwide Logistics, Chennai 22. 7. 2026 (DK26000863_HBL.pdf)</t>
        </is>
      </c>
    </row>
    <row r="61">
      <c r="A61" t="inlineStr">
        <is>
          <t>• E-mail Monika Karlíková, Maurice Ward, věc OR/Import/CZ26012407/2JCP,a.s.</t>
        </is>
      </c>
    </row>
    <row r="62">
      <c r="A62" t="inlineStr">
        <is>
          <t>• Pokyn ze zadání: „Popis + HS code prosím použít z faktury.“ → použit HS 70 19 90 00 a popisy z faktury.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0" customWidth="1" min="3" max="3"/>
    <col width="12" customWidth="1" min="4" max="4"/>
    <col width="78" customWidth="1" min="5" max="5"/>
  </cols>
  <sheetData>
    <row r="1">
      <c r="A1" s="1" t="inlineStr">
        <is>
          <t>Kontrola vyplnění celního prohlášení (list 1 – Běžné údaje) proti dokladům</t>
        </is>
      </c>
    </row>
    <row r="3">
      <c r="A3" s="4" t="inlineStr">
        <is>
          <t>Kolonka / pole</t>
        </is>
      </c>
      <c r="B3" s="4" t="inlineStr">
        <is>
          <t>Zadáno v JSD</t>
        </is>
      </c>
      <c r="C3" s="4" t="inlineStr">
        <is>
          <t>Má být</t>
        </is>
      </c>
      <c r="D3" s="4" t="inlineStr">
        <is>
          <t>Stav</t>
        </is>
      </c>
      <c r="E3" s="4" t="inlineStr">
        <is>
          <t>Zdůvodnění / zdroj</t>
        </is>
      </c>
    </row>
    <row r="4" ht="58" customHeight="1">
      <c r="A4" s="5" t="inlineStr">
        <is>
          <t>34. Země původu (Z.původu)</t>
        </is>
      </c>
      <c r="B4" s="5" t="inlineStr">
        <is>
          <t>CN</t>
        </is>
      </c>
      <c r="C4" s="5" t="inlineStr">
        <is>
          <t>IN</t>
        </is>
      </c>
      <c r="D4" s="22" t="inlineStr">
        <is>
          <t>CHYBA</t>
        </is>
      </c>
      <c r="E4" s="5" t="inlineStr">
        <is>
          <t>Faktura, kol. „Country of origin of goods: India“; REX prohlášení zní na „INDIA“; nakládka Chennai, Indie. CN (Čína) je nesprávný původ a u kap. 7019 může navíc aktivovat antidumpingová opatření.</t>
        </is>
      </c>
    </row>
    <row r="5" ht="58" customHeight="1">
      <c r="A5" s="5" t="inlineStr">
        <is>
          <t>36. Kód preference</t>
        </is>
      </c>
      <c r="B5" s="5" t="inlineStr">
        <is>
          <t>100</t>
        </is>
      </c>
      <c r="C5" s="5" t="inlineStr">
        <is>
          <t>100</t>
        </is>
      </c>
      <c r="D5" s="23" t="inlineStr">
        <is>
          <t>OK</t>
        </is>
      </c>
      <c r="E5" s="5" t="inlineStr">
        <is>
          <t>Správně. Preferenční věta REX na faktuře sice je, ale Indie je nař. (EU) 2025/1909 od 1. 1. 2026 do 31. 12. 2028 vyřazena ze sekce GSP S-13 (kap. 68–70, sklo). Pro 7019 90 00 tedy preference GSP neplatí → erga omnes, kód 100. Kód 200 (GSP) NEUVÁDĚT.</t>
        </is>
      </c>
    </row>
    <row r="6" ht="58" customHeight="1">
      <c r="A6" s="5" t="inlineStr">
        <is>
          <t>33. Zbožový kód</t>
        </is>
      </c>
      <c r="B6" s="5" t="inlineStr">
        <is>
          <t>70199000</t>
        </is>
      </c>
      <c r="C6" s="5" t="inlineStr">
        <is>
          <t>70199000</t>
        </is>
      </c>
      <c r="D6" s="23" t="inlineStr">
        <is>
          <t>OK</t>
        </is>
      </c>
      <c r="E6" s="5" t="inlineStr">
        <is>
          <t>Odpovídá faktuře („HS Tariff: 70 19 90 00“) i B/L („HS CODE: 70199000“) a pokynu zákazníka použít HS kód z faktury.</t>
        </is>
      </c>
    </row>
    <row r="7" ht="58" customHeight="1">
      <c r="A7" s="5" t="inlineStr">
        <is>
          <t>33. TARIC (DK)</t>
        </is>
      </c>
      <c r="B7" s="5" t="inlineStr">
        <is>
          <t>85</t>
        </is>
      </c>
      <c r="C7" s="5" t="inlineStr">
        <is>
          <t>85</t>
        </is>
      </c>
      <c r="D7" s="23" t="inlineStr">
        <is>
          <t>OK</t>
        </is>
      </c>
      <c r="E7" s="5" t="inlineStr">
        <is>
          <t>7019 90 00 85 = „ostatní“. Linka 7019 90 00 80 je ta, na kterou míří antidumping na tkaniny ze skleněných vláken (ČLR/Egypt) – volba 85 je zde správná.</t>
        </is>
      </c>
    </row>
    <row r="8" ht="58" customHeight="1">
      <c r="A8" s="5" t="inlineStr">
        <is>
          <t>31. Popis zboží</t>
        </is>
      </c>
      <c r="B8" s="5" t="inlineStr">
        <is>
          <t>Termoizolační návleky ze skelného vlákna, kompenzátory, bolstery, ocelové fólie, síťoviny, spojovací sady / 35ks</t>
        </is>
      </c>
      <c r="C8" s="5" t="inlineStr">
        <is>
          <t>Nekovové kompenzátory ze skleněných vláken (tkaninové kompenzátory, izolační vložky – bolstery, ocelové fólie, drátěné síťoviny, tlumič pulzací, spojovací sady), 35 ks, 1 dřevěná bedna, zn. DEN01029/26</t>
        </is>
      </c>
      <c r="D8" s="24" t="inlineStr">
        <is>
          <t>UPRAVIT</t>
        </is>
      </c>
      <c r="E8" s="5" t="inlineStr">
        <is>
          <t>Faktura zní „Non Metalic Expansion Joint“ = nekovový kompenzátor. „Termoizolační návleky“ neodpovídá popisu na faktuře – popis by měl odpovídat dokladům a odůvodňovat zařazení. Doplnit značky/počet kusů obalu.</t>
        </is>
      </c>
    </row>
    <row r="9" ht="58" customHeight="1">
      <c r="A9" s="5" t="inlineStr">
        <is>
          <t>Č.p. (položka)</t>
        </is>
      </c>
      <c r="B9" s="5" t="inlineStr">
        <is>
          <t>1</t>
        </is>
      </c>
      <c r="C9" s="5" t="inlineStr">
        <is>
          <t>1</t>
        </is>
      </c>
      <c r="D9" s="23" t="inlineStr">
        <is>
          <t>OK</t>
        </is>
      </c>
      <c r="E9" s="5" t="inlineStr">
        <is>
          <t>Jediný HS kód, jediný odesílatel → jedna položka.</t>
        </is>
      </c>
    </row>
    <row r="10" ht="58" customHeight="1">
      <c r="A10" s="5" t="inlineStr">
        <is>
          <t>Množství</t>
        </is>
      </c>
      <c r="B10" s="5" t="inlineStr">
        <is>
          <t>35 ks</t>
        </is>
      </c>
      <c r="C10" s="5" t="inlineStr">
        <is>
          <t>35 ks</t>
        </is>
      </c>
      <c r="D10" s="23" t="inlineStr">
        <is>
          <t>OK</t>
        </is>
      </c>
      <c r="E10" s="5" t="inlineStr">
        <is>
          <t>Annexure-I: součet 35 ks; faktura i packing list uvádějí celkem 35. (Rozpis v packing listu „Pulse Breaker – 5 PC“ je chybný, dával by 39.)</t>
        </is>
      </c>
    </row>
    <row r="11" ht="58" customHeight="1">
      <c r="A11" s="5" t="inlineStr">
        <is>
          <t>Kód CH / metoda hodnoty</t>
        </is>
      </c>
      <c r="B11" s="5" t="inlineStr">
        <is>
          <t>1 – Metoda 1</t>
        </is>
      </c>
      <c r="C11" s="5" t="inlineStr">
        <is>
          <t>1 – Metoda 1</t>
        </is>
      </c>
      <c r="D11" s="23" t="inlineStr">
        <is>
          <t>OK</t>
        </is>
      </c>
      <c r="E11" s="5" t="inlineStr">
        <is>
          <t>Transakční hodnota – běžný prodej mezi EagleBurgmann Indie a EagleBurgmann KE A/S. OK.</t>
        </is>
      </c>
    </row>
    <row r="12" ht="58" customHeight="1">
      <c r="A12" s="5" t="inlineStr">
        <is>
          <t>37. Režim / upřesnění</t>
        </is>
      </c>
      <c r="B12" s="5" t="inlineStr">
        <is>
          <t>000</t>
        </is>
      </c>
      <c r="C12" s="5" t="inlineStr">
        <is>
          <t>000 (režim 40 00)</t>
        </is>
      </c>
      <c r="D12" s="24" t="inlineStr">
        <is>
          <t>OVĚŘIT</t>
        </is>
      </c>
      <c r="E12" s="5" t="inlineStr">
        <is>
          <t>Volný oběh bez zvláštností je v pořádku. Protože se clí na dánské EORI EagleBurgmann KE A/S (subjekt neusazený v ČR) a zboží zůstává v ČR u 2JCP, ověřit režim DPH a platnou plnou moc k nepřímému zastoupení.</t>
        </is>
      </c>
    </row>
    <row r="13" ht="58" customHeight="1">
      <c r="A13" s="5" t="inlineStr">
        <is>
          <t>38./35. Hmotnosti</t>
        </is>
      </c>
      <c r="B13" s="5" t="inlineStr">
        <is>
          <t>(není na snímku)</t>
        </is>
      </c>
      <c r="C13" s="5" t="inlineStr">
        <is>
          <t>Čistá 1 180,00 kg / hrubá 1 420,00 kg</t>
        </is>
      </c>
      <c r="D13" s="24" t="inlineStr">
        <is>
          <t>DOPLNIT</t>
        </is>
      </c>
      <c r="E13" s="5" t="inlineStr">
        <is>
          <t>Shodně faktura, packing list, MBL i HBL.</t>
        </is>
      </c>
    </row>
    <row r="14" ht="58" customHeight="1">
      <c r="A14" s="5" t="inlineStr">
        <is>
          <t>42./45./46. Celní hodnota</t>
        </is>
      </c>
      <c r="B14" s="5" t="inlineStr">
        <is>
          <t>(není na snímku)</t>
        </is>
      </c>
      <c r="C14" s="5" t="inlineStr">
        <is>
          <t>Zboží 207 779,39 DKK + balné 5 450,00 DKK + dopravné do vstupu do EU</t>
        </is>
      </c>
      <c r="D14" s="24" t="inlineStr">
        <is>
          <t>DOPLNIT</t>
        </is>
      </c>
      <c r="E14" s="5" t="inlineStr">
        <is>
          <t>EXW Chennai + freight collect → dopravné a pojištění do místa vstupu do EU (Hamburk) je nutno k celní hodnotě přičíst. Balné je součástí celní hodnoty (čl. 71 UCC). Přepočet DKK→CZK celním kurzem měsíce přijetí JSD.</t>
        </is>
      </c>
    </row>
    <row r="15" ht="58" customHeight="1">
      <c r="A15" s="5" t="inlineStr">
        <is>
          <t>20. Dodací podmínka</t>
        </is>
      </c>
      <c r="B15" s="5" t="inlineStr">
        <is>
          <t>(není na snímku)</t>
        </is>
      </c>
      <c r="C15" s="5" t="inlineStr">
        <is>
          <t>EXW Chennai</t>
        </is>
      </c>
      <c r="D15" s="24" t="inlineStr">
        <is>
          <t>DOPLNIT</t>
        </is>
      </c>
      <c r="E15" s="5" t="inlineStr">
        <is>
          <t>Faktura: „Terms of Delivery &amp; Payment: EXW“, místo převzetí / přístav nakládky Chennai.</t>
        </is>
      </c>
    </row>
    <row r="16" ht="58" customHeight="1">
      <c r="A16" s="5" t="inlineStr">
        <is>
          <t>8. Příjemce</t>
        </is>
      </c>
      <c r="B16" s="5" t="inlineStr">
        <is>
          <t>(není na snímku)</t>
        </is>
      </c>
      <c r="C16" s="5" t="inlineStr">
        <is>
          <t>Ověřit adresu 2JCP</t>
        </is>
      </c>
      <c r="D16" s="24" t="inlineStr">
        <is>
          <t>OVĚŘIT</t>
        </is>
      </c>
      <c r="E16" s="5" t="inlineStr">
        <is>
          <t>Faktura/packing list: Průmyslová 162, 674 01 Třebíč. HBL: Račice 126, 411 08 Štětí. Před podáním sjednotit.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2026-09-10T11:43:03Z</dcterms:created>
  <dcterms:modified xsi:type="dcterms:W3CDTF">2026-09-10T11:43:03Z</dcterms:modified>
</cp:coreProperties>
</file>