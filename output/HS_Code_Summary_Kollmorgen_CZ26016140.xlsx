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S Summary" sheetId="1" state="visible" r:id="rId1"/>
    <sheet xmlns:r="http://schemas.openxmlformats.org/officeDocument/2006/relationships" name="Položky VDD (HS × původ)" sheetId="2" state="visible" r:id="rId2"/>
    <sheet xmlns:r="http://schemas.openxmlformats.org/officeDocument/2006/relationships" name="Řádky faktur" sheetId="3" state="visible" r:id="rId3"/>
    <sheet xmlns:r="http://schemas.openxmlformats.org/officeDocument/2006/relationships" name="Dokumenty a poznámk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0" fontId="2" fillId="3" borderId="1" pivotButton="0" quotePrefix="0" xfId="0"/>
    <xf numFmtId="164" fontId="2" fillId="3" borderId="1" pivotButton="0" quotePrefix="0" xfId="0"/>
    <xf numFmtId="4" fontId="2" fillId="3" borderId="1" pivotButton="0" quotePrefix="0" xfId="0"/>
    <xf numFmtId="0" fontId="2" fillId="0" borderId="0" pivotButton="0" quotePrefix="0" xfId="0"/>
    <xf numFmtId="0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36" customWidth="1" min="3" max="3"/>
    <col width="12" customWidth="1" min="4" max="4"/>
    <col width="12" customWidth="1" min="5" max="5"/>
    <col width="14" customWidth="1" min="6" max="6"/>
    <col width="14" customWidth="1" min="7" max="7"/>
    <col width="16" customWidth="1" min="8" max="8"/>
    <col width="10" customWidth="1" min="9" max="9"/>
    <col width="60" customWidth="1" min="10" max="10"/>
  </cols>
  <sheetData>
    <row r="1">
      <c r="A1" s="1" t="inlineStr">
        <is>
          <t>HS kód</t>
        </is>
      </c>
      <c r="B1" s="1" t="inlineStr">
        <is>
          <t>KN pro VDD (8 míst)</t>
        </is>
      </c>
      <c r="C1" s="1" t="inlineStr">
        <is>
          <t>Popis zboží (CZ)</t>
        </is>
      </c>
      <c r="D1" s="1" t="inlineStr">
        <is>
          <t>Země původu (COO)</t>
        </is>
      </c>
      <c r="E1" s="1" t="inlineStr">
        <is>
          <t>Celkové množství (ks)</t>
        </is>
      </c>
      <c r="F1" s="1" t="inlineStr">
        <is>
          <t>Čistá hmotnost (kg)</t>
        </is>
      </c>
      <c r="G1" s="1" t="inlineStr">
        <is>
          <t>Hrubá hmotnost (kg)</t>
        </is>
      </c>
      <c r="H1" s="1" t="inlineStr">
        <is>
          <t>Hodnota SEK – Total</t>
        </is>
      </c>
      <c r="I1" s="1" t="inlineStr">
        <is>
          <t>Příznak</t>
        </is>
      </c>
      <c r="J1" s="1" t="inlineStr">
        <is>
          <t>Poznámka</t>
        </is>
      </c>
    </row>
    <row r="2">
      <c r="A2" s="2" t="inlineStr">
        <is>
          <t>8537109199</t>
        </is>
      </c>
      <c r="B2" s="2" t="inlineStr">
        <is>
          <t>85371091</t>
        </is>
      </c>
      <c r="C2" s="2" t="inlineStr">
        <is>
          <t>řídící jednotka pro elektrické vozíky</t>
        </is>
      </c>
      <c r="D2" s="2" t="inlineStr">
        <is>
          <t>LT, SE, US</t>
        </is>
      </c>
      <c r="E2" s="2" t="n">
        <v>18</v>
      </c>
      <c r="F2" s="3" t="n">
        <v>46.63</v>
      </c>
      <c r="G2" s="3" t="n">
        <v>77.95399999999999</v>
      </c>
      <c r="H2" s="4" t="n">
        <v>128376</v>
      </c>
      <c r="I2" s="2" t="inlineStr">
        <is>
          <t>VÝVOZ</t>
        </is>
      </c>
      <c r="J2" s="2" t="inlineStr">
        <is>
          <t>Vč. příplatku za materiál 699 SEK (DN 5976478 ř. 9.1) k ř. 3.1 (83A21300A) – dle pokynu klienta vykázáno jako celek: 8537109199, 13 404 SEK, původ US.</t>
        </is>
      </c>
    </row>
    <row r="3">
      <c r="A3" s="2" t="inlineStr">
        <is>
          <t>85371098</t>
        </is>
      </c>
      <c r="B3" s="2" t="inlineStr">
        <is>
          <t>85371098</t>
        </is>
      </c>
      <c r="C3" s="2" t="inlineStr">
        <is>
          <t>spínač k ovládání vozíků AGV</t>
        </is>
      </c>
      <c r="D3" s="2" t="inlineStr">
        <is>
          <t>LT</t>
        </is>
      </c>
      <c r="E3" s="2" t="n">
        <v>5</v>
      </c>
      <c r="F3" s="3" t="n">
        <v>5</v>
      </c>
      <c r="G3" s="3" t="n">
        <v>8.247</v>
      </c>
      <c r="H3" s="4" t="n">
        <v>29255</v>
      </c>
      <c r="I3" s="2" t="inlineStr">
        <is>
          <t>VÝVOZ</t>
        </is>
      </c>
      <c r="J3" s="2" t="inlineStr">
        <is>
          <t>Kód uveden klientem i na faktuře jen 8místně (KN).</t>
        </is>
      </c>
    </row>
    <row r="4">
      <c r="A4" s="2" t="inlineStr">
        <is>
          <t>8529106990</t>
        </is>
      </c>
      <c r="B4" s="2" t="inlineStr">
        <is>
          <t>85291069</t>
        </is>
      </c>
      <c r="C4" s="2" t="inlineStr">
        <is>
          <t>mobilní anténa</t>
        </is>
      </c>
      <c r="D4" s="2" t="inlineStr">
        <is>
          <t>SE</t>
        </is>
      </c>
      <c r="E4" s="2" t="n">
        <v>4</v>
      </c>
      <c r="F4" s="3" t="n">
        <v>0.9</v>
      </c>
      <c r="G4" s="3" t="n">
        <v>1.508</v>
      </c>
      <c r="H4" s="4" t="n">
        <v>4620</v>
      </c>
      <c r="I4" s="2" t="inlineStr">
        <is>
          <t>VÝVOZ</t>
        </is>
      </c>
      <c r="J4" s="2" t="n"/>
    </row>
    <row r="5">
      <c r="A5" s="2" t="inlineStr">
        <is>
          <t>8536699099</t>
        </is>
      </c>
      <c r="B5" s="2" t="inlineStr">
        <is>
          <t>85366990</t>
        </is>
      </c>
      <c r="C5" s="2" t="inlineStr">
        <is>
          <t>konektory</t>
        </is>
      </c>
      <c r="D5" s="2" t="inlineStr">
        <is>
          <t>US</t>
        </is>
      </c>
      <c r="E5" s="2" t="n">
        <v>8</v>
      </c>
      <c r="F5" s="3" t="n">
        <v>0.49</v>
      </c>
      <c r="G5" s="3" t="n">
        <v>0.822</v>
      </c>
      <c r="H5" s="4" t="n">
        <v>2602</v>
      </c>
      <c r="I5" s="2" t="inlineStr">
        <is>
          <t>VÝVOZ</t>
        </is>
      </c>
      <c r="J5" s="2" t="n"/>
    </row>
    <row r="6">
      <c r="A6" s="2" t="inlineStr">
        <is>
          <t>8544429090</t>
        </is>
      </c>
      <c r="B6" s="2" t="inlineStr">
        <is>
          <t>85444290</t>
        </is>
      </c>
      <c r="C6" s="2" t="inlineStr">
        <is>
          <t>Izolovany kabel s konektorem</t>
        </is>
      </c>
      <c r="D6" s="2" t="inlineStr">
        <is>
          <t>HU</t>
        </is>
      </c>
      <c r="E6" s="2" t="n">
        <v>2</v>
      </c>
      <c r="F6" s="3" t="n">
        <v>0.28</v>
      </c>
      <c r="G6" s="3" t="n">
        <v>0.469</v>
      </c>
      <c r="H6" s="4" t="n">
        <v>316</v>
      </c>
      <c r="I6" s="2" t="inlineStr">
        <is>
          <t>VÝVOZ</t>
        </is>
      </c>
      <c r="J6" s="2" t="n"/>
    </row>
    <row r="7">
      <c r="A7" s="5" t="inlineStr">
        <is>
          <t>CELKEM</t>
        </is>
      </c>
      <c r="B7" s="5" t="n"/>
      <c r="C7" s="5" t="n"/>
      <c r="D7" s="5" t="n"/>
      <c r="E7" s="5">
        <f>SUM(E2:E6)</f>
        <v/>
      </c>
      <c r="F7" s="6">
        <f>SUM(F2:F6)</f>
        <v/>
      </c>
      <c r="G7" s="6">
        <f>SUM(G2:G6)</f>
        <v/>
      </c>
      <c r="H7" s="7">
        <f>SUM(H2:H6)</f>
        <v/>
      </c>
      <c r="I7" s="5" t="n"/>
      <c r="J7" s="5" t="n"/>
    </row>
    <row r="9">
      <c r="A9" s="8" t="inlineStr">
        <is>
          <t>Legenda / hlavička:</t>
        </is>
      </c>
    </row>
    <row r="10">
      <c r="A10" s="8" t="inlineStr">
        <is>
          <t>Režim</t>
        </is>
      </c>
      <c r="B10" t="inlineStr">
        <is>
          <t>VÝVOZ (export) z ČR do Korejské republiky – letecky, TK1772/25 (Turkish Airlines), AWB 235-37919943, Job CZ26016140</t>
        </is>
      </c>
    </row>
    <row r="11">
      <c r="A11" s="8" t="inlineStr">
        <is>
          <t>Odesílatel / vývozce</t>
        </is>
      </c>
      <c r="B11" t="inlineStr">
        <is>
          <t>Kollmorgen Automation AB, Kongegardsgatan 7, SE-43190 Mölndal, Sweden – EORI SE5561142778, DIČ CZ683751747</t>
        </is>
      </c>
    </row>
    <row r="12">
      <c r="A12" s="8" t="inlineStr">
        <is>
          <t>Místo nakládky (Ship From)</t>
        </is>
      </c>
      <c r="B12" t="inlineStr">
        <is>
          <t>Kollmorgen, s.r.o., Central Trade Park, Evropská 864, 664 42 Modřice, CZ</t>
        </is>
      </c>
    </row>
    <row r="13">
      <c r="A13" s="8" t="inlineStr">
        <is>
          <t>Příjemce</t>
        </is>
      </c>
      <c r="B13" t="inlineStr">
        <is>
          <t>GLOBAL TECHNOLOGY CO., LTD, 392 Yeongok-gil, Ipjang-myun, Seobuk-gu, Cheonan-si, Chungcheongnam-do 31026, Korea, Republic of</t>
        </is>
      </c>
    </row>
    <row r="14">
      <c r="A14" s="8" t="inlineStr">
        <is>
          <t>Incoterm</t>
        </is>
      </c>
      <c r="B14" t="inlineStr">
        <is>
          <t>EXW Modřice (CZ) – faktura uvádí jen „EXWORKS“ bez místa; město doplněno podle adresy „Ship From“ – ověřit.</t>
        </is>
      </c>
    </row>
    <row r="15">
      <c r="A15" s="8" t="inlineStr">
        <is>
          <t>Faktury (Total)</t>
        </is>
      </c>
      <c r="B15" t="inlineStr">
        <is>
          <t>CI/DN 5976477: Total 65 819,00 SEK | CI/DN 5976478: Total 99 350,00 SEK | Celkem 165 169,00 SEK (= e-mail klienta)</t>
        </is>
      </c>
    </row>
    <row r="16">
      <c r="A16" s="8" t="inlineStr">
        <is>
          <t>Kusy / hmotnost</t>
        </is>
      </c>
      <c r="B16" t="inlineStr">
        <is>
          <t>2 palety (1 + 1), hrubá 40,0 + 49,0 = 89,0 kg; čistá 23,28 + 30,02 = 53,30 kg</t>
        </is>
      </c>
    </row>
    <row r="17">
      <c r="A17" s="8" t="inlineStr">
        <is>
          <t>Hrubá hmotnost</t>
        </is>
      </c>
      <c r="B17" t="inlineStr">
        <is>
          <t>Na úrovni HS kódu NENÍ v dokladech – rozpočítána proporcionálně podle čisté hmotnosti v rámci každé faktury (faktor 5976477: 40,0/23,28; 5976478: 49,0/30,02).</t>
        </is>
      </c>
    </row>
    <row r="18">
      <c r="A18" s="8" t="inlineStr">
        <is>
          <t>Množství</t>
        </is>
      </c>
      <c r="B18" t="inlineStr">
        <is>
          <t>Příplatek za materiál (DN 5976478 ř. 9.1, 3 EACH) není zboží – nezapočten do kusů ani hmotnosti, jen do hodnoty.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2" customWidth="1" min="3" max="3"/>
    <col width="12" customWidth="1" min="4" max="4"/>
    <col width="14" customWidth="1" min="5" max="5"/>
    <col width="14" customWidth="1" min="6" max="6"/>
    <col width="16" customWidth="1" min="7" max="7"/>
    <col width="50" customWidth="1" min="8" max="8"/>
  </cols>
  <sheetData>
    <row r="1">
      <c r="A1" s="1" t="inlineStr">
        <is>
          <t>HS kód</t>
        </is>
      </c>
      <c r="B1" s="1" t="inlineStr">
        <is>
          <t>Popis zboží (CZ)</t>
        </is>
      </c>
      <c r="C1" s="1" t="inlineStr">
        <is>
          <t>Země původu</t>
        </is>
      </c>
      <c r="D1" s="1" t="inlineStr">
        <is>
          <t>Množství (ks)</t>
        </is>
      </c>
      <c r="E1" s="1" t="inlineStr">
        <is>
          <t>Čistá hmotnost (kg)</t>
        </is>
      </c>
      <c r="F1" s="1" t="inlineStr">
        <is>
          <t>Hrubá hmotnost (kg)</t>
        </is>
      </c>
      <c r="G1" s="1" t="inlineStr">
        <is>
          <t>Hodnota SEK – Total</t>
        </is>
      </c>
      <c r="H1" s="1" t="inlineStr">
        <is>
          <t>Řádky faktur (CI/ř.)</t>
        </is>
      </c>
    </row>
    <row r="2">
      <c r="A2" s="9" t="inlineStr">
        <is>
          <t>8537109199</t>
        </is>
      </c>
      <c r="B2" s="9" t="inlineStr">
        <is>
          <t>řídící jednotka pro elektrické vozíky</t>
        </is>
      </c>
      <c r="C2" s="9" t="inlineStr">
        <is>
          <t>LT</t>
        </is>
      </c>
      <c r="D2" s="9" t="n">
        <v>5</v>
      </c>
      <c r="E2" s="10" t="n">
        <v>4</v>
      </c>
      <c r="F2" s="10" t="n">
        <v>6.667</v>
      </c>
      <c r="G2" s="11" t="n">
        <v>57165</v>
      </c>
      <c r="H2" s="9" t="inlineStr">
        <is>
          <t>5976477/1.1, 5976478/1.1</t>
        </is>
      </c>
    </row>
    <row r="3">
      <c r="A3" s="9" t="inlineStr">
        <is>
          <t>8537109199</t>
        </is>
      </c>
      <c r="B3" s="9" t="inlineStr">
        <is>
          <t>řídící jednotka pro elektrické vozíky</t>
        </is>
      </c>
      <c r="C3" s="9" t="inlineStr">
        <is>
          <t>SE</t>
        </is>
      </c>
      <c r="D3" s="9" t="n">
        <v>10</v>
      </c>
      <c r="E3" s="10" t="n">
        <v>37.23</v>
      </c>
      <c r="F3" s="10" t="n">
        <v>62.473</v>
      </c>
      <c r="G3" s="11" t="n">
        <v>57807</v>
      </c>
      <c r="H3" s="9" t="inlineStr">
        <is>
          <t>5976477/3.1, 5976477/4.1, 5976477/5.1, 5976478/4.1</t>
        </is>
      </c>
    </row>
    <row r="4">
      <c r="A4" s="9" t="inlineStr">
        <is>
          <t>8537109199</t>
        </is>
      </c>
      <c r="B4" s="9" t="inlineStr">
        <is>
          <t>řídící jednotka pro elektrické vozíky</t>
        </is>
      </c>
      <c r="C4" s="9" t="inlineStr">
        <is>
          <t>US</t>
        </is>
      </c>
      <c r="D4" s="9" t="n">
        <v>3</v>
      </c>
      <c r="E4" s="10" t="n">
        <v>5.4</v>
      </c>
      <c r="F4" s="10" t="n">
        <v>8.814</v>
      </c>
      <c r="G4" s="11" t="n">
        <v>13404</v>
      </c>
      <c r="H4" s="9" t="inlineStr">
        <is>
          <t>5976478/3.1, 5976478/9.1</t>
        </is>
      </c>
    </row>
    <row r="5">
      <c r="A5" s="9" t="inlineStr">
        <is>
          <t>85371098</t>
        </is>
      </c>
      <c r="B5" s="9" t="inlineStr">
        <is>
          <t>spínač k ovládání vozíků AGV</t>
        </is>
      </c>
      <c r="C5" s="9" t="inlineStr">
        <is>
          <t>LT</t>
        </is>
      </c>
      <c r="D5" s="9" t="n">
        <v>5</v>
      </c>
      <c r="E5" s="10" t="n">
        <v>5</v>
      </c>
      <c r="F5" s="10" t="n">
        <v>8.247</v>
      </c>
      <c r="G5" s="11" t="n">
        <v>29255</v>
      </c>
      <c r="H5" s="9" t="inlineStr">
        <is>
          <t>5976477/2.1, 5976478/2.1</t>
        </is>
      </c>
    </row>
    <row r="6">
      <c r="A6" s="9" t="inlineStr">
        <is>
          <t>8529106990</t>
        </is>
      </c>
      <c r="B6" s="9" t="inlineStr">
        <is>
          <t>mobilní anténa</t>
        </is>
      </c>
      <c r="C6" s="9" t="inlineStr">
        <is>
          <t>SE</t>
        </is>
      </c>
      <c r="D6" s="9" t="n">
        <v>4</v>
      </c>
      <c r="E6" s="10" t="n">
        <v>0.9</v>
      </c>
      <c r="F6" s="10" t="n">
        <v>1.508</v>
      </c>
      <c r="G6" s="11" t="n">
        <v>4620</v>
      </c>
      <c r="H6" s="9" t="inlineStr">
        <is>
          <t>5976477/6.1, 5976478/5.1</t>
        </is>
      </c>
    </row>
    <row r="7">
      <c r="A7" s="9" t="inlineStr">
        <is>
          <t>8536699099</t>
        </is>
      </c>
      <c r="B7" s="9" t="inlineStr">
        <is>
          <t>konektory</t>
        </is>
      </c>
      <c r="C7" s="9" t="inlineStr">
        <is>
          <t>US</t>
        </is>
      </c>
      <c r="D7" s="9" t="n">
        <v>8</v>
      </c>
      <c r="E7" s="10" t="n">
        <v>0.49</v>
      </c>
      <c r="F7" s="10" t="n">
        <v>0.822</v>
      </c>
      <c r="G7" s="11" t="n">
        <v>2602</v>
      </c>
      <c r="H7" s="9" t="inlineStr">
        <is>
          <t>5976477/7.1, 5976477/8.1, 5976478/6.1, 5976478/7.1</t>
        </is>
      </c>
    </row>
    <row r="8">
      <c r="A8" s="9" t="inlineStr">
        <is>
          <t>8544429090</t>
        </is>
      </c>
      <c r="B8" s="9" t="inlineStr">
        <is>
          <t>Izolovany kabel s konektorem</t>
        </is>
      </c>
      <c r="C8" s="9" t="inlineStr">
        <is>
          <t>HU</t>
        </is>
      </c>
      <c r="D8" s="9" t="n">
        <v>2</v>
      </c>
      <c r="E8" s="10" t="n">
        <v>0.28</v>
      </c>
      <c r="F8" s="10" t="n">
        <v>0.469</v>
      </c>
      <c r="G8" s="11" t="n">
        <v>316</v>
      </c>
      <c r="H8" s="9" t="inlineStr">
        <is>
          <t>5976477/9.1, 5976478/8.1</t>
        </is>
      </c>
    </row>
    <row r="9">
      <c r="A9" s="5" t="inlineStr">
        <is>
          <t>CELKEM</t>
        </is>
      </c>
      <c r="B9" s="5" t="n"/>
      <c r="C9" s="5" t="n"/>
      <c r="D9" s="5">
        <f>SUM(D2:D8)</f>
        <v/>
      </c>
      <c r="E9" s="6">
        <f>SUM(E2:E8)</f>
        <v/>
      </c>
      <c r="F9" s="6">
        <f>SUM(F2:F8)</f>
        <v/>
      </c>
      <c r="G9" s="7">
        <f>SUM(G2:G8)</f>
        <v/>
      </c>
      <c r="H9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32" customWidth="1" min="3" max="3"/>
    <col width="13" customWidth="1" min="4" max="4"/>
    <col width="10" customWidth="1" min="5" max="5"/>
    <col width="13" customWidth="1" min="6" max="6"/>
    <col width="18" customWidth="1" min="7" max="7"/>
    <col width="12" customWidth="1" min="8" max="8"/>
    <col width="8" customWidth="1" min="9" max="9"/>
  </cols>
  <sheetData>
    <row r="1">
      <c r="A1" s="1" t="inlineStr">
        <is>
          <t>Faktura/DN</t>
        </is>
      </c>
      <c r="B1" s="1" t="inlineStr">
        <is>
          <t>Řádek</t>
        </is>
      </c>
      <c r="C1" s="1" t="inlineStr">
        <is>
          <t>Položka</t>
        </is>
      </c>
      <c r="D1" s="1" t="inlineStr">
        <is>
          <t>HS kód</t>
        </is>
      </c>
      <c r="E1" s="1" t="inlineStr">
        <is>
          <t>Množství</t>
        </is>
      </c>
      <c r="F1" s="1" t="inlineStr">
        <is>
          <t>Čistá hm. (kg)</t>
        </is>
      </c>
      <c r="G1" s="1" t="inlineStr">
        <is>
          <t>Hrubá hm. – alokace (kg)</t>
        </is>
      </c>
      <c r="H1" s="1" t="inlineStr">
        <is>
          <t>Total (SEK)</t>
        </is>
      </c>
      <c r="I1" s="1" t="inlineStr">
        <is>
          <t>Původ</t>
        </is>
      </c>
    </row>
    <row r="2">
      <c r="A2" s="9" t="inlineStr">
        <is>
          <t>5976477</t>
        </is>
      </c>
      <c r="B2" s="9" t="inlineStr">
        <is>
          <t>1.1</t>
        </is>
      </c>
      <c r="C2" s="9" t="inlineStr">
        <is>
          <t>18456-01 CVC700</t>
        </is>
      </c>
      <c r="D2" s="9" t="inlineStr">
        <is>
          <t>8537109199</t>
        </is>
      </c>
      <c r="E2" s="9" t="n">
        <v>2</v>
      </c>
      <c r="F2" s="9" t="n">
        <v>1.6</v>
      </c>
      <c r="G2" s="9" t="n">
        <v>2.749</v>
      </c>
      <c r="H2" s="9" t="n">
        <v>22866</v>
      </c>
      <c r="I2" s="9" t="inlineStr">
        <is>
          <t>LT</t>
        </is>
      </c>
    </row>
    <row r="3">
      <c r="A3" s="9" t="inlineStr">
        <is>
          <t>5976477</t>
        </is>
      </c>
      <c r="B3" s="9" t="inlineStr">
        <is>
          <t>2.1</t>
        </is>
      </c>
      <c r="C3" s="9" t="inlineStr">
        <is>
          <t>18442-49 MCD8</t>
        </is>
      </c>
      <c r="D3" s="9" t="inlineStr">
        <is>
          <t>85371098</t>
        </is>
      </c>
      <c r="E3" s="9" t="n">
        <v>1</v>
      </c>
      <c r="F3" s="9" t="n">
        <v>1</v>
      </c>
      <c r="G3" s="9" t="n">
        <v>1.718</v>
      </c>
      <c r="H3" s="9" t="n">
        <v>5851</v>
      </c>
      <c r="I3" s="9" t="inlineStr">
        <is>
          <t>LT</t>
        </is>
      </c>
    </row>
    <row r="4">
      <c r="A4" s="9" t="inlineStr">
        <is>
          <t>5976477</t>
        </is>
      </c>
      <c r="B4" s="9" t="inlineStr">
        <is>
          <t>3.1</t>
        </is>
      </c>
      <c r="C4" s="9" t="inlineStr">
        <is>
          <t>16103-01 AC7-70</t>
        </is>
      </c>
      <c r="D4" s="9" t="inlineStr">
        <is>
          <t>8537109199</t>
        </is>
      </c>
      <c r="E4" s="9" t="n">
        <v>1</v>
      </c>
      <c r="F4" s="9" t="n">
        <v>1</v>
      </c>
      <c r="G4" s="9" t="n">
        <v>1.718</v>
      </c>
      <c r="H4" s="9" t="n">
        <v>3388</v>
      </c>
      <c r="I4" s="9" t="inlineStr">
        <is>
          <t>SE</t>
        </is>
      </c>
    </row>
    <row r="5">
      <c r="A5" s="9" t="inlineStr">
        <is>
          <t>5976477</t>
        </is>
      </c>
      <c r="B5" s="9" t="inlineStr">
        <is>
          <t>4.1</t>
        </is>
      </c>
      <c r="C5" s="9" t="inlineStr">
        <is>
          <t>16103-04 AC7-350</t>
        </is>
      </c>
      <c r="D5" s="9" t="inlineStr">
        <is>
          <t>8537109199</t>
        </is>
      </c>
      <c r="E5" s="9" t="n">
        <v>2</v>
      </c>
      <c r="F5" s="9" t="n">
        <v>5.78</v>
      </c>
      <c r="G5" s="9" t="n">
        <v>9.930999999999999</v>
      </c>
      <c r="H5" s="9" t="n">
        <v>11222</v>
      </c>
      <c r="I5" s="9" t="inlineStr">
        <is>
          <t>SE</t>
        </is>
      </c>
    </row>
    <row r="6">
      <c r="A6" s="9" t="inlineStr">
        <is>
          <t>5976477</t>
        </is>
      </c>
      <c r="B6" s="9" t="inlineStr">
        <is>
          <t>5.1</t>
        </is>
      </c>
      <c r="C6" s="9" t="inlineStr">
        <is>
          <t>83Y05259A ACS4810-350C</t>
        </is>
      </c>
      <c r="D6" s="9" t="inlineStr">
        <is>
          <t>8537109199</t>
        </is>
      </c>
      <c r="E6" s="9" t="n">
        <v>3</v>
      </c>
      <c r="F6" s="9" t="n">
        <v>13.05</v>
      </c>
      <c r="G6" s="9" t="n">
        <v>22.423</v>
      </c>
      <c r="H6" s="9" t="n">
        <v>18513</v>
      </c>
      <c r="I6" s="9" t="inlineStr">
        <is>
          <t>SE</t>
        </is>
      </c>
    </row>
    <row r="7">
      <c r="A7" s="9" t="inlineStr">
        <is>
          <t>5976477</t>
        </is>
      </c>
      <c r="B7" s="9" t="inlineStr">
        <is>
          <t>6.1</t>
        </is>
      </c>
      <c r="C7" s="9" t="inlineStr">
        <is>
          <t>18457-02 Wi-Fi antenna kit</t>
        </is>
      </c>
      <c r="D7" s="9" t="inlineStr">
        <is>
          <t>8529106990</t>
        </is>
      </c>
      <c r="E7" s="9" t="n">
        <v>2</v>
      </c>
      <c r="F7" s="9" t="n">
        <v>0.45</v>
      </c>
      <c r="G7" s="9" t="n">
        <v>0.773</v>
      </c>
      <c r="H7" s="9" t="n">
        <v>2310</v>
      </c>
      <c r="I7" s="9" t="inlineStr">
        <is>
          <t>SE</t>
        </is>
      </c>
    </row>
    <row r="8">
      <c r="A8" s="9" t="inlineStr">
        <is>
          <t>5976477</t>
        </is>
      </c>
      <c r="B8" s="9" t="inlineStr">
        <is>
          <t>7.1</t>
        </is>
      </c>
      <c r="C8" s="9" t="inlineStr">
        <is>
          <t>18452-02 Connector Kit</t>
        </is>
      </c>
      <c r="D8" s="9" t="inlineStr">
        <is>
          <t>8536699099</t>
        </is>
      </c>
      <c r="E8" s="9" t="n">
        <v>3</v>
      </c>
      <c r="F8" s="9" t="n">
        <v>0.15</v>
      </c>
      <c r="G8" s="9" t="n">
        <v>0.258</v>
      </c>
      <c r="H8" s="9" t="n">
        <v>1050</v>
      </c>
      <c r="I8" s="9" t="inlineStr">
        <is>
          <t>US</t>
        </is>
      </c>
    </row>
    <row r="9">
      <c r="A9" s="9" t="inlineStr">
        <is>
          <t>5976477</t>
        </is>
      </c>
      <c r="B9" s="9" t="inlineStr">
        <is>
          <t>8.1</t>
        </is>
      </c>
      <c r="C9" s="9" t="inlineStr">
        <is>
          <t>18448-01 CVC Connector Kit</t>
        </is>
      </c>
      <c r="D9" s="9" t="inlineStr">
        <is>
          <t>8536699099</t>
        </is>
      </c>
      <c r="E9" s="9" t="n">
        <v>1</v>
      </c>
      <c r="F9" s="9" t="n">
        <v>0.11</v>
      </c>
      <c r="G9" s="9" t="n">
        <v>0.189</v>
      </c>
      <c r="H9" s="9" t="n">
        <v>461</v>
      </c>
      <c r="I9" s="9" t="inlineStr">
        <is>
          <t>US</t>
        </is>
      </c>
    </row>
    <row r="10">
      <c r="A10" s="9" t="inlineStr">
        <is>
          <t>5976477</t>
        </is>
      </c>
      <c r="B10" s="9" t="inlineStr">
        <is>
          <t>9.1</t>
        </is>
      </c>
      <c r="C10" s="9" t="inlineStr">
        <is>
          <t>CAB V1-G-BK5M-PUR-U cable</t>
        </is>
      </c>
      <c r="D10" s="9" t="inlineStr">
        <is>
          <t>8544429090</t>
        </is>
      </c>
      <c r="E10" s="9" t="n">
        <v>1</v>
      </c>
      <c r="F10" s="9" t="n">
        <v>0.14</v>
      </c>
      <c r="G10" s="9" t="n">
        <v>0.241</v>
      </c>
      <c r="H10" s="9" t="n">
        <v>158</v>
      </c>
      <c r="I10" s="9" t="inlineStr">
        <is>
          <t>HU</t>
        </is>
      </c>
    </row>
    <row r="11">
      <c r="A11" s="9" t="inlineStr">
        <is>
          <t>5976478</t>
        </is>
      </c>
      <c r="B11" s="9" t="inlineStr">
        <is>
          <t>1.1</t>
        </is>
      </c>
      <c r="C11" s="9" t="inlineStr">
        <is>
          <t>18456-01 CVC700</t>
        </is>
      </c>
      <c r="D11" s="9" t="inlineStr">
        <is>
          <t>8537109199</t>
        </is>
      </c>
      <c r="E11" s="9" t="n">
        <v>3</v>
      </c>
      <c r="F11" s="9" t="n">
        <v>2.4</v>
      </c>
      <c r="G11" s="9" t="n">
        <v>3.917</v>
      </c>
      <c r="H11" s="9" t="n">
        <v>34299</v>
      </c>
      <c r="I11" s="9" t="inlineStr">
        <is>
          <t>LT</t>
        </is>
      </c>
    </row>
    <row r="12">
      <c r="A12" s="9" t="inlineStr">
        <is>
          <t>5976478</t>
        </is>
      </c>
      <c r="B12" s="9" t="inlineStr">
        <is>
          <t>2.1</t>
        </is>
      </c>
      <c r="C12" s="9" t="inlineStr">
        <is>
          <t>18442-49 MCD8</t>
        </is>
      </c>
      <c r="D12" s="9" t="inlineStr">
        <is>
          <t>85371098</t>
        </is>
      </c>
      <c r="E12" s="9" t="n">
        <v>4</v>
      </c>
      <c r="F12" s="9" t="n">
        <v>4</v>
      </c>
      <c r="G12" s="9" t="n">
        <v>6.529</v>
      </c>
      <c r="H12" s="9" t="n">
        <v>23404</v>
      </c>
      <c r="I12" s="9" t="inlineStr">
        <is>
          <t>LT</t>
        </is>
      </c>
    </row>
    <row r="13">
      <c r="A13" s="9" t="inlineStr">
        <is>
          <t>5976478</t>
        </is>
      </c>
      <c r="B13" s="9" t="inlineStr">
        <is>
          <t>3.1</t>
        </is>
      </c>
      <c r="C13" s="9" t="inlineStr">
        <is>
          <t>83A21300A ACD4805-W4</t>
        </is>
      </c>
      <c r="D13" s="9" t="inlineStr">
        <is>
          <t>8537109199</t>
        </is>
      </c>
      <c r="E13" s="9" t="n">
        <v>3</v>
      </c>
      <c r="F13" s="9" t="n">
        <v>5.4</v>
      </c>
      <c r="G13" s="9" t="n">
        <v>8.814</v>
      </c>
      <c r="H13" s="9" t="n">
        <v>12705</v>
      </c>
      <c r="I13" s="9" t="inlineStr">
        <is>
          <t>US</t>
        </is>
      </c>
    </row>
    <row r="14">
      <c r="A14" s="9" t="inlineStr">
        <is>
          <t>5976478</t>
        </is>
      </c>
      <c r="B14" s="9" t="inlineStr">
        <is>
          <t>4.1</t>
        </is>
      </c>
      <c r="C14" s="9" t="inlineStr">
        <is>
          <t>83Y05259A ACS4810-350C</t>
        </is>
      </c>
      <c r="D14" s="9" t="inlineStr">
        <is>
          <t>8537109199</t>
        </is>
      </c>
      <c r="E14" s="9" t="n">
        <v>4</v>
      </c>
      <c r="F14" s="9" t="n">
        <v>17.4</v>
      </c>
      <c r="G14" s="9" t="n">
        <v>28.401</v>
      </c>
      <c r="H14" s="9" t="n">
        <v>24684</v>
      </c>
      <c r="I14" s="9" t="inlineStr">
        <is>
          <t>SE</t>
        </is>
      </c>
    </row>
    <row r="15">
      <c r="A15" s="9" t="inlineStr">
        <is>
          <t>5976478</t>
        </is>
      </c>
      <c r="B15" s="9" t="inlineStr">
        <is>
          <t>5.1</t>
        </is>
      </c>
      <c r="C15" s="9" t="inlineStr">
        <is>
          <t>18457-02 Wi-Fi antenna kit</t>
        </is>
      </c>
      <c r="D15" s="9" t="inlineStr">
        <is>
          <t>8529106990</t>
        </is>
      </c>
      <c r="E15" s="9" t="n">
        <v>2</v>
      </c>
      <c r="F15" s="9" t="n">
        <v>0.45</v>
      </c>
      <c r="G15" s="9" t="n">
        <v>0.735</v>
      </c>
      <c r="H15" s="9" t="n">
        <v>2310</v>
      </c>
      <c r="I15" s="9" t="inlineStr">
        <is>
          <t>SE</t>
        </is>
      </c>
    </row>
    <row r="16">
      <c r="A16" s="9" t="inlineStr">
        <is>
          <t>5976478</t>
        </is>
      </c>
      <c r="B16" s="9" t="inlineStr">
        <is>
          <t>6.1</t>
        </is>
      </c>
      <c r="C16" s="9" t="inlineStr">
        <is>
          <t>19N430A Connector Kit</t>
        </is>
      </c>
      <c r="D16" s="9" t="inlineStr">
        <is>
          <t>8536699099</t>
        </is>
      </c>
      <c r="E16" s="9" t="n">
        <v>3</v>
      </c>
      <c r="F16" s="9" t="n">
        <v>0.12</v>
      </c>
      <c r="G16" s="9" t="n">
        <v>0.196</v>
      </c>
      <c r="H16" s="9" t="n">
        <v>630</v>
      </c>
      <c r="I16" s="9" t="inlineStr">
        <is>
          <t>US</t>
        </is>
      </c>
    </row>
    <row r="17">
      <c r="A17" s="9" t="inlineStr">
        <is>
          <t>5976478</t>
        </is>
      </c>
      <c r="B17" s="9" t="inlineStr">
        <is>
          <t>7.1</t>
        </is>
      </c>
      <c r="C17" s="9" t="inlineStr">
        <is>
          <t>18448-01 CVC Connector Kit</t>
        </is>
      </c>
      <c r="D17" s="9" t="inlineStr">
        <is>
          <t>8536699099</t>
        </is>
      </c>
      <c r="E17" s="9" t="n">
        <v>1</v>
      </c>
      <c r="F17" s="9" t="n">
        <v>0.11</v>
      </c>
      <c r="G17" s="9" t="n">
        <v>0.18</v>
      </c>
      <c r="H17" s="9" t="n">
        <v>461</v>
      </c>
      <c r="I17" s="9" t="inlineStr">
        <is>
          <t>US</t>
        </is>
      </c>
    </row>
    <row r="18">
      <c r="A18" s="9" t="inlineStr">
        <is>
          <t>5976478</t>
        </is>
      </c>
      <c r="B18" s="9" t="inlineStr">
        <is>
          <t>8.1</t>
        </is>
      </c>
      <c r="C18" s="9" t="inlineStr">
        <is>
          <t>CAB V1-G-BK5M-PUR-U cable</t>
        </is>
      </c>
      <c r="D18" s="9" t="inlineStr">
        <is>
          <t>8544429090</t>
        </is>
      </c>
      <c r="E18" s="9" t="n">
        <v>1</v>
      </c>
      <c r="F18" s="9" t="n">
        <v>0.14</v>
      </c>
      <c r="G18" s="9" t="n">
        <v>0.229</v>
      </c>
      <c r="H18" s="9" t="n">
        <v>158</v>
      </c>
      <c r="I18" s="9" t="inlineStr">
        <is>
          <t>HU</t>
        </is>
      </c>
    </row>
    <row r="19">
      <c r="A19" s="9" t="inlineStr">
        <is>
          <t>5976478</t>
        </is>
      </c>
      <c r="B19" s="9" t="inlineStr">
        <is>
          <t>9.1</t>
        </is>
      </c>
      <c r="C19" s="9" t="inlineStr">
        <is>
          <t>Material surcharge for 83A21300A</t>
        </is>
      </c>
      <c r="D19" s="9" t="inlineStr">
        <is>
          <t>8537109199</t>
        </is>
      </c>
      <c r="E19" s="9" t="n">
        <v>0</v>
      </c>
      <c r="F19" s="9" t="n">
        <v>0</v>
      </c>
      <c r="G19" s="9" t="n">
        <v>0</v>
      </c>
      <c r="H19" s="9" t="n">
        <v>699</v>
      </c>
      <c r="I19" s="9" t="inlineStr">
        <is>
          <t>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8">
        <f>== PŘIJATÉ DOKUMENTY (21.10.2026) ===</f>
        <v/>
      </c>
    </row>
    <row r="2">
      <c r="A2" t="inlineStr">
        <is>
          <t>✓ E-mail T. Stejskal (Maurice Ward Air Export) – avízo letecké zásilky, žádost o vývozní celní řízení, Job CZ26016140</t>
        </is>
      </c>
    </row>
    <row r="3">
      <c r="A3" t="inlineStr">
        <is>
          <t>✓ Commercial Invoice 5976477 (19.10.2026, 3 str.) – objednávka 3574439, PO D-F-EC-092880-2-1, Total 65 819,00 SEK</t>
        </is>
      </c>
    </row>
    <row r="4">
      <c r="A4" t="inlineStr">
        <is>
          <t>✓ Commercial Invoice 5976478 (19.10.2026, 2 str.) – objednávka 3574441, PO D-F-EC-089390-5-3, Total 99 350,00 SEK</t>
        </is>
      </c>
    </row>
    <row r="5">
      <c r="A5" t="inlineStr">
        <is>
          <t>✓ Delivery Note 5976477 a 5976478 – shodné s fakturami (položky, HS, hmotnosti)</t>
        </is>
      </c>
    </row>
    <row r="6">
      <c r="A6" t="inlineStr">
        <is>
          <t>✓ Plná moc – dle klienta již u nás (ověřit, že pokrývá Kollmorgen Automation AB / DIČ CZ683751747)</t>
        </is>
      </c>
    </row>
    <row r="7">
      <c r="A7" s="8">
        <f>== VÝVOZ – POKYNY KLIENTA ===</f>
        <v/>
      </c>
    </row>
    <row r="8">
      <c r="A8" t="inlineStr">
        <is>
          <t>Ukončené vývozní doklady VDD vč. datové zprávy zaslat na: kollmorgen.brnoteam_saro@regalrexnord.com</t>
        </is>
      </c>
    </row>
    <row r="9">
      <c r="A9" t="inlineStr">
        <is>
          <t>Ř. 9.1 faktury 5976478 (příplatek za materiál 699 SEK) vykázat spolu s ř. 3.1 (83A21300A) jako celek: 8537109199, 13 404 SEK, původ US.</t>
        </is>
      </c>
    </row>
    <row r="10">
      <c r="A10" t="inlineStr">
        <is>
          <t>Faktury: Tax Code „0% Non-EU“ – osvobozený vývoz.</t>
        </is>
      </c>
    </row>
    <row r="11">
      <c r="A11" s="8">
        <f>== HS KÓDY ===</f>
        <v/>
      </c>
    </row>
    <row r="12">
      <c r="A12" t="inlineStr">
        <is>
          <t>Všechny HS kódy převzaty z faktur / e-mailu klienta – žádný kód nebyl odvozen (pravidlo CCT/VPV KN nepoužito).</t>
        </is>
      </c>
    </row>
    <row r="13">
      <c r="A13" t="inlineStr">
        <is>
          <t>Pro VDD se uvádí 8místný kód KN (sloupec „KN pro VDD“). 85371098 je již uveden jen 8místně.</t>
        </is>
      </c>
    </row>
    <row r="14">
      <c r="A14" s="8">
        <f>== PREFERENČNÍ PŮVOD (preferenční věta) / REX ===</f>
        <v/>
      </c>
    </row>
    <row r="15">
      <c r="A15" t="inlineStr">
        <is>
          <t>✗ Na fakturách ani dodacích listech NENÍ preferenční věta (prohlášení o původu).</t>
        </is>
      </c>
    </row>
    <row r="16">
      <c r="A16" t="inlineStr">
        <is>
          <t>✗ REX číslo / číslo schváleného vývozce NENÍ uvedeno.</t>
        </is>
      </c>
    </row>
    <row r="17">
      <c r="A17" t="inlineStr">
        <is>
          <t>→ Korejský odběratel tedy nemůže uplatnit preferenci dle dohody EU–Korea na základě těchto dokladů. Pokud ji chce, je nutné prohlášení o původu od vývozce.</t>
        </is>
      </c>
    </row>
    <row r="18">
      <c r="A18" t="inlineStr">
        <is>
          <t xml:space="preserve">   (Pozn.: zboží má různý nepreferenční původ – LT, SE, US, HU; položky s původem US by preferenční původ EU stejně nesplňovaly bez ověření.)</t>
        </is>
      </c>
    </row>
    <row r="19">
      <c r="A19" s="8">
        <f>== CBAM / ANTIDUMPING / MELT AND POUR ===</f>
        <v/>
      </c>
    </row>
    <row r="20">
      <c r="A20" t="inlineStr">
        <is>
          <t>CBAM: neaplikuje se – jde o vývoz (CBAM se týká dovozu) a žádný HS kód není CBAM zboží (kap. 85).</t>
        </is>
      </c>
    </row>
    <row r="21">
      <c r="A21" t="inlineStr">
        <is>
          <t>Antidumping: neaplikuje se – vývoz.</t>
        </is>
      </c>
    </row>
    <row r="22">
      <c r="A22" t="inlineStr">
        <is>
          <t>Melt and pour: neaplikuje se – nejde o železo/ocel a jde o vývoz.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2026-10-21T11:43:06Z</dcterms:created>
  <dcterms:modified xmlns:dcterms="http://purl.org/dc/terms/" xmlns:xsi="http://www.w3.org/2001/XMLSchema-instance" xsi:type="dcterms:W3CDTF">2026-10-21T11:43:06Z</dcterms:modified>
</cp:coreProperties>
</file>