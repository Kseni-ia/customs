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>
    <definedName name="_xlnm._FilterDatabase" localSheetId="0" hidden="1">'HS Summary'!$A$1:$S$1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</font>
    <font>
      <b val="1"/>
      <color rgb="00000000"/>
      <sz val="12"/>
    </font>
    <font>
      <color rgb="00000000"/>
      <sz val="10"/>
    </font>
    <font>
      <b val="1"/>
      <color rgb="00000000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4" fontId="3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52" customWidth="1" min="4" max="4"/>
    <col width="26" customWidth="1" min="5" max="5"/>
    <col width="11" customWidth="1" min="6" max="6"/>
    <col width="12" customWidth="1" min="7" max="7"/>
    <col width="14" customWidth="1" min="8" max="8"/>
    <col width="14" customWidth="1" min="9" max="9"/>
    <col width="9" customWidth="1" min="10" max="10"/>
    <col width="16" customWidth="1" min="11" max="11"/>
    <col width="14" customWidth="1" min="12" max="12"/>
    <col width="17" customWidth="1" min="13" max="13"/>
    <col width="15" customWidth="1" min="14" max="14"/>
    <col width="16" customWidth="1" min="15" max="15"/>
    <col width="13" customWidth="1" min="16" max="16"/>
    <col width="16" customWidth="1" min="17" max="17"/>
    <col width="13" customWidth="1" min="18" max="18"/>
    <col width="16" customWidth="1" min="19" max="19"/>
  </cols>
  <sheetData>
    <row r="1" ht="58" customHeight="1">
      <c r="A1" s="1" t="inlineStr">
        <is>
          <t>Odesílatel (sender)</t>
        </is>
      </c>
      <c r="B1" s="1" t="inlineStr">
        <is>
          <t>HS kód (TARIC)</t>
        </is>
      </c>
      <c r="C1" s="1" t="inlineStr">
        <is>
          <t>Popis zboží (CZ – dle klienta)</t>
        </is>
      </c>
      <c r="D1" s="1" t="inlineStr">
        <is>
          <t>Celní popis (CZ – dle klienta)</t>
        </is>
      </c>
      <c r="E1" s="1" t="inlineStr">
        <is>
          <t>Materiál</t>
        </is>
      </c>
      <c r="F1" s="1" t="inlineStr">
        <is>
          <t>Země původu</t>
        </is>
      </c>
      <c r="G1" s="1" t="inlineStr">
        <is>
          <t>Množství (ks)</t>
        </is>
      </c>
      <c r="H1" s="1" t="inlineStr">
        <is>
          <t>Čistá hmotnost NW (kg)</t>
        </is>
      </c>
      <c r="I1" s="1" t="inlineStr">
        <is>
          <t>Hrubá hmotnost GW (kg)</t>
        </is>
      </c>
      <c r="J1" s="1" t="inlineStr">
        <is>
          <t>Kartony</t>
        </is>
      </c>
      <c r="K1" s="1" t="inlineStr">
        <is>
          <t>Hodnota před slevou (USD)</t>
        </is>
      </c>
      <c r="L1" s="1" t="inlineStr">
        <is>
          <t>Sleva 7,53 % (USD)</t>
        </is>
      </c>
      <c r="M1" s="1" t="inlineStr">
        <is>
          <t>Fakturovaná hodnota po slevě (USD)</t>
        </is>
      </c>
      <c r="N1" s="1" t="inlineStr">
        <is>
          <t>Kontrola PSI – podíl (USD)</t>
        </is>
      </c>
      <c r="O1" s="1" t="inlineStr">
        <is>
          <t>CELNÍ HODNOTA (USD)</t>
        </is>
      </c>
      <c r="P1" s="1" t="inlineStr">
        <is>
          <t>Incoterm</t>
        </is>
      </c>
      <c r="Q1" s="1" t="inlineStr">
        <is>
          <t>CBAM</t>
        </is>
      </c>
      <c r="R1" s="1" t="inlineStr">
        <is>
          <t>Antidumping</t>
        </is>
      </c>
      <c r="S1" s="1" t="inlineStr">
        <is>
          <t>Položky faktury</t>
        </is>
      </c>
    </row>
    <row r="2">
      <c r="A2" s="2" t="inlineStr">
        <is>
          <t>ODESÍLATEL 1: Hefei Howell E-commerce Co., Ltd.  |  Faktura 4L26015S (HW23/1)  |  B/L F202616911A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</row>
    <row r="3">
      <c r="A3" s="5" t="inlineStr">
        <is>
          <t>Hefei Howell E-commerce Co., Ltd.</t>
        </is>
      </c>
      <c r="B3" s="5" t="inlineStr">
        <is>
          <t>7009920000</t>
        </is>
      </c>
      <c r="C3" s="6" t="inlineStr">
        <is>
          <t>Skládací kosmetické zrcátko s LED osvětlením</t>
        </is>
      </c>
      <c r="D3" s="6" t="inlineStr">
        <is>
          <t>Skládací zrcátko se skládá z jednoho hlavního prostředního zrcadla, dvou bočních zrcadel a jednoho vysouvacího horní zvětšujícího zrcátka. Ve spodní části je úložný prostor. Lze přepínat mezi třemi světly (teplé, neutrální, studené) a u všech barev lze nastavit intenzita jasu. Napájení pomocí baterií nebo USB kabelu (ani jedno není součástí balení).</t>
        </is>
      </c>
      <c r="E3" s="6" t="inlineStr">
        <is>
          <t>ABS, sklo, LED diody</t>
        </is>
      </c>
      <c r="F3" s="5" t="inlineStr">
        <is>
          <t>CN</t>
        </is>
      </c>
      <c r="G3" s="7" t="n">
        <v>3200</v>
      </c>
      <c r="H3" s="8" t="n">
        <v>3600</v>
      </c>
      <c r="I3" s="8" t="n">
        <v>3760</v>
      </c>
      <c r="J3" s="7" t="n">
        <v>160</v>
      </c>
      <c r="K3" s="9" t="n">
        <v>14720</v>
      </c>
      <c r="L3" s="9" t="n">
        <v>-1108.42</v>
      </c>
      <c r="M3" s="9" t="n">
        <v>13611.58</v>
      </c>
      <c r="N3" s="9" t="n">
        <v>395.79</v>
      </c>
      <c r="O3" s="9" t="n">
        <v>14007.37</v>
      </c>
      <c r="P3" s="5" t="inlineStr">
        <is>
          <t>FOB Ningbo</t>
        </is>
      </c>
      <c r="Q3" s="5" t="inlineStr">
        <is>
          <t>NE – nepodléhá</t>
        </is>
      </c>
      <c r="R3" s="5" t="inlineStr">
        <is>
          <t>NE</t>
        </is>
      </c>
      <c r="S3" s="5" t="inlineStr">
        <is>
          <t>A11</t>
        </is>
      </c>
    </row>
    <row r="4">
      <c r="A4" s="5" t="inlineStr">
        <is>
          <t>Hefei Howell E-commerce Co., Ltd.</t>
        </is>
      </c>
      <c r="B4" s="5" t="inlineStr">
        <is>
          <t>9504908000</t>
        </is>
      </c>
      <c r="C4" s="6" t="inlineStr">
        <is>
          <t>Dřevěné sudoku</t>
        </is>
      </c>
      <c r="D4" s="6" t="inlineStr">
        <is>
          <t>Jedná se o dřevěnou hrací plochu s čísly. Balení obsahuje knížku se zadáním a výsledky 100 různých příkladů sudoku. V zadání jsou vždy červená čísla, se kterými nelze hýbat, doplňují se čísla černá. Hračka pro děti.</t>
        </is>
      </c>
      <c r="E4" s="6" t="inlineStr">
        <is>
          <t>Dřevo, papír</t>
        </is>
      </c>
      <c r="F4" s="5" t="inlineStr">
        <is>
          <t>CN</t>
        </is>
      </c>
      <c r="G4" s="7" t="n">
        <v>2600</v>
      </c>
      <c r="H4" s="8" t="n">
        <v>1755</v>
      </c>
      <c r="I4" s="8" t="n">
        <v>1820</v>
      </c>
      <c r="J4" s="7" t="n">
        <v>65</v>
      </c>
      <c r="K4" s="9" t="n">
        <v>9100</v>
      </c>
      <c r="L4" s="9" t="n">
        <v>-685.23</v>
      </c>
      <c r="M4" s="9" t="n">
        <v>8414.77</v>
      </c>
      <c r="N4" s="9" t="n">
        <v>244.68</v>
      </c>
      <c r="O4" s="9" t="n">
        <v>8659.450000000001</v>
      </c>
      <c r="P4" s="5" t="inlineStr">
        <is>
          <t>FOB Ningbo</t>
        </is>
      </c>
      <c r="Q4" s="5" t="inlineStr">
        <is>
          <t>NE – nepodléhá</t>
        </is>
      </c>
      <c r="R4" s="5" t="inlineStr">
        <is>
          <t>NE</t>
        </is>
      </c>
      <c r="S4" s="5" t="inlineStr">
        <is>
          <t>A14</t>
        </is>
      </c>
    </row>
    <row r="5">
      <c r="A5" s="5" t="inlineStr">
        <is>
          <t>Hefei Howell E-commerce Co., Ltd.</t>
        </is>
      </c>
      <c r="B5" s="5" t="inlineStr">
        <is>
          <t>9503007000</t>
        </is>
      </c>
      <c r="C5" s="6" t="inlineStr">
        <is>
          <t>Třpytivé omalovánky 15 ks; Medvídková dřevěná stavebnice; Strojek na kamínky do vlasů</t>
        </is>
      </c>
      <c r="D5" s="6" t="inlineStr">
        <is>
          <t>Na obrázku jsou různé lepivé plochy zakryté ochranný papírem. Po jeho sejmutí se na plochu přiloží třpytivý papír a třpytky se k ploše přilepí. Balení obsahuje 15 obrázků, 20 třpytivých papírů a dřevěnou pomůcku pro odrhnutí ochranného papíru. Hračka pro děti. | Medvídková stavebnice obsahuje 4 předlohy, do kterých se mohou skládat medvídci dle fantazie. Nabízí možnost výměny tváře a výměnu oblečení. Hračka pro děti. | Do přístroje se vloží šablony s nalepenýmí kamínky a zmáčkne se. Kamínek se přilepí na místo, na které chcete kamínek nalepit. Funguje manuálně. Kamínky je možné nalepit na vlasy, ale i na oblečení. Kamínky nejsou parmanentní. Je nutné je sundat.</t>
        </is>
      </c>
      <c r="E5" s="6" t="inlineStr">
        <is>
          <t>Papír, PET (fólie), dřevo, Sklo, ABS, papír</t>
        </is>
      </c>
      <c r="F5" s="5" t="inlineStr">
        <is>
          <t>CN</t>
        </is>
      </c>
      <c r="G5" s="7" t="n">
        <v>6050</v>
      </c>
      <c r="H5" s="8" t="n">
        <v>962.5</v>
      </c>
      <c r="I5" s="8" t="n">
        <v>1026.5</v>
      </c>
      <c r="J5" s="7" t="n">
        <v>64</v>
      </c>
      <c r="K5" s="9" t="n">
        <v>8825</v>
      </c>
      <c r="L5" s="9" t="n">
        <v>-664.52</v>
      </c>
      <c r="M5" s="9" t="n">
        <v>8160.48</v>
      </c>
      <c r="N5" s="9" t="n">
        <v>237.28</v>
      </c>
      <c r="O5" s="9" t="n">
        <v>8397.76</v>
      </c>
      <c r="P5" s="5" t="inlineStr">
        <is>
          <t>FOB Ningbo</t>
        </is>
      </c>
      <c r="Q5" s="5" t="inlineStr">
        <is>
          <t>NE – nepodléhá</t>
        </is>
      </c>
      <c r="R5" s="5" t="inlineStr">
        <is>
          <t>NE</t>
        </is>
      </c>
      <c r="S5" s="5" t="inlineStr">
        <is>
          <t>A2, A7, A9</t>
        </is>
      </c>
    </row>
    <row r="6">
      <c r="A6" s="5" t="inlineStr">
        <is>
          <t>Hefei Howell E-commerce Co., Ltd.</t>
        </is>
      </c>
      <c r="B6" s="5" t="inlineStr">
        <is>
          <t>8543709099</t>
        </is>
      </c>
      <c r="C6" s="6" t="inlineStr">
        <is>
          <t>Svítící LED deska na obkreslování</t>
        </is>
      </c>
      <c r="D6" s="6" t="inlineStr">
        <is>
          <t>Deska, která prosvěcuje papír a díky tomu lze snáze obkreslit předlohu. Pomůcka při obkreslování. Deska prosvítí předlohu na papír, kam se obrázek obkresluje. Produkt je elektrozařízení - připojení přes USB kabel.</t>
        </is>
      </c>
      <c r="E6" s="6" t="inlineStr">
        <is>
          <t>akryl, LED světla</t>
        </is>
      </c>
      <c r="F6" s="5" t="inlineStr">
        <is>
          <t>CN</t>
        </is>
      </c>
      <c r="G6" s="7" t="n">
        <v>1760</v>
      </c>
      <c r="H6" s="8" t="n">
        <v>704</v>
      </c>
      <c r="I6" s="8" t="n">
        <v>748</v>
      </c>
      <c r="J6" s="7" t="n">
        <v>44</v>
      </c>
      <c r="K6" s="9" t="n">
        <v>4136</v>
      </c>
      <c r="L6" s="9" t="n">
        <v>-311.44</v>
      </c>
      <c r="M6" s="9" t="n">
        <v>3824.56</v>
      </c>
      <c r="N6" s="9" t="n">
        <v>111.21</v>
      </c>
      <c r="O6" s="9" t="n">
        <v>3935.77</v>
      </c>
      <c r="P6" s="5" t="inlineStr">
        <is>
          <t>FOB Ningbo</t>
        </is>
      </c>
      <c r="Q6" s="5" t="inlineStr">
        <is>
          <t>NE – nepodléhá</t>
        </is>
      </c>
      <c r="R6" s="5" t="inlineStr">
        <is>
          <t>NE</t>
        </is>
      </c>
      <c r="S6" s="5" t="inlineStr">
        <is>
          <t>A15</t>
        </is>
      </c>
    </row>
    <row r="7">
      <c r="A7" s="5" t="inlineStr">
        <is>
          <t>Hefei Howell E-commerce Co., Ltd.</t>
        </is>
      </c>
      <c r="B7" s="5" t="inlineStr">
        <is>
          <t>9404909000</t>
        </is>
      </c>
      <c r="C7" s="6" t="inlineStr">
        <is>
          <t>Polštář černá kočka; Svítící polštář - hvězdička</t>
        </is>
      </c>
      <c r="D7" s="6" t="inlineStr">
        <is>
          <t>Dekorativní polštář v designu černé kočky. | Hvězdička začne po zmáčknutí tlačítka "on" blikat, po dalším zmáčknutí se vypne. Polštářek může dětem pomáhat při usínání ve tmě.Slouží k odpočinku nebo jako dekorace.</t>
        </is>
      </c>
      <c r="E7" s="6" t="inlineStr">
        <is>
          <t>90 % polypropylen, 10 % polyester, Polyester, Led diody, el. součástky</t>
        </is>
      </c>
      <c r="F7" s="5" t="inlineStr">
        <is>
          <t>CN</t>
        </is>
      </c>
      <c r="G7" s="7" t="n">
        <v>1850</v>
      </c>
      <c r="H7" s="8" t="n">
        <v>555</v>
      </c>
      <c r="I7" s="8" t="n">
        <v>625</v>
      </c>
      <c r="J7" s="7" t="n">
        <v>70</v>
      </c>
      <c r="K7" s="9" t="n">
        <v>3893</v>
      </c>
      <c r="L7" s="9" t="n">
        <v>-293.14</v>
      </c>
      <c r="M7" s="9" t="n">
        <v>3599.86</v>
      </c>
      <c r="N7" s="9" t="n">
        <v>104.67</v>
      </c>
      <c r="O7" s="9" t="n">
        <v>3704.53</v>
      </c>
      <c r="P7" s="5" t="inlineStr">
        <is>
          <t>FOB Ningbo</t>
        </is>
      </c>
      <c r="Q7" s="5" t="inlineStr">
        <is>
          <t>NE – nepodléhá</t>
        </is>
      </c>
      <c r="R7" s="5" t="inlineStr">
        <is>
          <t>NE</t>
        </is>
      </c>
      <c r="S7" s="5" t="inlineStr">
        <is>
          <t>A5, A10</t>
        </is>
      </c>
    </row>
    <row r="8">
      <c r="A8" s="5" t="inlineStr">
        <is>
          <t>Hefei Howell E-commerce Co., Ltd.</t>
        </is>
      </c>
      <c r="B8" s="5" t="inlineStr">
        <is>
          <t>6404191000</t>
        </is>
      </c>
      <c r="C8" s="6" t="inlineStr">
        <is>
          <t>Plyšové kočičí pantofle - 36-38</t>
        </is>
      </c>
      <c r="D8" s="6" t="inlineStr">
        <is>
          <t>Designové pantofle pro dospělé.</t>
        </is>
      </c>
      <c r="E8" s="6" t="inlineStr">
        <is>
          <t>100% polyester</t>
        </is>
      </c>
      <c r="F8" s="5" t="inlineStr">
        <is>
          <t>CN</t>
        </is>
      </c>
      <c r="G8" s="7" t="n">
        <v>1600</v>
      </c>
      <c r="H8" s="8" t="n">
        <v>384</v>
      </c>
      <c r="I8" s="8" t="n">
        <v>416</v>
      </c>
      <c r="J8" s="7" t="n">
        <v>32</v>
      </c>
      <c r="K8" s="9" t="n">
        <v>3600</v>
      </c>
      <c r="L8" s="9" t="n">
        <v>-271.08</v>
      </c>
      <c r="M8" s="9" t="n">
        <v>3328.92</v>
      </c>
      <c r="N8" s="9" t="n">
        <v>96.8</v>
      </c>
      <c r="O8" s="9" t="n">
        <v>3425.72</v>
      </c>
      <c r="P8" s="5" t="inlineStr">
        <is>
          <t>FOB Ningbo</t>
        </is>
      </c>
      <c r="Q8" s="5" t="inlineStr">
        <is>
          <t>NE – nepodléhá</t>
        </is>
      </c>
      <c r="R8" s="5" t="inlineStr">
        <is>
          <t>NE</t>
        </is>
      </c>
      <c r="S8" s="5" t="inlineStr">
        <is>
          <t>A6</t>
        </is>
      </c>
    </row>
    <row r="9">
      <c r="A9" s="5" t="inlineStr">
        <is>
          <t>Hefei Howell E-commerce Co., Ltd.</t>
        </is>
      </c>
      <c r="B9" s="5" t="inlineStr">
        <is>
          <t>8210000000</t>
        </is>
      </c>
      <c r="C9" s="6" t="inlineStr">
        <is>
          <t>Multifunkční struhadlo a kráječ 3v1</t>
        </is>
      </c>
      <c r="D9" s="6" t="inlineStr">
        <is>
          <t>Mlýnek se třemi vyměnitelnými hlavicemi pro rozdílný styl strouhání. Pomůcka do kucyhně.</t>
        </is>
      </c>
      <c r="E9" s="6" t="inlineStr">
        <is>
          <t>ABS, PETG, PVC, nerezová ocel</t>
        </is>
      </c>
      <c r="F9" s="5" t="inlineStr">
        <is>
          <t>CN</t>
        </is>
      </c>
      <c r="G9" s="7" t="n">
        <v>708</v>
      </c>
      <c r="H9" s="8" t="n">
        <v>590</v>
      </c>
      <c r="I9" s="8" t="n">
        <v>649</v>
      </c>
      <c r="J9" s="7" t="n">
        <v>59</v>
      </c>
      <c r="K9" s="9" t="n">
        <v>2442.6</v>
      </c>
      <c r="L9" s="9" t="n">
        <v>-183.93</v>
      </c>
      <c r="M9" s="9" t="n">
        <v>2258.67</v>
      </c>
      <c r="N9" s="9" t="n">
        <v>65.68000000000001</v>
      </c>
      <c r="O9" s="9" t="n">
        <v>2324.35</v>
      </c>
      <c r="P9" s="5" t="inlineStr">
        <is>
          <t>FOB Ningbo</t>
        </is>
      </c>
      <c r="Q9" s="5" t="inlineStr">
        <is>
          <t>NE – nepodléhá</t>
        </is>
      </c>
      <c r="R9" s="5" t="inlineStr">
        <is>
          <t>NE</t>
        </is>
      </c>
      <c r="S9" s="5" t="inlineStr">
        <is>
          <t>A13</t>
        </is>
      </c>
    </row>
    <row r="10">
      <c r="A10" s="5" t="inlineStr">
        <is>
          <t>Hefei Howell E-commerce Co., Ltd.</t>
        </is>
      </c>
      <c r="B10" s="5" t="inlineStr">
        <is>
          <t>3926909790</t>
        </is>
      </c>
      <c r="C10" s="6" t="inlineStr">
        <is>
          <t>Nastavitelná masážní opěrka na nohy do kanceláře; Šablony pro malování mandal 10 ks</t>
        </is>
      </c>
      <c r="D10" s="6" t="inlineStr">
        <is>
          <t>Nastavitelná opěra na nohy pod stůl. Povrch opěry na nohy imituje kameny. Nejedná se o zdravotnickou pomůcku, pouze relaxační předmět | Balení obsahuje 10 ks šablon. Lze použít při malování na zeď, na papír či při ozdobě textilu, fotoalb a podobně.</t>
        </is>
      </c>
      <c r="E10" s="6" t="inlineStr">
        <is>
          <t>ABS, PET</t>
        </is>
      </c>
      <c r="F10" s="5" t="inlineStr">
        <is>
          <t>CN</t>
        </is>
      </c>
      <c r="G10" s="7" t="n">
        <v>520</v>
      </c>
      <c r="H10" s="8" t="n">
        <v>324.7</v>
      </c>
      <c r="I10" s="8" t="n">
        <v>347.7</v>
      </c>
      <c r="J10" s="7" t="n">
        <v>23</v>
      </c>
      <c r="K10" s="9" t="n">
        <v>1435</v>
      </c>
      <c r="L10" s="9" t="n">
        <v>-108.06</v>
      </c>
      <c r="M10" s="9" t="n">
        <v>1326.94</v>
      </c>
      <c r="N10" s="9" t="n">
        <v>38.58</v>
      </c>
      <c r="O10" s="9" t="n">
        <v>1365.53</v>
      </c>
      <c r="P10" s="5" t="inlineStr">
        <is>
          <t>FOB Ningbo</t>
        </is>
      </c>
      <c r="Q10" s="5" t="inlineStr">
        <is>
          <t>NE – nepodléhá</t>
        </is>
      </c>
      <c r="R10" s="5" t="inlineStr">
        <is>
          <t>NE</t>
        </is>
      </c>
      <c r="S10" s="5" t="inlineStr">
        <is>
          <t>A1, A3</t>
        </is>
      </c>
    </row>
    <row r="11">
      <c r="A11" s="5" t="inlineStr">
        <is>
          <t>Hefei Howell E-commerce Co., Ltd.</t>
        </is>
      </c>
      <c r="B11" s="5" t="inlineStr">
        <is>
          <t>8513100000</t>
        </is>
      </c>
      <c r="C11" s="6" t="inlineStr">
        <is>
          <t>Světlo na čtení na krk</t>
        </is>
      </c>
      <c r="D11" s="6" t="inlineStr">
        <is>
          <t>Přenosné světlo na čtení.</t>
        </is>
      </c>
      <c r="E11" s="6" t="inlineStr">
        <is>
          <t>ABS</t>
        </is>
      </c>
      <c r="F11" s="5" t="inlineStr">
        <is>
          <t>CN</t>
        </is>
      </c>
      <c r="G11" s="7" t="n">
        <v>320</v>
      </c>
      <c r="H11" s="8" t="n">
        <v>60.8</v>
      </c>
      <c r="I11" s="8" t="n">
        <v>64.8</v>
      </c>
      <c r="J11" s="7" t="n">
        <v>4</v>
      </c>
      <c r="K11" s="9" t="n">
        <v>1382.4</v>
      </c>
      <c r="L11" s="9" t="n">
        <v>-104.09</v>
      </c>
      <c r="M11" s="9" t="n">
        <v>1278.31</v>
      </c>
      <c r="N11" s="9" t="n">
        <v>37.17</v>
      </c>
      <c r="O11" s="9" t="n">
        <v>1315.47</v>
      </c>
      <c r="P11" s="5" t="inlineStr">
        <is>
          <t>FOB Ningbo</t>
        </is>
      </c>
      <c r="Q11" s="5" t="inlineStr">
        <is>
          <t>NE – nepodléhá</t>
        </is>
      </c>
      <c r="R11" s="5" t="inlineStr">
        <is>
          <t>NE</t>
        </is>
      </c>
      <c r="S11" s="5" t="inlineStr">
        <is>
          <t>A4</t>
        </is>
      </c>
    </row>
    <row r="12">
      <c r="A12" s="5" t="inlineStr">
        <is>
          <t>Hefei Howell E-commerce Co., Ltd.</t>
        </is>
      </c>
      <c r="B12" s="5" t="inlineStr">
        <is>
          <t>9405214000</t>
        </is>
      </c>
      <c r="C12" s="6" t="inlineStr">
        <is>
          <t>Dětská lampička - medvídek</t>
        </is>
      </c>
      <c r="D12" s="6" t="inlineStr">
        <is>
          <t>Dětská lampička.</t>
        </is>
      </c>
      <c r="E12" s="6" t="inlineStr">
        <is>
          <t>ABS</t>
        </is>
      </c>
      <c r="F12" s="5" t="inlineStr">
        <is>
          <t>CN</t>
        </is>
      </c>
      <c r="G12" s="7" t="n">
        <v>480</v>
      </c>
      <c r="H12" s="8" t="n">
        <v>36</v>
      </c>
      <c r="I12" s="8" t="n">
        <v>40</v>
      </c>
      <c r="J12" s="7" t="n">
        <v>4</v>
      </c>
      <c r="K12" s="9" t="n">
        <v>312</v>
      </c>
      <c r="L12" s="9" t="n">
        <v>-23.49</v>
      </c>
      <c r="M12" s="9" t="n">
        <v>288.51</v>
      </c>
      <c r="N12" s="9" t="n">
        <v>8.390000000000001</v>
      </c>
      <c r="O12" s="9" t="n">
        <v>296.9</v>
      </c>
      <c r="P12" s="5" t="inlineStr">
        <is>
          <t>FOB Ningbo</t>
        </is>
      </c>
      <c r="Q12" s="5" t="inlineStr">
        <is>
          <t>NE – nepodléhá</t>
        </is>
      </c>
      <c r="R12" s="5" t="inlineStr">
        <is>
          <t>NE</t>
        </is>
      </c>
      <c r="S12" s="5" t="inlineStr">
        <is>
          <t>A8</t>
        </is>
      </c>
    </row>
    <row r="13">
      <c r="A13" s="5" t="inlineStr">
        <is>
          <t>Hefei Howell E-commerce Co., Ltd.</t>
        </is>
      </c>
      <c r="B13" s="5" t="inlineStr">
        <is>
          <t>4420909990</t>
        </is>
      </c>
      <c r="C13" s="6" t="inlineStr">
        <is>
          <t>Dřevěný organizér na psací potřeby</t>
        </is>
      </c>
      <c r="D13" s="6" t="inlineStr">
        <is>
          <t>Dřevěný organizér na kancelářské potřeby. Produkt je v rozloženém stavu.</t>
        </is>
      </c>
      <c r="E13" s="6" t="inlineStr">
        <is>
          <t>Dřevovláknitá deska</t>
        </is>
      </c>
      <c r="F13" s="5" t="inlineStr">
        <is>
          <t>CN</t>
        </is>
      </c>
      <c r="G13" s="7" t="n">
        <v>52</v>
      </c>
      <c r="H13" s="8" t="n">
        <v>46</v>
      </c>
      <c r="I13" s="8" t="n">
        <v>48</v>
      </c>
      <c r="J13" s="7" t="n">
        <v>2</v>
      </c>
      <c r="K13" s="9" t="n">
        <v>84.23999999999999</v>
      </c>
      <c r="L13" s="9" t="n">
        <v>-6.34</v>
      </c>
      <c r="M13" s="9" t="n">
        <v>77.90000000000001</v>
      </c>
      <c r="N13" s="9" t="n">
        <v>2.27</v>
      </c>
      <c r="O13" s="9" t="n">
        <v>80.16</v>
      </c>
      <c r="P13" s="5" t="inlineStr">
        <is>
          <t>FOB Ningbo</t>
        </is>
      </c>
      <c r="Q13" s="5" t="inlineStr">
        <is>
          <t>NE – nepodléhá</t>
        </is>
      </c>
      <c r="R13" s="5" t="inlineStr">
        <is>
          <t>NE</t>
        </is>
      </c>
      <c r="S13" s="5" t="inlineStr">
        <is>
          <t>A12</t>
        </is>
      </c>
    </row>
    <row r="14">
      <c r="A14" s="10" t="n"/>
      <c r="B14" s="10" t="n"/>
      <c r="C14" s="10" t="inlineStr">
        <is>
          <t>MEZISOUČET – Hefei Howell E-commerce Co., Ltd.</t>
        </is>
      </c>
      <c r="D14" s="10" t="n"/>
      <c r="E14" s="10" t="n"/>
      <c r="F14" s="10" t="n"/>
      <c r="G14" s="11">
        <f>SUM(G3:G13)</f>
        <v/>
      </c>
      <c r="H14" s="12">
        <f>SUM(H3:H13)</f>
        <v/>
      </c>
      <c r="I14" s="12">
        <f>SUM(I3:I13)</f>
        <v/>
      </c>
      <c r="J14" s="11">
        <f>SUM(J3:J13)</f>
        <v/>
      </c>
      <c r="K14" s="13">
        <f>SUM(K3:K13)</f>
        <v/>
      </c>
      <c r="L14" s="13">
        <f>SUM(L3:L13)</f>
        <v/>
      </c>
      <c r="M14" s="13">
        <f>SUM(M3:M13)</f>
        <v/>
      </c>
      <c r="N14" s="13">
        <f>SUM(N3:N13)</f>
        <v/>
      </c>
      <c r="O14" s="13">
        <f>SUM(O3:O13)</f>
        <v/>
      </c>
      <c r="P14" s="10" t="n"/>
      <c r="Q14" s="10" t="n"/>
      <c r="R14" s="10" t="n"/>
      <c r="S14" s="10" t="n"/>
    </row>
    <row r="15">
      <c r="A15" s="2" t="inlineStr">
        <is>
          <t>ODESÍLATEL 2: Ningbo HowellGoods Import and Export Co., Ltd.  |  Faktura 4L26015S (HW23/2)  |  B/L F202616911B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4" t="n"/>
    </row>
    <row r="16">
      <c r="A16" s="5" t="inlineStr">
        <is>
          <t>Ningbo HowellGoods Import and Export Co., Ltd.</t>
        </is>
      </c>
      <c r="B16" s="5" t="inlineStr">
        <is>
          <t>9504908000</t>
        </is>
      </c>
      <c r="C16" s="6" t="inlineStr">
        <is>
          <t>Desková hra pro dva - 3D puzzle</t>
        </is>
      </c>
      <c r="D16" s="6" t="inlineStr">
        <is>
          <t>Hračka pro děti. Barevné tvary se skládají do předlohy podle obrázků na kartičkách. Hra pro dva. Kdo bude mít jako první hotovo, zazvoní na zvonek.</t>
        </is>
      </c>
      <c r="E16" s="6" t="inlineStr">
        <is>
          <t>Papír, ABS</t>
        </is>
      </c>
      <c r="F16" s="5" t="inlineStr">
        <is>
          <t>CN</t>
        </is>
      </c>
      <c r="G16" s="7" t="n">
        <v>1197</v>
      </c>
      <c r="H16" s="8" t="n">
        <v>323</v>
      </c>
      <c r="I16" s="8" t="n">
        <v>342</v>
      </c>
      <c r="J16" s="7" t="n">
        <v>19</v>
      </c>
      <c r="K16" s="9" t="n">
        <v>1580.04</v>
      </c>
      <c r="L16" s="9" t="n">
        <v>-118.98</v>
      </c>
      <c r="M16" s="9" t="n">
        <v>1461.06</v>
      </c>
      <c r="N16" s="9" t="n">
        <v>42.48</v>
      </c>
      <c r="O16" s="9" t="n">
        <v>1503.55</v>
      </c>
      <c r="P16" s="5" t="inlineStr">
        <is>
          <t>FOB Ningbo</t>
        </is>
      </c>
      <c r="Q16" s="5" t="inlineStr">
        <is>
          <t>NE – nepodléhá</t>
        </is>
      </c>
      <c r="R16" s="5" t="inlineStr">
        <is>
          <t>NE</t>
        </is>
      </c>
      <c r="S16" s="5" t="inlineStr">
        <is>
          <t>B13</t>
        </is>
      </c>
    </row>
    <row r="17">
      <c r="A17" s="5" t="inlineStr">
        <is>
          <t>Ningbo HowellGoods Import and Export Co., Ltd.</t>
        </is>
      </c>
      <c r="B17" s="5" t="inlineStr">
        <is>
          <t>3926909790</t>
        </is>
      </c>
      <c r="C17" s="6" t="inlineStr">
        <is>
          <t>Stolní flexibilní držák na mobil; Skládací univerzální držák na mobil nebo tablet</t>
        </is>
      </c>
      <c r="D17" s="6" t="inlineStr">
        <is>
          <t>Slouží jako nastavitelný držák na telefon. Klipem se přichycuje ke stolu či podobné desce. | Držák na telefon nebo tablet.</t>
        </is>
      </c>
      <c r="E17" s="6" t="inlineStr">
        <is>
          <t>ABS (klipy), Ocel (ohebné lanko), PVC (obal lanka), ABS</t>
        </is>
      </c>
      <c r="F17" s="5" t="inlineStr">
        <is>
          <t>CN</t>
        </is>
      </c>
      <c r="G17" s="7" t="n">
        <v>3800</v>
      </c>
      <c r="H17" s="8" t="n">
        <v>492</v>
      </c>
      <c r="I17" s="8" t="n">
        <v>526</v>
      </c>
      <c r="J17" s="7" t="n">
        <v>34</v>
      </c>
      <c r="K17" s="9" t="n">
        <v>1524</v>
      </c>
      <c r="L17" s="9" t="n">
        <v>-114.76</v>
      </c>
      <c r="M17" s="9" t="n">
        <v>1409.24</v>
      </c>
      <c r="N17" s="9" t="n">
        <v>40.98</v>
      </c>
      <c r="O17" s="9" t="n">
        <v>1450.22</v>
      </c>
      <c r="P17" s="5" t="inlineStr">
        <is>
          <t>FOB Ningbo</t>
        </is>
      </c>
      <c r="Q17" s="5" t="inlineStr">
        <is>
          <t>NE – nepodléhá</t>
        </is>
      </c>
      <c r="R17" s="5" t="inlineStr">
        <is>
          <t>NE</t>
        </is>
      </c>
      <c r="S17" s="5" t="inlineStr">
        <is>
          <t>B2, B5</t>
        </is>
      </c>
    </row>
    <row r="18">
      <c r="A18" s="5" t="inlineStr">
        <is>
          <t>Ningbo HowellGoods Import and Export Co., Ltd.</t>
        </is>
      </c>
      <c r="B18" s="5" t="inlineStr">
        <is>
          <t>8479899790</t>
        </is>
      </c>
      <c r="C18" s="6" t="inlineStr">
        <is>
          <t>Interaktivní hračka pro kočky - ryba; Nabíjecí pohyblivý míček pro zvířata</t>
        </is>
      </c>
      <c r="D18" s="6" t="inlineStr">
        <is>
          <t>Kočičí hračka ve tvaru rybky. Po zapnutí sebou ryba začne mrskat. Při nečinnosti se zastaví a když se do ní šťouchne, opět se rozpohybuje. Součástí balení je USB kabel a sáček se šantou kočičí.
Hračka pro kočky. | Hračka pro psy.</t>
        </is>
      </c>
      <c r="E18" s="6" t="inlineStr">
        <is>
          <t>Polyester, ABS, ABS, Silikon</t>
        </is>
      </c>
      <c r="F18" s="5" t="inlineStr">
        <is>
          <t>CN</t>
        </is>
      </c>
      <c r="G18" s="7" t="n">
        <v>700</v>
      </c>
      <c r="H18" s="8" t="n">
        <v>55.4</v>
      </c>
      <c r="I18" s="8" t="n">
        <v>58.4</v>
      </c>
      <c r="J18" s="7" t="n">
        <v>3</v>
      </c>
      <c r="K18" s="9" t="n">
        <v>815</v>
      </c>
      <c r="L18" s="9" t="n">
        <v>-61.37</v>
      </c>
      <c r="M18" s="9" t="n">
        <v>753.63</v>
      </c>
      <c r="N18" s="9" t="n">
        <v>21.91</v>
      </c>
      <c r="O18" s="9" t="n">
        <v>775.54</v>
      </c>
      <c r="P18" s="5" t="inlineStr">
        <is>
          <t>FOB Ningbo</t>
        </is>
      </c>
      <c r="Q18" s="5" t="inlineStr">
        <is>
          <t>NE – nepodléhá</t>
        </is>
      </c>
      <c r="R18" s="5" t="inlineStr">
        <is>
          <t>NE</t>
        </is>
      </c>
      <c r="S18" s="5" t="inlineStr">
        <is>
          <t>B3, B16</t>
        </is>
      </c>
    </row>
    <row r="19">
      <c r="A19" s="5" t="inlineStr">
        <is>
          <t>Ningbo HowellGoods Import and Export Co., Ltd.</t>
        </is>
      </c>
      <c r="B19" s="5" t="inlineStr">
        <is>
          <t>3924900090</t>
        </is>
      </c>
      <c r="C19" s="6" t="inlineStr">
        <is>
          <t>Kosmetický organizér se zásuvkami; 10 ks přilnavých háčků bez vrtání</t>
        </is>
      </c>
      <c r="D19" s="6" t="inlineStr">
        <is>
          <t>Plastový organizér na kosmetické přípravky s šuplíky. | Přilnavé háčky se umisťují na dlaždičky a zavěšují se za ně např. ručníky. Slouží jako pomůcka do domácnosti.</t>
        </is>
      </c>
      <c r="E19" s="6" t="inlineStr">
        <is>
          <t>PP, PVC</t>
        </is>
      </c>
      <c r="F19" s="5" t="inlineStr">
        <is>
          <t>CN</t>
        </is>
      </c>
      <c r="G19" s="7" t="n">
        <v>1000</v>
      </c>
      <c r="H19" s="8" t="n">
        <v>317</v>
      </c>
      <c r="I19" s="8" t="n">
        <v>346</v>
      </c>
      <c r="J19" s="7" t="n">
        <v>29</v>
      </c>
      <c r="K19" s="9" t="n">
        <v>730</v>
      </c>
      <c r="L19" s="9" t="n">
        <v>-54.97</v>
      </c>
      <c r="M19" s="9" t="n">
        <v>675.03</v>
      </c>
      <c r="N19" s="9" t="n">
        <v>19.63</v>
      </c>
      <c r="O19" s="9" t="n">
        <v>694.66</v>
      </c>
      <c r="P19" s="5" t="inlineStr">
        <is>
          <t>FOB Ningbo</t>
        </is>
      </c>
      <c r="Q19" s="5" t="inlineStr">
        <is>
          <t>NE – nepodléhá</t>
        </is>
      </c>
      <c r="R19" s="5" t="inlineStr">
        <is>
          <t>NE</t>
        </is>
      </c>
      <c r="S19" s="5" t="inlineStr">
        <is>
          <t>B10, B17</t>
        </is>
      </c>
    </row>
    <row r="20">
      <c r="A20" s="5" t="inlineStr">
        <is>
          <t>Ningbo HowellGoods Import and Export Co., Ltd.</t>
        </is>
      </c>
      <c r="B20" s="5" t="inlineStr">
        <is>
          <t>3926100000</t>
        </is>
      </c>
      <c r="C20" s="6" t="inlineStr">
        <is>
          <t>Otočný stojan na tužky</t>
        </is>
      </c>
      <c r="D20" s="6" t="inlineStr">
        <is>
          <t>Organizér na psací potřeby na stůl.</t>
        </is>
      </c>
      <c r="E20" s="6" t="inlineStr">
        <is>
          <t>PP</t>
        </is>
      </c>
      <c r="F20" s="5" t="inlineStr">
        <is>
          <t>CN</t>
        </is>
      </c>
      <c r="G20" s="7" t="n">
        <v>528</v>
      </c>
      <c r="H20" s="8" t="n">
        <v>181.5</v>
      </c>
      <c r="I20" s="8" t="n">
        <v>192.5</v>
      </c>
      <c r="J20" s="7" t="n">
        <v>11</v>
      </c>
      <c r="K20" s="9" t="n">
        <v>686.4</v>
      </c>
      <c r="L20" s="9" t="n">
        <v>-51.69</v>
      </c>
      <c r="M20" s="9" t="n">
        <v>634.71</v>
      </c>
      <c r="N20" s="9" t="n">
        <v>18.46</v>
      </c>
      <c r="O20" s="9" t="n">
        <v>653.17</v>
      </c>
      <c r="P20" s="5" t="inlineStr">
        <is>
          <t>FOB Ningbo</t>
        </is>
      </c>
      <c r="Q20" s="5" t="inlineStr">
        <is>
          <t>NE – nepodléhá</t>
        </is>
      </c>
      <c r="R20" s="5" t="inlineStr">
        <is>
          <t>NE</t>
        </is>
      </c>
      <c r="S20" s="5" t="inlineStr">
        <is>
          <t>B4</t>
        </is>
      </c>
    </row>
    <row r="21">
      <c r="A21" s="5" t="inlineStr">
        <is>
          <t>Ningbo HowellGoods Import and Export Co., Ltd.</t>
        </is>
      </c>
      <c r="B21" s="5" t="inlineStr">
        <is>
          <t>9405423100</t>
        </is>
      </c>
      <c r="C21" s="6" t="inlineStr">
        <is>
          <t>Světlo do WC</t>
        </is>
      </c>
      <c r="D21" s="6" t="inlineStr">
        <is>
          <t>LED podsvícení toaletní mísy, mění barvy nebo svítí 1 barva dle výběru. Svítí pouze ve tmě a rozsvítí se, když zachytí pohyb. Světlo mění 8 barev.</t>
        </is>
      </c>
      <c r="E21" s="6" t="inlineStr">
        <is>
          <t>ABS, LED světlo</t>
        </is>
      </c>
      <c r="F21" s="5" t="inlineStr">
        <is>
          <t>CN</t>
        </is>
      </c>
      <c r="G21" s="7" t="n">
        <v>800</v>
      </c>
      <c r="H21" s="8" t="n">
        <v>40</v>
      </c>
      <c r="I21" s="8" t="n">
        <v>44</v>
      </c>
      <c r="J21" s="7" t="n">
        <v>4</v>
      </c>
      <c r="K21" s="9" t="n">
        <v>656</v>
      </c>
      <c r="L21" s="9" t="n">
        <v>-49.4</v>
      </c>
      <c r="M21" s="9" t="n">
        <v>606.6</v>
      </c>
      <c r="N21" s="9" t="n">
        <v>17.64</v>
      </c>
      <c r="O21" s="9" t="n">
        <v>624.24</v>
      </c>
      <c r="P21" s="5" t="inlineStr">
        <is>
          <t>FOB Ningbo</t>
        </is>
      </c>
      <c r="Q21" s="5" t="inlineStr">
        <is>
          <t>NE – nepodléhá</t>
        </is>
      </c>
      <c r="R21" s="5" t="inlineStr">
        <is>
          <t>NE</t>
        </is>
      </c>
      <c r="S21" s="5" t="inlineStr">
        <is>
          <t>B1</t>
        </is>
      </c>
    </row>
    <row r="22">
      <c r="A22" s="5" t="inlineStr">
        <is>
          <t>Ningbo HowellGoods Import and Export Co., Ltd.</t>
        </is>
      </c>
      <c r="B22" s="5" t="inlineStr">
        <is>
          <t>9503006900</t>
        </is>
      </c>
      <c r="C22" s="6" t="inlineStr">
        <is>
          <t>Dětské puzzle v plechové krabičce - mořská panna</t>
        </is>
      </c>
      <c r="D22" s="6" t="inlineStr">
        <is>
          <t>Puzzle v plechové krabičce. 60 dílků. Hračka pro děti.</t>
        </is>
      </c>
      <c r="E22" s="6" t="inlineStr">
        <is>
          <t>Papír</t>
        </is>
      </c>
      <c r="F22" s="5" t="inlineStr">
        <is>
          <t>CN</t>
        </is>
      </c>
      <c r="G22" s="7" t="n">
        <v>800</v>
      </c>
      <c r="H22" s="8" t="n">
        <v>116</v>
      </c>
      <c r="I22" s="8" t="n">
        <v>120</v>
      </c>
      <c r="J22" s="7" t="n">
        <v>4</v>
      </c>
      <c r="K22" s="9" t="n">
        <v>464</v>
      </c>
      <c r="L22" s="9" t="n">
        <v>-34.94</v>
      </c>
      <c r="M22" s="9" t="n">
        <v>429.06</v>
      </c>
      <c r="N22" s="9" t="n">
        <v>12.48</v>
      </c>
      <c r="O22" s="9" t="n">
        <v>441.54</v>
      </c>
      <c r="P22" s="5" t="inlineStr">
        <is>
          <t>FOB Ningbo</t>
        </is>
      </c>
      <c r="Q22" s="5" t="inlineStr">
        <is>
          <t>NE – nepodléhá</t>
        </is>
      </c>
      <c r="R22" s="5" t="inlineStr">
        <is>
          <t>NE</t>
        </is>
      </c>
      <c r="S22" s="5" t="inlineStr">
        <is>
          <t>B15</t>
        </is>
      </c>
    </row>
    <row r="23">
      <c r="A23" s="5" t="inlineStr">
        <is>
          <t>Ningbo HowellGoods Import and Export Co., Ltd.</t>
        </is>
      </c>
      <c r="B23" s="5" t="inlineStr">
        <is>
          <t>8508110000</t>
        </is>
      </c>
      <c r="C23" s="6" t="inlineStr">
        <is>
          <t>Bezdrátový vysavač/fukar + 6 nástavců</t>
        </is>
      </c>
      <c r="D23" s="6" t="inlineStr">
        <is>
          <t>Nabíjecí přístroj na úklid.</t>
        </is>
      </c>
      <c r="E23" s="6" t="inlineStr">
        <is>
          <t>ABS</t>
        </is>
      </c>
      <c r="F23" s="5" t="inlineStr">
        <is>
          <t>CN</t>
        </is>
      </c>
      <c r="G23" s="7" t="n">
        <v>120</v>
      </c>
      <c r="H23" s="8" t="n">
        <v>57.96</v>
      </c>
      <c r="I23" s="8" t="n">
        <v>60.96</v>
      </c>
      <c r="J23" s="7" t="n">
        <v>3</v>
      </c>
      <c r="K23" s="9" t="n">
        <v>446.4</v>
      </c>
      <c r="L23" s="9" t="n">
        <v>-33.61</v>
      </c>
      <c r="M23" s="9" t="n">
        <v>412.79</v>
      </c>
      <c r="N23" s="9" t="n">
        <v>12</v>
      </c>
      <c r="O23" s="9" t="n">
        <v>424.79</v>
      </c>
      <c r="P23" s="5" t="inlineStr">
        <is>
          <t>FOB Ningbo</t>
        </is>
      </c>
      <c r="Q23" s="5" t="inlineStr">
        <is>
          <t>NE – nepodléhá</t>
        </is>
      </c>
      <c r="R23" s="5" t="inlineStr">
        <is>
          <t>NE</t>
        </is>
      </c>
      <c r="S23" s="5" t="inlineStr">
        <is>
          <t>B12</t>
        </is>
      </c>
    </row>
    <row r="24">
      <c r="A24" s="5" t="inlineStr">
        <is>
          <t>Ningbo HowellGoods Import and Export Co., Ltd.</t>
        </is>
      </c>
      <c r="B24" s="5" t="inlineStr">
        <is>
          <t>9611000000</t>
        </is>
      </c>
      <c r="C24" s="6" t="inlineStr">
        <is>
          <t>Dětská razítka zvířátka - 10 ks</t>
        </is>
      </c>
      <c r="D24" s="6" t="inlineStr">
        <is>
          <t>Dětská razítka s obrázkem. Balení obsahuje 10 ks.</t>
        </is>
      </c>
      <c r="E24" s="6" t="inlineStr">
        <is>
          <t>PP</t>
        </is>
      </c>
      <c r="F24" s="5" t="inlineStr">
        <is>
          <t>CN</t>
        </is>
      </c>
      <c r="G24" s="7" t="n">
        <v>576</v>
      </c>
      <c r="H24" s="8" t="n">
        <v>35.5</v>
      </c>
      <c r="I24" s="8" t="n">
        <v>37.5</v>
      </c>
      <c r="J24" s="7" t="n">
        <v>2</v>
      </c>
      <c r="K24" s="9" t="n">
        <v>414.72</v>
      </c>
      <c r="L24" s="9" t="n">
        <v>-31.23</v>
      </c>
      <c r="M24" s="9" t="n">
        <v>383.49</v>
      </c>
      <c r="N24" s="9" t="n">
        <v>11.15</v>
      </c>
      <c r="O24" s="9" t="n">
        <v>394.64</v>
      </c>
      <c r="P24" s="5" t="inlineStr">
        <is>
          <t>FOB Ningbo</t>
        </is>
      </c>
      <c r="Q24" s="5" t="inlineStr">
        <is>
          <t>NE – nepodléhá</t>
        </is>
      </c>
      <c r="R24" s="5" t="inlineStr">
        <is>
          <t>NE</t>
        </is>
      </c>
      <c r="S24" s="5" t="inlineStr">
        <is>
          <t>B6</t>
        </is>
      </c>
    </row>
    <row r="25">
      <c r="A25" s="5" t="inlineStr">
        <is>
          <t>Ningbo HowellGoods Import and Export Co., Ltd.</t>
        </is>
      </c>
      <c r="B25" s="5" t="inlineStr">
        <is>
          <t>9503007000</t>
        </is>
      </c>
      <c r="C25" s="6" t="inlineStr">
        <is>
          <t>Dřevěný zmrzlinový stánek</t>
        </is>
      </c>
      <c r="D25" s="6" t="inlineStr">
        <is>
          <t>Dřevěný zmrzlinový stánek pro děti. Hračka pro děti.</t>
        </is>
      </c>
      <c r="E25" s="6" t="inlineStr">
        <is>
          <t>Dřevo (natírané)</t>
        </is>
      </c>
      <c r="F25" s="5" t="inlineStr">
        <is>
          <t>CN</t>
        </is>
      </c>
      <c r="G25" s="7" t="n">
        <v>50</v>
      </c>
      <c r="H25" s="8" t="n">
        <v>39.6</v>
      </c>
      <c r="I25" s="8" t="n">
        <v>41.6</v>
      </c>
      <c r="J25" s="7" t="n">
        <v>2</v>
      </c>
      <c r="K25" s="9" t="n">
        <v>404</v>
      </c>
      <c r="L25" s="9" t="n">
        <v>-30.42</v>
      </c>
      <c r="M25" s="9" t="n">
        <v>373.58</v>
      </c>
      <c r="N25" s="9" t="n">
        <v>10.86</v>
      </c>
      <c r="O25" s="9" t="n">
        <v>384.44</v>
      </c>
      <c r="P25" s="5" t="inlineStr">
        <is>
          <t>FOB Ningbo</t>
        </is>
      </c>
      <c r="Q25" s="5" t="inlineStr">
        <is>
          <t>NE – nepodléhá</t>
        </is>
      </c>
      <c r="R25" s="5" t="inlineStr">
        <is>
          <t>NE</t>
        </is>
      </c>
      <c r="S25" s="5" t="inlineStr">
        <is>
          <t>B14</t>
        </is>
      </c>
    </row>
    <row r="26">
      <c r="A26" s="5" t="inlineStr">
        <is>
          <t>Ningbo HowellGoods Import and Export Co., Ltd.</t>
        </is>
      </c>
      <c r="B26" s="5" t="inlineStr">
        <is>
          <t>9505109000</t>
        </is>
      </c>
      <c r="C26" s="6" t="inlineStr">
        <is>
          <t>Vánoční dekorace - chaloupka + 2 františky</t>
        </is>
      </c>
      <c r="D26" s="6" t="inlineStr">
        <is>
          <t>Vánoční dekorace.</t>
        </is>
      </c>
      <c r="E26" s="6" t="inlineStr">
        <is>
          <t>Pryskyřice</t>
        </is>
      </c>
      <c r="F26" s="5" t="inlineStr">
        <is>
          <t>CN</t>
        </is>
      </c>
      <c r="G26" s="7" t="n">
        <v>96</v>
      </c>
      <c r="H26" s="8" t="n">
        <v>34</v>
      </c>
      <c r="I26" s="8" t="n">
        <v>36</v>
      </c>
      <c r="J26" s="7" t="n">
        <v>2</v>
      </c>
      <c r="K26" s="9" t="n">
        <v>388.8</v>
      </c>
      <c r="L26" s="9" t="n">
        <v>-29.28</v>
      </c>
      <c r="M26" s="9" t="n">
        <v>359.52</v>
      </c>
      <c r="N26" s="9" t="n">
        <v>10.45</v>
      </c>
      <c r="O26" s="9" t="n">
        <v>369.98</v>
      </c>
      <c r="P26" s="5" t="inlineStr">
        <is>
          <t>FOB Ningbo</t>
        </is>
      </c>
      <c r="Q26" s="5" t="inlineStr">
        <is>
          <t>NE – nepodléhá</t>
        </is>
      </c>
      <c r="R26" s="5" t="inlineStr">
        <is>
          <t>NE</t>
        </is>
      </c>
      <c r="S26" s="5" t="inlineStr">
        <is>
          <t>B9</t>
        </is>
      </c>
    </row>
    <row r="27">
      <c r="A27" s="5" t="inlineStr">
        <is>
          <t>Ningbo HowellGoods Import and Export Co., Ltd.</t>
        </is>
      </c>
      <c r="B27" s="5" t="inlineStr">
        <is>
          <t>3924100090</t>
        </is>
      </c>
      <c r="C27" s="6" t="inlineStr">
        <is>
          <t>Parní čistič mikrovlnky bez námahy</t>
        </is>
      </c>
      <c r="D27" s="6" t="inlineStr">
        <is>
          <t>Plastová nádoba, do které se nalije voda a ocet a lépe se tak vyčistí mikrovlnná trouba.</t>
        </is>
      </c>
      <c r="E27" s="6" t="inlineStr">
        <is>
          <t>polypropylen</t>
        </is>
      </c>
      <c r="F27" s="5" t="inlineStr">
        <is>
          <t>CN</t>
        </is>
      </c>
      <c r="G27" s="7" t="n">
        <v>750</v>
      </c>
      <c r="H27" s="8" t="n">
        <v>52.5</v>
      </c>
      <c r="I27" s="8" t="n">
        <v>57.5</v>
      </c>
      <c r="J27" s="7" t="n">
        <v>5</v>
      </c>
      <c r="K27" s="9" t="n">
        <v>315</v>
      </c>
      <c r="L27" s="9" t="n">
        <v>-23.72</v>
      </c>
      <c r="M27" s="9" t="n">
        <v>291.28</v>
      </c>
      <c r="N27" s="9" t="n">
        <v>8.470000000000001</v>
      </c>
      <c r="O27" s="9" t="n">
        <v>299.75</v>
      </c>
      <c r="P27" s="5" t="inlineStr">
        <is>
          <t>FOB Ningbo</t>
        </is>
      </c>
      <c r="Q27" s="5" t="inlineStr">
        <is>
          <t>NE – nepodléhá</t>
        </is>
      </c>
      <c r="R27" s="5" t="inlineStr">
        <is>
          <t>NE</t>
        </is>
      </c>
      <c r="S27" s="5" t="inlineStr">
        <is>
          <t>B8</t>
        </is>
      </c>
    </row>
    <row r="28">
      <c r="A28" s="5" t="inlineStr">
        <is>
          <t>Ningbo HowellGoods Import and Export Co., Ltd.</t>
        </is>
      </c>
      <c r="B28" s="5" t="inlineStr">
        <is>
          <t>8210000000</t>
        </is>
      </c>
      <c r="C28" s="6" t="inlineStr">
        <is>
          <t>Obousměrné struhadlo se zásobníkem</t>
        </is>
      </c>
      <c r="D28" s="6" t="inlineStr">
        <is>
          <t>Kuchyňská pomůcka.</t>
        </is>
      </c>
      <c r="E28" s="6" t="inlineStr">
        <is>
          <t>PP, nerezová ocel</t>
        </is>
      </c>
      <c r="F28" s="5" t="inlineStr">
        <is>
          <t>CN</t>
        </is>
      </c>
      <c r="G28" s="7" t="n">
        <v>160</v>
      </c>
      <c r="H28" s="8" t="n">
        <v>60</v>
      </c>
      <c r="I28" s="8" t="n">
        <v>64</v>
      </c>
      <c r="J28" s="7" t="n">
        <v>4</v>
      </c>
      <c r="K28" s="9" t="n">
        <v>299.2</v>
      </c>
      <c r="L28" s="9" t="n">
        <v>-22.53</v>
      </c>
      <c r="M28" s="9" t="n">
        <v>276.67</v>
      </c>
      <c r="N28" s="9" t="n">
        <v>8.039999999999999</v>
      </c>
      <c r="O28" s="9" t="n">
        <v>284.72</v>
      </c>
      <c r="P28" s="5" t="inlineStr">
        <is>
          <t>FOB Ningbo</t>
        </is>
      </c>
      <c r="Q28" s="5" t="inlineStr">
        <is>
          <t>NE – nepodléhá</t>
        </is>
      </c>
      <c r="R28" s="5" t="inlineStr">
        <is>
          <t>NE</t>
        </is>
      </c>
      <c r="S28" s="5" t="inlineStr">
        <is>
          <t>B7</t>
        </is>
      </c>
    </row>
    <row r="29">
      <c r="A29" s="5" t="inlineStr">
        <is>
          <t>Ningbo HowellGoods Import and Export Co., Ltd.</t>
        </is>
      </c>
      <c r="B29" s="5" t="inlineStr">
        <is>
          <t>3402509000</t>
        </is>
      </c>
      <c r="C29" s="6" t="inlineStr">
        <is>
          <t>Sada na čištění obrazovky</t>
        </is>
      </c>
      <c r="D29" s="6" t="inlineStr">
        <is>
          <t>Jedná se o rozprašovač na čistící tekutinu, který je obalen textilií. Textilie slouží pro očištění mobilu.</t>
        </is>
      </c>
      <c r="E29" s="6" t="inlineStr">
        <is>
          <t>PVC, ABS</t>
        </is>
      </c>
      <c r="F29" s="5" t="inlineStr">
        <is>
          <t>CN</t>
        </is>
      </c>
      <c r="G29" s="7" t="n">
        <v>600</v>
      </c>
      <c r="H29" s="8" t="n">
        <v>28.5</v>
      </c>
      <c r="I29" s="8" t="n">
        <v>31.5</v>
      </c>
      <c r="J29" s="7" t="n">
        <v>3</v>
      </c>
      <c r="K29" s="9" t="n">
        <v>258</v>
      </c>
      <c r="L29" s="9" t="n">
        <v>-19.43</v>
      </c>
      <c r="M29" s="9" t="n">
        <v>238.57</v>
      </c>
      <c r="N29" s="9" t="n">
        <v>6.94</v>
      </c>
      <c r="O29" s="9" t="n">
        <v>245.51</v>
      </c>
      <c r="P29" s="5" t="inlineStr">
        <is>
          <t>FOB Ningbo</t>
        </is>
      </c>
      <c r="Q29" s="5" t="inlineStr">
        <is>
          <t>NE – nepodléhá</t>
        </is>
      </c>
      <c r="R29" s="5" t="inlineStr">
        <is>
          <t>NE</t>
        </is>
      </c>
      <c r="S29" s="5" t="inlineStr">
        <is>
          <t>B11</t>
        </is>
      </c>
    </row>
    <row r="30">
      <c r="A30" s="10" t="n"/>
      <c r="B30" s="10" t="n"/>
      <c r="C30" s="10" t="inlineStr">
        <is>
          <t>MEZISOUČET – Ningbo HowellGoods Import and Export Co., Ltd.</t>
        </is>
      </c>
      <c r="D30" s="10" t="n"/>
      <c r="E30" s="10" t="n"/>
      <c r="F30" s="10" t="n"/>
      <c r="G30" s="11">
        <f>SUM(G16:G29)</f>
        <v/>
      </c>
      <c r="H30" s="12">
        <f>SUM(H16:H29)</f>
        <v/>
      </c>
      <c r="I30" s="12">
        <f>SUM(I16:I29)</f>
        <v/>
      </c>
      <c r="J30" s="11">
        <f>SUM(J16:J29)</f>
        <v/>
      </c>
      <c r="K30" s="13">
        <f>SUM(K16:K29)</f>
        <v/>
      </c>
      <c r="L30" s="13">
        <f>SUM(L16:L29)</f>
        <v/>
      </c>
      <c r="M30" s="13">
        <f>SUM(M16:M29)</f>
        <v/>
      </c>
      <c r="N30" s="13">
        <f>SUM(N16:N29)</f>
        <v/>
      </c>
      <c r="O30" s="13">
        <f>SUM(O16:O29)</f>
        <v/>
      </c>
      <c r="P30" s="10" t="n"/>
      <c r="Q30" s="10" t="n"/>
      <c r="R30" s="10" t="n"/>
      <c r="S30" s="10" t="n"/>
    </row>
    <row r="31">
      <c r="A31" s="14" t="n"/>
      <c r="B31" s="14" t="n"/>
      <c r="C31" s="14" t="inlineStr">
        <is>
          <t>CELKEM ZÁSILKA (kontejner MRKU2550993)</t>
        </is>
      </c>
      <c r="D31" s="14" t="n"/>
      <c r="E31" s="14" t="n"/>
      <c r="F31" s="14" t="n"/>
      <c r="G31" s="15" t="n">
        <v>30317</v>
      </c>
      <c r="H31" s="16" t="n">
        <v>10850.96</v>
      </c>
      <c r="I31" s="16" t="n">
        <v>11502.96</v>
      </c>
      <c r="J31" s="15" t="n">
        <v>652</v>
      </c>
      <c r="K31" s="17" t="n">
        <v>58911.8</v>
      </c>
      <c r="L31" s="17" t="n">
        <v>-4436.06</v>
      </c>
      <c r="M31" s="17" t="n">
        <v>54475.74</v>
      </c>
      <c r="N31" s="17" t="n">
        <v>1584</v>
      </c>
      <c r="O31" s="17" t="n">
        <v>56059.74</v>
      </c>
      <c r="P31" s="14" t="inlineStr">
        <is>
          <t>FOB Ningbo</t>
        </is>
      </c>
      <c r="Q31" s="14" t="n"/>
      <c r="R31" s="14" t="n"/>
      <c r="S31" s="14" t="n"/>
    </row>
  </sheetData>
  <autoFilter ref="A1:S1"/>
  <mergeCells count="2">
    <mergeCell ref="A2:S2"/>
    <mergeCell ref="A15:S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8" t="inlineStr">
        <is>
          <t>ZÁSILKA 4Leaders / HW23 / CZ26011214 – kontejner MRKU2550993</t>
        </is>
      </c>
    </row>
    <row r="2">
      <c r="A2" s="19" t="inlineStr"/>
    </row>
    <row r="3">
      <c r="A3" s="20" t="inlineStr">
        <is>
          <t>ZÁKLADNÍ ÚDAJE</t>
        </is>
      </c>
    </row>
    <row r="4">
      <c r="A4" s="19" t="inlineStr">
        <is>
          <t>Příjemce (CZ): 4Leaders, s.r.o., Příběnická 695/5, 390 01 Tábor</t>
        </is>
      </c>
    </row>
    <row r="5">
      <c r="A5" s="19" t="inlineStr">
        <is>
          <t>Kontejner: MRKU2550993 / plomba CN6376432 (1 × 40' HQ, část kontejneru na každý B/L)</t>
        </is>
      </c>
    </row>
    <row r="6">
      <c r="A6" s="19" t="inlineStr">
        <is>
          <t>Plavidlo: MURCIA MAERSK, voy. 630W | Ningbo (CN) → Bremerhaven (DE) | Shipped on board 28. 7. 2026</t>
        </is>
      </c>
    </row>
    <row r="7">
      <c r="A7" s="19" t="inlineStr">
        <is>
          <t>JSD přes Uhříněves na Metransu. ETA Uhříněves dnes, vykládka 25. 9. → vyclít nejpozději 24. 9. 2026.</t>
        </is>
      </c>
    </row>
    <row r="8">
      <c r="A8" s="19" t="inlineStr">
        <is>
          <t>Režim: propuštění do volného oběhu (VO)</t>
        </is>
      </c>
    </row>
    <row r="9">
      <c r="A9" s="19" t="inlineStr">
        <is>
          <t>Celkem: 652 kartonů | NW 10 850,96 kg | GW 11 502,96 kg | 68,52 CBM</t>
        </is>
      </c>
    </row>
    <row r="10">
      <c r="A10" s="19" t="inlineStr"/>
    </row>
    <row r="11">
      <c r="A11" s="20" t="inlineStr">
        <is>
          <t>INCOTERM</t>
        </is>
      </c>
    </row>
    <row r="12">
      <c r="A12" s="19" t="inlineStr">
        <is>
          <t>FOB Ningbo (obě faktury: "SHIPMENT TERMS: FOB NINGBO"). Námořné je FREIGHT COLLECT (oba B/L).</t>
        </is>
      </c>
    </row>
    <row r="13">
      <c r="A13" s="19" t="inlineStr">
        <is>
          <t>!! Námořné (dopravné) není v předaných dokladech vyčísleno. Pro celní hodnotu na hranici EU je nutné</t>
        </is>
      </c>
    </row>
    <row r="14">
      <c r="A14" s="21" t="inlineStr">
        <is>
          <t xml:space="preserve">   doplnit částku dopravného + případné pojištění k FOB hodnotě. Prosím o fakturu za přepravu.</t>
        </is>
      </c>
    </row>
    <row r="15">
      <c r="A15" s="19" t="inlineStr"/>
    </row>
    <row r="16">
      <c r="A16" s="20" t="inlineStr">
        <is>
          <t>NÁKLADY NA KONTROLU (PSI) PŘIČTENÉ K DOPRAVNÉMU</t>
        </is>
      </c>
    </row>
    <row r="17">
      <c r="A17" s="19" t="inlineStr">
        <is>
          <t>Dle pokynu: k dopravnému přidat kontrolu. Faktura GUANGZHOU JINGCHENG INSPECTION COMPANY</t>
        </is>
      </c>
    </row>
    <row r="18">
      <c r="A18" s="19" t="inlineStr">
        <is>
          <t>č. 2201606944 ze dne 31. 7. 2026 (červenec 2026), příjemce 4Leaders s.r.o.:</t>
        </is>
      </c>
    </row>
    <row r="19">
      <c r="A19" s="19" t="inlineStr">
        <is>
          <t xml:space="preserve">   • 34th inspection_Howie – JCI (13. 7. 2026, dodavatel Howie) ....... USD 792,00</t>
        </is>
      </c>
    </row>
    <row r="20">
      <c r="A20" s="19" t="inlineStr">
        <is>
          <t xml:space="preserve">   • 35th inspection_Howie – JCI (19.–20. 7. 2026, dodavatel Howie) ... USD 792,00</t>
        </is>
      </c>
    </row>
    <row r="21">
      <c r="A21" s="19" t="inlineStr">
        <is>
          <t xml:space="preserve">   CELKEM .............................................................. USD 1 584,00</t>
        </is>
      </c>
    </row>
    <row r="22">
      <c r="A22" s="19" t="inlineStr">
        <is>
          <t>Částka 1 584,00 USD je rozpuštěna poměrně dle hodnoty na všechny položky kontejneru HW23</t>
        </is>
      </c>
    </row>
    <row r="23">
      <c r="A23" s="19" t="inlineStr">
        <is>
          <t>(sloupec "Kontrola PSI – podíl") a je součástí sloupce CELNÍ HODNOTA.</t>
        </is>
      </c>
    </row>
    <row r="24">
      <c r="A24" s="19" t="inlineStr">
        <is>
          <t>Pozn.: faktura 2201606944 je souhrnná za celý červenec (celkem USD 8 415) a obsahuje i kontroly</t>
        </is>
      </c>
    </row>
    <row r="25">
      <c r="A25" s="19" t="inlineStr">
        <is>
          <t>jiných dodavatelů (JING, SINO) – do této zásilky vstupují pouze obě položky "Howie" dle pokynu.</t>
        </is>
      </c>
    </row>
    <row r="26">
      <c r="A26" s="19" t="inlineStr"/>
    </row>
    <row r="27">
      <c r="A27" s="20" t="inlineStr">
        <is>
          <t>SLEVA</t>
        </is>
      </c>
    </row>
    <row r="28">
      <c r="A28" s="19" t="inlineStr">
        <is>
          <t>Obě faktury uplatňují slevu "Discount (Devaluation of yuan 7,53 %)" – rozpuštěna poměrně dle hodnoty:</t>
        </is>
      </c>
    </row>
    <row r="29">
      <c r="A29" s="19" t="inlineStr">
        <is>
          <t xml:space="preserve">   Odesílatel 1 (Hefei Howell): 49 930,24 − 3 759,75 = 46 170,49 USD ✓ souhlasí s fakturou</t>
        </is>
      </c>
    </row>
    <row r="30">
      <c r="A30" s="19" t="inlineStr">
        <is>
          <t xml:space="preserve">   Odesílatel 2 (Ningbo HowellGoods): 8 981,56 − 676,31 = 8 305,25 USD (faktura uvádí 8 305,24 –</t>
        </is>
      </c>
    </row>
    <row r="31">
      <c r="A31" s="19" t="inlineStr">
        <is>
          <t xml:space="preserve">   rozdíl 0,01 USD je zaokrouhlení na faktuře, ponechána hodnota z faktury)</t>
        </is>
      </c>
    </row>
    <row r="32">
      <c r="A32" s="19" t="inlineStr"/>
    </row>
    <row r="33">
      <c r="A33" s="20" t="inlineStr">
        <is>
          <t>KLASIFIKACE PODLE ODESÍLATELE</t>
        </is>
      </c>
    </row>
    <row r="34">
      <c r="A34" s="19" t="inlineStr">
        <is>
          <t>Zásilka je rozdělena podle odesílatele, uvnitř každého odesílatele jsou položky sloučeny na unikátní</t>
        </is>
      </c>
    </row>
    <row r="35">
      <c r="A35" s="19" t="inlineStr">
        <is>
          <t>HS kódy. Tyto HS kódy se vyskytují u OBOU odesílatelů a jsou proto vedeny na samostatných řádcích:</t>
        </is>
      </c>
    </row>
    <row r="36">
      <c r="A36" s="19" t="inlineStr">
        <is>
          <t xml:space="preserve">   3926 90 97 90, 8210 00 00 00, 9503 00 70 00, 9504 90 80 00</t>
        </is>
      </c>
    </row>
    <row r="37">
      <c r="A37" s="19" t="inlineStr"/>
    </row>
    <row r="38">
      <c r="A38" s="20" t="inlineStr">
        <is>
          <t>HS KÓDY – ZDROJ</t>
        </is>
      </c>
    </row>
    <row r="39">
      <c r="A39" s="19" t="inlineStr">
        <is>
          <t>Všech 32 položek mělo HS kód dodaný klientem v souboru Popis_2026HW23.xlsx (sloupec "Celní</t>
        </is>
      </c>
    </row>
    <row r="40">
      <c r="A40" s="19" t="inlineStr">
        <is>
          <t>nomenklatura"). Žádnou položku nebylo nutné klasifikovat postupem CCT/VPV KN – všechny kódy</t>
        </is>
      </c>
    </row>
    <row r="41">
      <c r="A41" s="19" t="inlineStr">
        <is>
          <t>pocházejí ze zdrojových dokladů, žádný nebyl odvozen.</t>
        </is>
      </c>
    </row>
    <row r="42">
      <c r="A42" s="19" t="inlineStr">
        <is>
          <t>Popisy ve sloupcích "Popis zboží (CZ)" a "Celní popis (CZ)" jsou převzaty doslovně od klienta.</t>
        </is>
      </c>
    </row>
    <row r="43">
      <c r="A43" s="19" t="inlineStr"/>
    </row>
    <row r="44">
      <c r="A44" s="21" t="inlineStr">
        <is>
          <t>!! PREFERENČNÍ VĚTA (COO) – NENÍ</t>
        </is>
      </c>
    </row>
    <row r="45">
      <c r="A45" s="21" t="inlineStr">
        <is>
          <t>Na žádné z obou obchodních faktur (4L26015S HW23/1 i HW23/2) NENÍ uvedena preferenční věta</t>
        </is>
      </c>
    </row>
    <row r="46">
      <c r="A46" s="21" t="inlineStr">
        <is>
          <t>(prohlášení o preferenčním původu). Obě faktury uvádějí pouze "MADE IN CHINA".</t>
        </is>
      </c>
    </row>
    <row r="47">
      <c r="A47" s="21" t="inlineStr">
        <is>
          <t>→ Země původu CN. EU nemá s Čínou preferenční dohodu, uplatní se běžné třetizemní (erga omnes) clo.</t>
        </is>
      </c>
    </row>
    <row r="48">
      <c r="A48" s="21" t="inlineStr">
        <is>
          <t xml:space="preserve">   Preferenční sazbu nelze nárokovat.</t>
        </is>
      </c>
    </row>
    <row r="49">
      <c r="A49" s="19" t="inlineStr"/>
    </row>
    <row r="50">
      <c r="A50" s="21" t="inlineStr">
        <is>
          <t>!! REX ČÍSLO – NENÍ</t>
        </is>
      </c>
    </row>
    <row r="51">
      <c r="A51" s="21" t="inlineStr">
        <is>
          <t>Na žádné z obou faktur NENÍ uvedeno REX číslo (registrovaný vývozce) ani číslo celního povolení</t>
        </is>
      </c>
    </row>
    <row r="52">
      <c r="A52" s="21" t="inlineStr">
        <is>
          <t>vývozce. Absenci uvádím výslovně – bez REX by preferenční nárok stejně nebyl platný, zde je to však</t>
        </is>
      </c>
    </row>
    <row r="53">
      <c r="A53" s="21" t="inlineStr">
        <is>
          <t>bez dopadu, protože preferenční původ se u CN neuplatňuje.</t>
        </is>
      </c>
    </row>
    <row r="54">
      <c r="A54" s="19" t="inlineStr"/>
    </row>
    <row r="55">
      <c r="A55" s="20" t="inlineStr">
        <is>
          <t>CBAM</t>
        </is>
      </c>
    </row>
    <row r="56">
      <c r="A56" s="19" t="inlineStr">
        <is>
          <t>Zásilka NEOBSAHUJE žádné zboží podléhající CBAM. Žádný z 25 HS kódů nespadá do rozsahu CBAM</t>
        </is>
      </c>
    </row>
    <row r="57">
      <c r="A57" s="19" t="inlineStr">
        <is>
          <t>(cement, elektřina, hnojiva, železo a ocel kap. 72/73, hliník kap. 76, vodík).</t>
        </is>
      </c>
    </row>
    <row r="58">
      <c r="A58" s="19" t="inlineStr">
        <is>
          <t>Pozn.: položky A13 a B7 (struhadla, 8210 00 00 00) a B17 (držák, 3926 90 97 90) obsahují nerezovou</t>
        </is>
      </c>
    </row>
    <row r="59">
      <c r="A59" s="19" t="inlineStr">
        <is>
          <t>ocel jako součást, ale jsou zařazeny mimo kapitoly 72/73 → CBAM se neuplatní.</t>
        </is>
      </c>
    </row>
    <row r="60">
      <c r="A60" s="21" t="inlineStr">
        <is>
          <t>Kontrola registru: příjemce 4Leaders, s.r.o. NENÍ uveden v reference/CBAM_receivers_CZ.xlsx</t>
        </is>
      </c>
    </row>
    <row r="61">
      <c r="A61" s="21" t="inlineStr">
        <is>
          <t>(100 záznamů, hledáno dle sloupce Firma). Pro tuto zásilku to nemá dopad, protože CBAM zboží</t>
        </is>
      </c>
    </row>
    <row r="62">
      <c r="A62" s="21" t="inlineStr">
        <is>
          <t>není součástí. Pokud by 4Leaders v budoucnu dovážel CBAM zboží, je třeba firmu do registru doplnit.</t>
        </is>
      </c>
    </row>
    <row r="63">
      <c r="A63" s="19" t="inlineStr"/>
    </row>
    <row r="64">
      <c r="A64" s="20" t="inlineStr">
        <is>
          <t>ANTIDUMPING</t>
        </is>
      </c>
    </row>
    <row r="65">
      <c r="A65" s="19" t="inlineStr">
        <is>
          <t>U žádného z uvedených HS kódů neevidujeme platné antidumpingové opatření EU vůči ČLR.</t>
        </is>
      </c>
    </row>
    <row r="66">
      <c r="A66" s="19" t="inlineStr">
        <is>
          <t>Doporučuji ověřit v TARIC k datu podání JSD.</t>
        </is>
      </c>
    </row>
    <row r="67">
      <c r="A67" s="19" t="inlineStr"/>
    </row>
    <row r="68">
      <c r="A68" s="21" t="inlineStr">
        <is>
          <t>!! NESROVNALOST: ODESÍLATEL NA B/L vs. PRODÁVAJÍCÍ NA FAKTUŘE</t>
        </is>
      </c>
    </row>
    <row r="69">
      <c r="A69" s="21" t="inlineStr">
        <is>
          <t>B/L F202616911B uvádí jako shipper: CHANGSHU YUMUWEN BUSINESS DEPARTMENT</t>
        </is>
      </c>
    </row>
    <row r="70">
      <c r="A70" s="21" t="inlineStr">
        <is>
          <t>(Room 4216-686, 4th Floor, No. 9 Baixue Road, Mocheng Street, Changshu City, Jiangsu, CN),</t>
        </is>
      </c>
    </row>
    <row r="71">
      <c r="A71" s="21" t="inlineStr">
        <is>
          <t>avšak příslušná obchodní faktura 4L26015S (HW23/2) je vystavena společností</t>
        </is>
      </c>
    </row>
    <row r="72">
      <c r="A72" s="21" t="inlineStr">
        <is>
          <t>Ningbo HowellGoods Import and Export Co., Ltd. (Ningbo, Zhejiang).</t>
        </is>
      </c>
    </row>
    <row r="73">
      <c r="A73" s="21" t="inlineStr">
        <is>
          <t>Seznam zboží na B/L přesně odpovídá faktuře HW23/2, jde tedy o tutéž zásilku.</t>
        </is>
      </c>
    </row>
    <row r="74">
      <c r="A74" s="21" t="inlineStr">
        <is>
          <t>→ Před podáním JSD potvrdit, koho uvést jako odesílatele v kolonce 2. V tabulce je uveden</t>
        </is>
      </c>
    </row>
    <row r="75">
      <c r="A75" s="21" t="inlineStr">
        <is>
          <t xml:space="preserve">   prodávající z faktury (Ningbo HowellGoods).</t>
        </is>
      </c>
    </row>
    <row r="76">
      <c r="A76" s="19" t="inlineStr">
        <is>
          <t>U B/L F202616911A shipper (HEFEI HOWELL E-COMMERCE CO., LTD) s fakturou HW23/1 souhlasí.</t>
        </is>
      </c>
    </row>
    <row r="77">
      <c r="A77" s="19" t="inlineStr"/>
    </row>
    <row r="78">
      <c r="A78" s="20" t="inlineStr">
        <is>
          <t>KONTROLA DOKLADŮ – SOUČTY</t>
        </is>
      </c>
    </row>
    <row r="79">
      <c r="A79" s="19" t="inlineStr">
        <is>
          <t>Packing list 1: 527 kart. / NW 9 018,00 / GW 9 545,00 / 53,02 CBM – souhlasí s B/L i s tabulkou ✓</t>
        </is>
      </c>
    </row>
    <row r="80">
      <c r="A80" s="19" t="inlineStr">
        <is>
          <t>Packing list 2: 125 kart. / NW 1 832,96 / GW 1 957,96 / 15,50 CBM – souhlasí s B/L i s tabulkou ✓</t>
        </is>
      </c>
    </row>
    <row r="81">
      <c r="A81" s="19" t="inlineStr">
        <is>
          <t>Faktura 1: součet položek 49 930,24 − sleva 3 759,75 = 46 170,49 ✓</t>
        </is>
      </c>
    </row>
    <row r="82">
      <c r="A82" s="19" t="inlineStr">
        <is>
          <t>Faktura 2: součet položek 8 981,56 − sleva 676,31 = 8 305,25 (faktura 8 305,24, rozdíl 0,01) ✓</t>
        </is>
      </c>
    </row>
    <row r="83">
      <c r="A83" s="19" t="inlineStr"/>
    </row>
    <row r="84">
      <c r="A84" s="20" t="inlineStr">
        <is>
          <t>MĚNA</t>
        </is>
      </c>
    </row>
    <row r="85">
      <c r="A85" s="19" t="inlineStr">
        <is>
          <t>Všechny hodnoty v USD dle faktur. Pro JSD přepočíst celním kurzem platným v den přijetí prohlášení.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2026-09-17T14:49:10Z</dcterms:created>
  <dcterms:modified xsi:type="dcterms:W3CDTF">2026-09-17T14:49:10Z</dcterms:modified>
</cp:coreProperties>
</file>