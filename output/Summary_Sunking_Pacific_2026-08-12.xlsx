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hrn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4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595959"/>
      <sz val="9"/>
    </font>
    <font>
      <name val="Arial"/>
      <b val="1"/>
      <color rgb="001F3864"/>
      <sz val="15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  <font>
      <name val="Arial"/>
      <b val="1"/>
      <color rgb="00C00000"/>
      <sz val="11"/>
    </font>
    <font>
      <name val="Arial"/>
      <color rgb="00833C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medium">
        <color rgb="00404040"/>
      </top>
      <bottom style="medium">
        <color rgb="00404040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10" fillId="5" borderId="2" applyAlignment="1" pivotButton="0" quotePrefix="0" xfId="0">
      <alignment vertical="center"/>
    </xf>
    <xf numFmtId="0" fontId="11" fillId="5" borderId="2" applyAlignment="1" pivotButton="0" quotePrefix="0" xfId="0">
      <alignment horizontal="center" vertical="center"/>
    </xf>
    <xf numFmtId="3" fontId="11" fillId="5" borderId="2" applyAlignment="1" pivotButton="0" quotePrefix="0" xfId="0">
      <alignment horizontal="center" vertical="center"/>
    </xf>
    <xf numFmtId="164" fontId="11" fillId="5" borderId="2" applyAlignment="1" pivotButton="0" quotePrefix="0" xfId="0">
      <alignment horizontal="center" vertical="center"/>
    </xf>
    <xf numFmtId="0" fontId="11" fillId="5" borderId="2" applyAlignment="1" pivotButton="0" quotePrefix="0" xfId="0">
      <alignment vertical="center"/>
    </xf>
    <xf numFmtId="0" fontId="11" fillId="5" borderId="2" applyAlignment="1" pivotButton="0" quotePrefix="0" xfId="0">
      <alignment vertical="center" wrapText="1"/>
    </xf>
    <xf numFmtId="0" fontId="10" fillId="4" borderId="1" applyAlignment="1" pivotButton="0" quotePrefix="0" xfId="0">
      <alignment vertical="center"/>
    </xf>
    <xf numFmtId="0" fontId="10" fillId="4" borderId="1" applyAlignment="1" pivotButton="0" quotePrefix="0" xfId="0">
      <alignment horizontal="center" vertical="center"/>
    </xf>
    <xf numFmtId="3" fontId="10" fillId="4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vertical="center" wrapText="1"/>
    </xf>
    <xf numFmtId="0" fontId="12" fillId="0" borderId="0" pivotButton="0" quotePrefix="0" xfId="0"/>
    <xf numFmtId="0" fontId="13" fillId="3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3" fontId="4" fillId="0" borderId="2" applyAlignment="1" pivotButton="0" quotePrefix="0" xfId="0">
      <alignment vertical="center"/>
    </xf>
    <xf numFmtId="164" fontId="4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0" fontId="5" fillId="4" borderId="1" pivotButton="0" quotePrefix="0" xfId="0"/>
    <xf numFmtId="3" fontId="5" fillId="4" borderId="1" pivotButton="0" quotePrefix="0" xfId="0"/>
    <xf numFmtId="164" fontId="5" fillId="4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22" customWidth="1" min="4" max="4"/>
    <col width="26" customWidth="1" min="5" max="5"/>
    <col width="42" customWidth="1" min="6" max="6"/>
  </cols>
  <sheetData>
    <row r="1">
      <c r="A1" s="1" t="inlineStr">
        <is>
          <t>Souhrn zásilky – tyristory, diody, IGCT tyristory</t>
        </is>
      </c>
    </row>
    <row r="2">
      <c r="A2" s="2" t="inlineStr">
        <is>
          <t>Hitachi Energy Czech Republic s.r.o.  →  Sunking Pacific Ltd  |  datum dodání 12.08.2026  |  Incoterms FCA Praha  |  původ CZ</t>
        </is>
      </c>
    </row>
    <row r="4" ht="38" customHeight="1">
      <c r="A4" s="3" t="inlineStr">
        <is>
          <t>Kategorie</t>
        </is>
      </c>
      <c r="B4" s="3" t="inlineStr">
        <is>
          <t>HS kód</t>
        </is>
      </c>
      <c r="C4" s="3" t="inlineStr">
        <is>
          <t>Celkem množství (ks)</t>
        </is>
      </c>
      <c r="D4" s="3" t="inlineStr">
        <is>
          <t>Celková čistá hmotnost netto (kg)</t>
        </is>
      </c>
      <c r="E4" s="3" t="inlineStr">
        <is>
          <t>Faktury č.</t>
        </is>
      </c>
      <c r="F4" s="3" t="inlineStr">
        <is>
          <t>Packing listy č.</t>
        </is>
      </c>
    </row>
    <row r="5" ht="30" customHeight="1">
      <c r="A5" s="4" t="inlineStr">
        <is>
          <t>Tyristory</t>
        </is>
      </c>
      <c r="B5" s="5" t="inlineStr">
        <is>
          <t>85413000</t>
        </is>
      </c>
      <c r="C5" s="6">
        <f>SUMIF(Detail!$A$6:$A$10,$A5,Detail!$G$6:$G$10)</f>
        <v>651</v>
      </c>
      <c r="D5" s="7">
        <f>SUMIF(Detail!$A$6:$A$10,$A5,Detail!$H$6:$H$10)</f>
        <v>2213.4</v>
      </c>
      <c r="E5" s="8" t="inlineStr">
        <is>
          <t>810679526, 810679528</t>
        </is>
      </c>
      <c r="F5" s="9" t="inlineStr">
        <is>
          <t>0924518374, 0924518416</t>
        </is>
      </c>
    </row>
    <row r="6" ht="30" customHeight="1">
      <c r="A6" s="4" t="inlineStr">
        <is>
          <t>Diody</t>
        </is>
      </c>
      <c r="B6" s="5" t="inlineStr">
        <is>
          <t>85411000</t>
        </is>
      </c>
      <c r="C6" s="6">
        <f>SUMIF(Detail!$A$6:$A$10,$A6,Detail!$G$6:$G$10)</f>
        <v>256</v>
      </c>
      <c r="D6" s="7">
        <f>SUMIF(Detail!$A$6:$A$10,$A6,Detail!$H$6:$H$10)</f>
        <v>665.6</v>
      </c>
      <c r="E6" s="8" t="inlineStr">
        <is>
          <t>810679529, 810679530</t>
        </is>
      </c>
      <c r="F6" s="9" t="inlineStr">
        <is>
          <t>0924518461 (k fa 810679529 packing list CHYBÍ)</t>
        </is>
      </c>
    </row>
    <row r="7" ht="30" customHeight="1">
      <c r="A7" s="4" t="inlineStr">
        <is>
          <t>IGCT tyristory</t>
        </is>
      </c>
      <c r="B7" s="5" t="inlineStr">
        <is>
          <t>85413000</t>
        </is>
      </c>
      <c r="C7" s="6">
        <f>SUMIF(Detail!$A$6:$A$10,$A7,Detail!$G$6:$G$10)</f>
        <v>64</v>
      </c>
      <c r="D7" s="7">
        <f>SUMIF(Detail!$A$6:$A$10,$A7,Detail!$H$6:$H$10)</f>
        <v>192</v>
      </c>
      <c r="E7" s="8" t="inlineStr">
        <is>
          <t>810679535</t>
        </is>
      </c>
      <c r="F7" s="9" t="inlineStr">
        <is>
          <t>0924518754</t>
        </is>
      </c>
    </row>
    <row r="8" ht="26" customHeight="1">
      <c r="A8" s="10" t="inlineStr">
        <is>
          <t>CELKEM ZÁSILKA</t>
        </is>
      </c>
      <c r="B8" s="11" t="n"/>
      <c r="C8" s="12">
        <f>SUM(C5:C7)</f>
        <v>971</v>
      </c>
      <c r="D8" s="13">
        <f>SUM(D5:D7)</f>
        <v>3071</v>
      </c>
      <c r="E8" s="10" t="inlineStr">
        <is>
          <t>5 faktur</t>
        </is>
      </c>
      <c r="F8" s="14" t="inlineStr">
        <is>
          <t>4 packing listy (+1 nulový, 1 chybí)</t>
        </is>
      </c>
    </row>
    <row r="10">
      <c r="A10" s="15" t="inlineStr">
        <is>
          <t>⚠ Upozornění k dokladům</t>
        </is>
      </c>
    </row>
    <row r="11" ht="30" customHeight="1">
      <c r="A11" s="16" t="inlineStr">
        <is>
          <t>K faktuře 810679529 (diody, 112 ks / 291,2 kg) CHYBÍ packing list. Dodací list č. 0924518451 je uveden pouze na faktuře.</t>
        </is>
      </c>
    </row>
    <row r="12" ht="30" customHeight="1">
      <c r="A12" s="16" t="inlineStr">
        <is>
          <t>Dodaný packing list 0924518428 je nulový (0 ks, 0 kg) – do souhrnu se nezapočítává. Odpovídající zboží je na dodacím listu 0924518461 (fa 810679530).</t>
        </is>
      </c>
    </row>
  </sheetData>
  <mergeCells count="2">
    <mergeCell ref="A11:F11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11" customWidth="1" min="4" max="4"/>
    <col width="19" customWidth="1" min="5" max="5"/>
    <col width="26" customWidth="1" min="6" max="6"/>
    <col width="13" customWidth="1" min="7" max="7"/>
    <col width="16" customWidth="1" min="8" max="8"/>
    <col width="46" customWidth="1" min="9" max="9"/>
  </cols>
  <sheetData>
    <row r="1">
      <c r="A1" s="17" t="inlineStr">
        <is>
          <t>Detailní přehled položek – jedna řádka na fakturu</t>
        </is>
      </c>
    </row>
    <row r="2">
      <c r="A2" s="18" t="inlineStr">
        <is>
          <t>Odesílatel: Hitachi Energy Czech Republic s.r.o., Novodvorská 1768/138a, 142 21 Praha, CZ  |  Příjemce (Sold to): Sunking Pacific Ltd, Hong Kong  |  Ship to: Jiashan Sunking Electrical Equipment Tech. Co. Ltd, Zhejiang, China</t>
        </is>
      </c>
    </row>
    <row r="3">
      <c r="A3" s="18" t="inlineStr">
        <is>
          <t>Datum dodání: 12.08.2026  |  Incoterms: FCA Praha (fa 810679526: FCA Prague Airport)  |  Země původu: CZ  |  Měna: CHF</t>
        </is>
      </c>
    </row>
    <row r="5" ht="34" customHeight="1">
      <c r="A5" s="19" t="inlineStr">
        <is>
          <t>Kategorie</t>
        </is>
      </c>
      <c r="B5" s="19" t="inlineStr">
        <is>
          <t>Material No.</t>
        </is>
      </c>
      <c r="C5" s="19" t="inlineStr">
        <is>
          <t>Popis / Description</t>
        </is>
      </c>
      <c r="D5" s="19" t="inlineStr">
        <is>
          <t>HS kód</t>
        </is>
      </c>
      <c r="E5" s="19" t="inlineStr">
        <is>
          <t>Faktura č. (Invoice)</t>
        </is>
      </c>
      <c r="F5" s="19" t="inlineStr">
        <is>
          <t>Packing list č. (Delivery Note)</t>
        </is>
      </c>
      <c r="G5" s="19" t="inlineStr">
        <is>
          <t>Množství (ks)</t>
        </is>
      </c>
      <c r="H5" s="19" t="inlineStr">
        <is>
          <t>Čistá hmotnost netto (kg)</t>
        </is>
      </c>
      <c r="I5" s="19" t="inlineStr">
        <is>
          <t>Poznámka</t>
        </is>
      </c>
    </row>
    <row r="6">
      <c r="A6" s="20" t="inlineStr">
        <is>
          <t>Tyristory</t>
        </is>
      </c>
      <c r="B6" s="20" t="inlineStr">
        <is>
          <t>5STP 42U6500</t>
        </is>
      </c>
      <c r="C6" s="20" t="inlineStr">
        <is>
          <t>YST 90 P65 / Thyristor</t>
        </is>
      </c>
      <c r="D6" s="21" t="inlineStr">
        <is>
          <t>85413000</t>
        </is>
      </c>
      <c r="E6" s="21" t="inlineStr">
        <is>
          <t>810679526</t>
        </is>
      </c>
      <c r="F6" s="21" t="inlineStr">
        <is>
          <t>0924518374</t>
        </is>
      </c>
      <c r="G6" s="22" t="n">
        <v>351</v>
      </c>
      <c r="H6" s="23" t="n">
        <v>1193.4</v>
      </c>
      <c r="I6" s="24" t="inlineStr"/>
    </row>
    <row r="7">
      <c r="A7" s="20" t="inlineStr">
        <is>
          <t>Tyristory</t>
        </is>
      </c>
      <c r="B7" s="20" t="inlineStr">
        <is>
          <t>5STP 52U5200</t>
        </is>
      </c>
      <c r="C7" s="20" t="inlineStr">
        <is>
          <t>YST 90 P52 / Thyristor</t>
        </is>
      </c>
      <c r="D7" s="21" t="inlineStr">
        <is>
          <t>85413000</t>
        </is>
      </c>
      <c r="E7" s="21" t="inlineStr">
        <is>
          <t>810679528</t>
        </is>
      </c>
      <c r="F7" s="21" t="inlineStr">
        <is>
          <t>0924518416</t>
        </is>
      </c>
      <c r="G7" s="22" t="n">
        <v>300</v>
      </c>
      <c r="H7" s="23" t="n">
        <v>1020</v>
      </c>
      <c r="I7" s="24" t="inlineStr"/>
    </row>
    <row r="8">
      <c r="A8" s="20" t="inlineStr">
        <is>
          <t>Diody</t>
        </is>
      </c>
      <c r="B8" s="20" t="inlineStr">
        <is>
          <t>5SDD 57N6500</t>
        </is>
      </c>
      <c r="C8" s="20" t="inlineStr">
        <is>
          <t>PCD 6500 V 5700 A Diode</t>
        </is>
      </c>
      <c r="D8" s="21" t="inlineStr">
        <is>
          <t>85411000</t>
        </is>
      </c>
      <c r="E8" s="21" t="inlineStr">
        <is>
          <t>810679529</t>
        </is>
      </c>
      <c r="F8" s="21" t="inlineStr">
        <is>
          <t>0924518451 – CHYBÍ</t>
        </is>
      </c>
      <c r="G8" s="22" t="n">
        <v>112</v>
      </c>
      <c r="H8" s="23" t="n">
        <v>291.2</v>
      </c>
      <c r="I8" s="25" t="inlineStr">
        <is>
          <t>Packing list k této faktuře nebyl dodán; č. dodacího listu 0924518451 převzato z faktury.</t>
        </is>
      </c>
    </row>
    <row r="9">
      <c r="A9" s="20" t="inlineStr">
        <is>
          <t>Diody</t>
        </is>
      </c>
      <c r="B9" s="20" t="inlineStr">
        <is>
          <t>5SDD 57N6500</t>
        </is>
      </c>
      <c r="C9" s="20" t="inlineStr">
        <is>
          <t>PCD 6500 V 5700 A Diode</t>
        </is>
      </c>
      <c r="D9" s="21" t="inlineStr">
        <is>
          <t>85411000</t>
        </is>
      </c>
      <c r="E9" s="21" t="inlineStr">
        <is>
          <t>810679530</t>
        </is>
      </c>
      <c r="F9" s="21" t="inlineStr">
        <is>
          <t>0924518461</t>
        </is>
      </c>
      <c r="G9" s="22" t="n">
        <v>144</v>
      </c>
      <c r="H9" s="23" t="n">
        <v>374.4</v>
      </c>
      <c r="I9" s="24" t="inlineStr"/>
    </row>
    <row r="10">
      <c r="A10" s="20" t="inlineStr">
        <is>
          <t>IGCT tyristory</t>
        </is>
      </c>
      <c r="B10" s="20" t="inlineStr">
        <is>
          <t>5SHY 6545L0001</t>
        </is>
      </c>
      <c r="C10" s="20" t="inlineStr">
        <is>
          <t>AS-IGCT 4500 V 6500 A Thyristor</t>
        </is>
      </c>
      <c r="D10" s="21" t="inlineStr">
        <is>
          <t>85413000</t>
        </is>
      </c>
      <c r="E10" s="21" t="inlineStr">
        <is>
          <t>810679535</t>
        </is>
      </c>
      <c r="F10" s="21" t="inlineStr">
        <is>
          <t>0924518754</t>
        </is>
      </c>
      <c r="G10" s="22" t="n">
        <v>64</v>
      </c>
      <c r="H10" s="23" t="n">
        <v>192</v>
      </c>
      <c r="I10" s="25" t="inlineStr">
        <is>
          <t>ECN 3A001.g.2 – zboží podléhá mezinárodní exportní kontrole.</t>
        </is>
      </c>
    </row>
    <row r="11">
      <c r="A11" s="26" t="inlineStr">
        <is>
          <t>CELKEM</t>
        </is>
      </c>
      <c r="B11" s="26" t="n"/>
      <c r="C11" s="26" t="n"/>
      <c r="D11" s="26" t="n"/>
      <c r="E11" s="26" t="n"/>
      <c r="F11" s="26" t="n"/>
      <c r="G11" s="27">
        <f>SUM(G6:G10)</f>
        <v>971</v>
      </c>
      <c r="H11" s="28">
        <f>SUM(H6:H10)</f>
        <v>3071</v>
      </c>
      <c r="I11" s="26" t="n"/>
    </row>
    <row r="13">
      <c r="A13" s="29" t="inlineStr">
        <is>
          <t>Poznámky ke zdrojovým dokladům:</t>
        </is>
      </c>
    </row>
    <row r="14" ht="26" customHeight="1">
      <c r="A14" s="30" t="inlineStr">
        <is>
          <t>1) Dodací list 0924518428 (objednávka 0890319266 / JSP26017, položka 20, 5SDD 57N6500) je vystaven na množství 0 ks a hmotnost 0 kg – nulový dodací list, do souhrnu se nezapočítává. Zboží z této objednávky bylo skutečně odesláno na dodacím listu 0924518461 (fa 810679530).</t>
        </is>
      </c>
    </row>
    <row r="15" ht="26" customHeight="1">
      <c r="A15" s="30" t="inlineStr">
        <is>
          <t>2) K faktuře 810679529 (112 ks diod, 291,2 kg) nebyl dodán packing list. Číslo dodacího listu 0924518451 je převzato z faktury – prosím o doplnění dokladu.</t>
        </is>
      </c>
    </row>
    <row r="16" ht="26" customHeight="1">
      <c r="A16" s="30" t="inlineStr">
        <is>
          <t>3) Na dodacích listech se brutto a netto hmotnost shodují (obaly nejsou zvlášť vykázány); v souhrnu je uvedena hmotnost netto dle faktur.</t>
        </is>
      </c>
    </row>
    <row r="17" ht="26" customHeight="1">
      <c r="A17" s="30" t="inlineStr">
        <is>
          <t>4) Faktura 810679535 (AS-IGCT) má ECN kód 3A001.g.2 – zboží podléhá mezinárodní exportní kontrole. Ostatní položky: Not Dual Use.</t>
        </is>
      </c>
    </row>
    <row r="18" ht="26" customHeight="1">
      <c r="A18" s="30" t="inlineStr">
        <is>
          <t>5) Na žádost: CBAM a preferenční věta v tomto souhrnu nejsou řešeny.</t>
        </is>
      </c>
    </row>
  </sheetData>
  <mergeCells count="5">
    <mergeCell ref="A15:I15"/>
    <mergeCell ref="A14:I14"/>
    <mergeCell ref="A17:I17"/>
    <mergeCell ref="A18:I18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2026-08-12T11:02:47Z</dcterms:created>
  <dcterms:modified xsi:type="dcterms:W3CDTF">2026-08-12T11:02:47Z</dcterms:modified>
</cp:coreProperties>
</file>