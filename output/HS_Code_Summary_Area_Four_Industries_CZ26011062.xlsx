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Položky faktury (rozpad)" sheetId="2" state="visible" r:id="rId2"/>
    <sheet name="Dokument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2" fillId="4" borderId="1" pivotButton="0" quotePrefix="0" xfId="0"/>
    <xf numFmtId="3" fontId="2" fillId="4" borderId="1" pivotButton="0" quotePrefix="0" xfId="0"/>
    <xf numFmtId="164" fontId="2" fillId="4" borderId="1" pivotButton="0" quotePrefix="0" xfId="0"/>
    <xf numFmtId="4" fontId="2" fillId="4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3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4" fontId="2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40" customWidth="1" min="3" max="3"/>
    <col width="38" customWidth="1" min="4" max="4"/>
    <col width="14" customWidth="1" min="5" max="5"/>
    <col width="24" customWidth="1" min="6" max="6"/>
    <col width="13" customWidth="1" min="7" max="7"/>
    <col width="11" customWidth="1" min="8" max="8"/>
    <col width="13" customWidth="1" min="9" max="9"/>
    <col width="13" customWidth="1" min="10" max="10"/>
    <col width="16" customWidth="1" min="11" max="11"/>
    <col width="22" customWidth="1" min="12" max="12"/>
    <col width="78" customWidth="1" min="13" max="13"/>
  </cols>
  <sheetData>
    <row r="1">
      <c r="A1" s="1" t="inlineStr">
        <is>
          <t>HS kód (TARIC)</t>
        </is>
      </c>
      <c r="B1" s="1" t="inlineStr">
        <is>
          <t>Popis zboží (CZ)</t>
        </is>
      </c>
      <c r="C1" s="1" t="inlineStr">
        <is>
          <t>Popis dle dokladů (EN)</t>
        </is>
      </c>
      <c r="D1" s="1" t="inlineStr">
        <is>
          <t>Odesílatel</t>
        </is>
      </c>
      <c r="E1" s="1" t="inlineStr">
        <is>
          <t>Země původu (COO)</t>
        </is>
      </c>
      <c r="F1" s="1" t="inlineStr">
        <is>
          <t>Incoterm</t>
        </is>
      </c>
      <c r="G1" s="1" t="inlineStr">
        <is>
          <t>Celkové množství (listů)</t>
        </is>
      </c>
      <c r="H1" s="1" t="inlineStr">
        <is>
          <t>Objem (m³)</t>
        </is>
      </c>
      <c r="I1" s="1" t="inlineStr">
        <is>
          <t>Čistá hmotnost (kg)</t>
        </is>
      </c>
      <c r="J1" s="1" t="inlineStr">
        <is>
          <t>Hrubá hmotnost (kg)</t>
        </is>
      </c>
      <c r="K1" s="1" t="inlineStr">
        <is>
          <t>Cena / celní hodnota (USD – Total)</t>
        </is>
      </c>
      <c r="L1" s="1" t="inlineStr">
        <is>
          <t>Příznak</t>
        </is>
      </c>
      <c r="M1" s="1" t="inlineStr">
        <is>
          <t>Poznámka / TARIC / CBAM / Antidumping</t>
        </is>
      </c>
    </row>
    <row r="2" ht="150" customHeight="1">
      <c r="A2" s="2" t="inlineStr">
        <is>
          <t>4412 33 10 82</t>
        </is>
      </c>
      <c r="B2" s="2" t="inlineStr">
        <is>
          <t>březová překližka</t>
        </is>
      </c>
      <c r="C2" s="2" t="inlineStr">
        <is>
          <t>PINE FACED PLYWOOD – one side honeycomb wire mesh smooth Dynea brown film / one side smooth Dynea brown film, other side no film / both side smooth Dynea brown film; Dynea glue. 5 rozměrů, 27 beden.</t>
        </is>
      </c>
      <c r="D2" s="2" t="inlineStr">
        <is>
          <t>RILICO GLOBAL HOLDINGS PTE LTD, 111 Somerset Road #15-18, Singapore 238164
(výrobce dle COO: XUZHOU LARA IMPORT &amp; EXPORT CO., LTD, Pizhou City, Jiangsu, ČLR)</t>
        </is>
      </c>
      <c r="E2" s="2" t="inlineStr">
        <is>
          <t>CN (Čína)</t>
        </is>
      </c>
      <c r="F2" s="2" t="inlineStr">
        <is>
          <t>FOB Qingdao (Qingdao Port, Čína)</t>
        </is>
      </c>
      <c r="G2" s="3" t="n">
        <v>2486</v>
      </c>
      <c r="H2" s="4" t="n">
        <v>58.127</v>
      </c>
      <c r="I2" s="3" t="n">
        <v>37920</v>
      </c>
      <c r="J2" s="3" t="n">
        <v>38730</v>
      </c>
      <c r="K2" s="5" t="n">
        <v>33839.84</v>
      </c>
      <c r="L2" s="2" t="inlineStr">
        <is>
          <t>ANTIDUMPING / OVĚŘIT KLASIFIKACI</t>
        </is>
      </c>
      <c r="M2" s="2" t="inlineStr">
        <is>
          <t>⚠ ANTIDUMPING: TARIC 4412331082 je ve věcném rozsahu prov. nařízení Komise (EU) 2025/2333 (tvrdá překližka z ČLR, platnost 21.11.2025–20.11.2030) – konečné AD clo 86,8 % (43,2 % pro jednoho spolupracujícího vývozce). Xuzhou Lara není známa jako vývozce s individuální sazbou → hrozí 86,8 %.
⚠ KLASIFIKACE: doklady uvádějí PINE FACED (jehličnatá dýha), e-mail/klient uvádí 4412331082 = alespoň jedna vnější dýha BŘÍZA. Nutno ověřit dřevinu obou vnějších dýh (viz list „Dokumenty a poznámky“).
CBAM: NEAPLIKUJE SE – kap. 44 není zboží dle přílohy I nařízení o CBAM.
EUDR: 4412 je v příloze I nař. (EU) 2023/1115, ale použitelnost od 30.12.2026 → pro toto celní řízení (9–10/2026) se DDS/Y-kód nevyžaduje.
Clo (CCT): 7 % erga omnes – ověřit v TARIC k datu propuštění.</t>
        </is>
      </c>
    </row>
    <row r="3">
      <c r="A3" s="6" t="inlineStr">
        <is>
          <t>CELKEM</t>
        </is>
      </c>
      <c r="B3" s="6" t="inlineStr"/>
      <c r="C3" s="6" t="inlineStr"/>
      <c r="D3" s="6" t="inlineStr"/>
      <c r="E3" s="6" t="inlineStr"/>
      <c r="F3" s="6" t="inlineStr"/>
      <c r="G3" s="7" t="n">
        <v>2486</v>
      </c>
      <c r="H3" s="8" t="n">
        <v>58.127</v>
      </c>
      <c r="I3" s="7" t="n">
        <v>37920</v>
      </c>
      <c r="J3" s="7" t="n">
        <v>38730</v>
      </c>
      <c r="K3" s="9" t="n">
        <v>33839.84</v>
      </c>
      <c r="L3" s="6" t="inlineStr"/>
      <c r="M3" s="6" t="inlineStr"/>
    </row>
    <row r="5">
      <c r="A5" s="10" t="inlineStr">
        <is>
          <t>Legenda:</t>
        </is>
      </c>
      <c r="B5" s="11" t="inlineStr"/>
    </row>
    <row r="6">
      <c r="A6" s="10" t="inlineStr">
        <is>
          <t>🔴 ČERVENÁ</t>
        </is>
      </c>
      <c r="B6" s="11" t="inlineStr">
        <is>
          <t>Antidumpingové clo a/nebo nevyjasněná sazební klasifikace – nutno vyřešit PŘED podáním JSD.</t>
        </is>
      </c>
    </row>
    <row r="7">
      <c r="A7" s="10" t="inlineStr">
        <is>
          <t>Množství</t>
        </is>
      </c>
      <c r="B7" s="11" t="inlineStr">
        <is>
          <t>2 486 listů celkem (vč. 500 listů FREE OF CHARGE) / 58,127 m³ / 27 beden / 1×20'GP + 1×40'HQ.</t>
        </is>
      </c>
    </row>
    <row r="8">
      <c r="A8" s="10" t="inlineStr">
        <is>
          <t>Cena</t>
        </is>
      </c>
      <c r="B8" s="11" t="inlineStr">
        <is>
          <t>Použita částka u položky „TOTAL“ na faktuře RH-26-048S: US $33 839,84 (bez přičítání hodnoty FOC listů).</t>
        </is>
      </c>
    </row>
    <row r="9">
      <c r="A9" s="10" t="inlineStr">
        <is>
          <t>Hmotnosti</t>
        </is>
      </c>
      <c r="B9" s="11" t="inlineStr">
        <is>
          <t>Dle Packing/Weight List – NW 37 920 kg, GW 38 730 kg; ověřeno součtem po bednách i dle B/L.</t>
        </is>
      </c>
    </row>
    <row r="10">
      <c r="A10" s="10" t="inlineStr">
        <is>
          <t>Popis CZ</t>
        </is>
      </c>
      <c r="B10" s="11" t="inlineStr">
        <is>
          <t>Převzat klientský český popis „březová překližka“ z pokynu (e-mail OR/AREA FOUR/KLI20260701011/CZ26011062) – viz výhrada na listu poznámek.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9" customWidth="1" min="3" max="3"/>
    <col width="11" customWidth="1" min="4" max="4"/>
    <col width="8" customWidth="1" min="5" max="5"/>
    <col width="11" customWidth="1" min="6" max="6"/>
    <col width="11" customWidth="1" min="7" max="7"/>
    <col width="15" customWidth="1" min="8" max="8"/>
    <col width="13" customWidth="1" min="9" max="9"/>
  </cols>
  <sheetData>
    <row r="1">
      <c r="A1" s="1" t="inlineStr">
        <is>
          <t>#</t>
        </is>
      </c>
      <c r="B1" s="1" t="inlineStr">
        <is>
          <t>Popis / rozměr</t>
        </is>
      </c>
      <c r="C1" s="1" t="inlineStr">
        <is>
          <t>Listů</t>
        </is>
      </c>
      <c r="D1" s="1" t="inlineStr">
        <is>
          <t>Objem (m³)</t>
        </is>
      </c>
      <c r="E1" s="1" t="inlineStr">
        <is>
          <t>Beden</t>
        </is>
      </c>
      <c r="F1" s="1" t="inlineStr">
        <is>
          <t>NW (kg)</t>
        </is>
      </c>
      <c r="G1" s="1" t="inlineStr">
        <is>
          <t>GW (kg)</t>
        </is>
      </c>
      <c r="H1" s="1" t="inlineStr">
        <is>
          <t>Jedn. cena USD/list</t>
        </is>
      </c>
      <c r="I1" s="1" t="inlineStr">
        <is>
          <t>Celkem USD</t>
        </is>
      </c>
    </row>
    <row r="2">
      <c r="A2" s="12" t="n">
        <v>1</v>
      </c>
      <c r="B2" s="12" t="inlineStr">
        <is>
          <t>Pine faced plywood, one side honeycomb wire mesh smooth Dynea brown film, Dynea glue – 15 × 993 × 1993 mm</t>
        </is>
      </c>
      <c r="C2" s="13" t="n">
        <v>496</v>
      </c>
      <c r="D2" s="14" t="n">
        <v>14.724</v>
      </c>
      <c r="E2" s="12" t="n">
        <v>7</v>
      </c>
      <c r="F2" s="13" t="n">
        <v>9430</v>
      </c>
      <c r="G2" s="13" t="n">
        <v>9640</v>
      </c>
      <c r="H2" s="15" t="n">
        <v>20.79</v>
      </c>
      <c r="I2" s="15" t="n">
        <v>10311.84</v>
      </c>
    </row>
    <row r="3">
      <c r="A3" s="12" t="n">
        <v>2</v>
      </c>
      <c r="B3" s="12" t="inlineStr">
        <is>
          <t>Pine faced plywood, one side honeycomb wire mesh smooth Dynea brown film, Dynea glue – 12 × 994 × 1994 mm</t>
        </is>
      </c>
      <c r="C3" s="13" t="n">
        <v>494</v>
      </c>
      <c r="D3" s="14" t="n">
        <v>11.75</v>
      </c>
      <c r="E3" s="12" t="n">
        <v>7</v>
      </c>
      <c r="F3" s="13" t="n">
        <v>7880</v>
      </c>
      <c r="G3" s="13" t="n">
        <v>8090</v>
      </c>
      <c r="H3" s="15" t="n">
        <v>17.95</v>
      </c>
      <c r="I3" s="15" t="n">
        <v>8867.299999999999</v>
      </c>
    </row>
    <row r="4">
      <c r="A4" s="12" t="n">
        <v>3</v>
      </c>
      <c r="B4" s="16" t="inlineStr">
        <is>
          <t>Pine faced plywood, one side honeycomb wire mesh smooth Dynea brown film, Dynea glue – 4 × 993 × 1993 mm (18 ks à $10,50 + 500 ks FREE OF CHARGE)</t>
        </is>
      </c>
      <c r="C4" s="13" t="n">
        <v>518</v>
      </c>
      <c r="D4" s="14" t="n">
        <v>4.101</v>
      </c>
      <c r="E4" s="12" t="n">
        <v>2</v>
      </c>
      <c r="F4" s="13" t="n">
        <v>2620</v>
      </c>
      <c r="G4" s="13" t="n">
        <v>2680</v>
      </c>
      <c r="H4" s="15" t="n">
        <v>10.5</v>
      </c>
      <c r="I4" s="15" t="n">
        <v>189</v>
      </c>
    </row>
    <row r="5">
      <c r="A5" s="12" t="n">
        <v>4</v>
      </c>
      <c r="B5" s="12" t="inlineStr">
        <is>
          <t>Pine faced plywood, one side smooth Dynea brown film, other side no film, Dynea glue – 15 × 225 × 910 mm</t>
        </is>
      </c>
      <c r="C5" s="13" t="n">
        <v>492</v>
      </c>
      <c r="D5" s="14" t="n">
        <v>1.511</v>
      </c>
      <c r="E5" s="12" t="n">
        <v>1</v>
      </c>
      <c r="F5" s="13" t="n">
        <v>970</v>
      </c>
      <c r="G5" s="13" t="n">
        <v>1000</v>
      </c>
      <c r="H5" s="15" t="n">
        <v>2.2</v>
      </c>
      <c r="I5" s="15" t="n">
        <v>1082.4</v>
      </c>
    </row>
    <row r="6">
      <c r="A6" s="12" t="n">
        <v>5</v>
      </c>
      <c r="B6" s="12" t="inlineStr">
        <is>
          <t>Pine faced plywood, both side smooth Dynea brown film, Dynea glue – 18 × 1220 × 2440 mm</t>
        </is>
      </c>
      <c r="C6" s="13" t="n">
        <v>486</v>
      </c>
      <c r="D6" s="14" t="n">
        <v>26.041</v>
      </c>
      <c r="E6" s="12" t="n">
        <v>10</v>
      </c>
      <c r="F6" s="13" t="n">
        <v>17020</v>
      </c>
      <c r="G6" s="13" t="n">
        <v>17320</v>
      </c>
      <c r="H6" s="15" t="n">
        <v>27.55</v>
      </c>
      <c r="I6" s="15" t="n">
        <v>13389.3</v>
      </c>
    </row>
    <row r="7">
      <c r="A7" s="17" t="inlineStr"/>
      <c r="B7" s="17" t="inlineStr">
        <is>
          <t>CELKEM (TOTAL dle faktury)</t>
        </is>
      </c>
      <c r="C7" s="18" t="n">
        <v>2486</v>
      </c>
      <c r="D7" s="19" t="n">
        <v>58.127</v>
      </c>
      <c r="E7" s="17" t="n">
        <v>27</v>
      </c>
      <c r="F7" s="18" t="n">
        <v>37920</v>
      </c>
      <c r="G7" s="18" t="n">
        <v>38730</v>
      </c>
      <c r="H7" s="20" t="inlineStr"/>
      <c r="I7" s="20" t="n">
        <v>33839.84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0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1">
        <f>== ZÁSILKA ===</f>
        <v/>
      </c>
    </row>
    <row r="2">
      <c r="A2" s="11" t="inlineStr">
        <is>
          <t>Klient / příjemce (CZ): AREA FOUR INDUSTRIES ČESKO s.r.o., Spindlerova třída 286, CZ 413 01 Roudnice nad Labem | DIČ/EORI CZ25003330</t>
        </is>
      </c>
    </row>
    <row r="3">
      <c r="A3" s="11" t="inlineStr">
        <is>
          <t>Odesílatel / vývozce: RILICO GLOBAL HOLDINGS PTE LTD, Singapur | Výrobce (dle COO): XUZHOU LARA IMPORT &amp; EXPORT CO., LTD, Pizhou City, Jiangsu, ČLR</t>
        </is>
      </c>
    </row>
    <row r="4">
      <c r="A4" s="11" t="inlineStr">
        <is>
          <t>Faktura: RH-26-048S z 31.7.2026 | Objednávky: P-021225-TC &amp; P-010226-TC | Ref. MW: CZ26011062 / KLI20260701011</t>
        </is>
      </c>
    </row>
    <row r="5">
      <c r="A5" s="11" t="inlineStr">
        <is>
          <t>B/L: F202616848 (Global Transportation Agency Ltd.), shipped on board 28.7.2026, vystaveno Shantou | Loď: MV MAASTRICHT MAERSK / 630W</t>
        </is>
      </c>
    </row>
    <row r="6">
      <c r="A6" s="11" t="inlineStr">
        <is>
          <t>Trasa: FOB Qingdao Port (ČLR) → Bremerhaven → Mělník (ČR), freight collect, platba T/T | ATA Bremerhaven 8.9.2026</t>
        </is>
      </c>
    </row>
    <row r="7">
      <c r="A7" s="11" t="inlineStr">
        <is>
          <t>Kontejnery: MRKU8681136 / seal CN7598690 – 10 beden / 12 130 kg / 17,925 m³ ; MRSU2171077 / seal CN6068214 – 17 beden / 26 600 kg / 40,202 m³</t>
        </is>
      </c>
    </row>
    <row r="8">
      <c r="A8" s="11" t="inlineStr">
        <is>
          <t>Celkem: 27 beden, 2 486 listů, 58,127 m³, NW 37 920 kg, GW 38 730 kg, hodnota US $33 839,84</t>
        </is>
      </c>
    </row>
    <row r="9">
      <c r="A9" s="11" t="inlineStr"/>
    </row>
    <row r="10">
      <c r="A10" s="22">
        <f>== ⚠ 1. ANTIDUMPINGOVÉ CLO – KRITICKÉ ===</f>
        <v/>
      </c>
    </row>
    <row r="11">
      <c r="A11" s="11" t="inlineStr">
        <is>
          <t>Prov. nařízení Komise (EU) 2025/2333 z 19.11.2025 uložilo KONEČNÉ antidumpingové clo na tvrdou překližku (hardwood plywood) původem z ČLR,</t>
        </is>
      </c>
    </row>
    <row r="12">
      <c r="A12" s="11" t="inlineStr">
        <is>
          <t>platné od 21.11.2025 do 20.11.2030. Sazba: 86,8 % pro všechny vývozce, 43,2 % pro jednoho spolupracujícího vývozce.</t>
        </is>
      </c>
    </row>
    <row r="13">
      <c r="A13" s="11" t="inlineStr">
        <is>
          <t>Věcný rozsah zahrnuje mj. TARIC 4412331082 – tedy přesně kód uvedený v pokynu klienta.</t>
        </is>
      </c>
    </row>
    <row r="14">
      <c r="A14" s="11" t="inlineStr">
        <is>
          <t>Výrobce Xuzhou Lara Import &amp; Export Co., Ltd sídlí v Pizhou (Jiangsu) – hlavní oblast, na kterou opatření cílí; firma není známa jako vývozce s individuální sazbou.</t>
        </is>
      </c>
    </row>
    <row r="15">
      <c r="A15" s="11" t="inlineStr">
        <is>
          <t>→ Při klasifikaci do 4412331082 činí AD clo cca US $29 372 (86,8 % z 33 839,84) NAD RÁMEC běžného cla. Nutno klienta upozornit PŘED propuštěním.</t>
        </is>
      </c>
    </row>
    <row r="16">
      <c r="A16" s="11" t="inlineStr">
        <is>
          <t>→ Ověřit v TARIC doplňkový kód TARIC pro výrobce a případné osvobození; doložit fakturu výrobce a prohlášení dle čl. o individuální sazbě.</t>
        </is>
      </c>
    </row>
    <row r="17">
      <c r="A17" s="11" t="inlineStr"/>
    </row>
    <row r="18">
      <c r="A18" s="22">
        <f>== ⚠ 2. ROZPOR V SAZEBNÍM ZAŘAZENÍ – NUTNO VYJASNIT ===</f>
        <v/>
      </c>
    </row>
    <row r="19">
      <c r="A19" s="11" t="inlineStr">
        <is>
          <t>Všechny doklady (faktura, packing list, COO, B/L, shipment advice) popisují zboží jako „PINE FACED PLYWOOD“ – tj. borovicová (JEHLIČNATÁ) vnější dýha.</t>
        </is>
      </c>
    </row>
    <row r="20">
      <c r="A20" s="11" t="inlineStr">
        <is>
          <t>Pokyn klienta v e-mailu však uvádí kód 4412331082 s popisem „březová překližka“ (BŘÍZA = listnatá dřevina).</t>
        </is>
      </c>
    </row>
    <row r="21">
      <c r="A21" s="11" t="inlineStr">
        <is>
          <t>Doklady odesílatele uvádějí pouze šestimístné „HS CODE: 441233“, což samo o sobě podpoložku 4412 33 10 (bříza) nepotvrzuje.</t>
        </is>
      </c>
    </row>
    <row r="22">
      <c r="A22" s="11" t="inlineStr">
        <is>
          <t>Rozhodující je dřevina OBOU vnějších dýh:</t>
        </is>
      </c>
    </row>
    <row r="23">
      <c r="A23" s="11" t="inlineStr">
        <is>
          <t xml:space="preserve">   a) alespoň jedna vnější dýha bříza → 4412 33 10 (TARIC 4412331082) → AD clo 86,8 % (viz bod 1);</t>
        </is>
      </c>
    </row>
    <row r="24">
      <c r="A24" s="11" t="inlineStr">
        <is>
          <t xml:space="preserve">   b) alespoň jedna vnější dýha jiná listnatá dřevina ze seznamu 4412 33 (topol, osika…) → 4412 33 90 10 → rovněž v rozsahu AD opatření;</t>
        </is>
      </c>
    </row>
    <row r="25">
      <c r="A25" s="11" t="inlineStr">
        <is>
          <t xml:space="preserve">   c) OBĚ vnější dýhy jehličnaté (borovice) s listnatým jádrem → 4412 39 00, TARIC 4412390020 – MIMO AD clo, ale nařízení 2025/2333 tento kód</t>
        </is>
      </c>
    </row>
    <row r="26">
      <c r="A26" s="11" t="inlineStr">
        <is>
          <t xml:space="preserve">      výslovně podrobuje MONITORINGU Komise právě jako možný obcházecí („modified product“) scénář; clo 7 %.</t>
        </is>
      </c>
    </row>
    <row r="27">
      <c r="A27" s="11" t="inlineStr">
        <is>
          <t>→ Vyžádat od klienta/výrobce specifikaci skladby desky (dřevina lícové i rubové dýhy a jádra), ideálně technický list nebo prohlášení výrobce.</t>
        </is>
      </c>
    </row>
    <row r="28">
      <c r="A28" s="11" t="inlineStr">
        <is>
          <t>→ Vzhledem k rozdílu 7 % vs. 86,8 % doporučuji před podáním JSD konzultovat sazební oddělení: customs.tariff@mauriceward.com.</t>
        </is>
      </c>
    </row>
    <row r="29">
      <c r="A29" s="11" t="inlineStr">
        <is>
          <t>→ Bez vyjasnění nelze kód odpovědně potvrdit; popis „PINE FACED“ u kódu pro břízu je typický rizikový profil pro celní kontrolu.</t>
        </is>
      </c>
    </row>
    <row r="30">
      <c r="A30" s="11" t="inlineStr"/>
    </row>
    <row r="31">
      <c r="A31" s="23">
        <f>== 3. ODPOVĚĎ NA DOTAZ: „Je k HS kódu vyžadován Y-code?“ ===</f>
        <v/>
      </c>
    </row>
    <row r="32">
      <c r="A32" s="11" t="inlineStr">
        <is>
          <t>a) CBAM Y-kódy (Y128 / Y238 / Y137): NE. CBAM se vztahuje pouze na zboží přílohy I nařízení (EU) 2023/956 – cement, elektřina, hnojiva,</t>
        </is>
      </c>
    </row>
    <row r="33">
      <c r="A33" s="11" t="inlineStr">
        <is>
          <t xml:space="preserve">   železo a ocel, hliník, vodík (kap. 25, 27, 28, 31, 72, 73, 76). Překližka kap. 44 mezi ně nepatří → žádný CBAM Y-kód se neuvádí.</t>
        </is>
      </c>
    </row>
    <row r="34">
      <c r="A34" s="11" t="inlineStr">
        <is>
          <t xml:space="preserve">   (Pro pořádek: příjemce Area Four Industries Česko s.r.o. JE v naší evidenci CBAM – viz bod 4 – ale pro tuto zásilku je to bezpředmětné.)</t>
        </is>
      </c>
    </row>
    <row r="35">
      <c r="A35" s="11" t="inlineStr">
        <is>
          <t>b) EUDR (nařízení (EU) 2023/1115, odlesňování): kód 4412 JE v příloze I nařízení. Použitelnost však byla nařízením (EU) 2025/2650</t>
        </is>
      </c>
    </row>
    <row r="36">
      <c r="A36" s="11" t="inlineStr">
        <is>
          <t xml:space="preserve">   odložena na 30.12.2026 pro velké a střední subjekty (30.6.2027 pro mikro a malé). Toto celní řízení proběhne v 9–10/2026,</t>
        </is>
      </c>
    </row>
    <row r="37">
      <c r="A37" s="11" t="inlineStr">
        <is>
          <t xml:space="preserve">   tedy PŘED tímto datem → DDS (kód dokladu C716) ani Y-kód EUDR se zatím nevyžaduje.</t>
        </is>
      </c>
    </row>
    <row r="38">
      <c r="A38" s="11" t="inlineStr">
        <is>
          <t xml:space="preserve">   → Upozornit klienta, že od 30.12.2026 bude pro každou další dodávku překližky nutné prohlášení o náležité péči (DDS) s geolokací.</t>
        </is>
      </c>
    </row>
    <row r="39">
      <c r="A39" s="11" t="inlineStr">
        <is>
          <t>c) Sankce vůči Rusku (nař. 833/2014, příloha XXI zahrnuje kap. 44): původ je ČLR, doložen COO. Ověřit v TARIC k datu propuštění, zda je</t>
        </is>
      </c>
    </row>
    <row r="40">
      <c r="A40" s="11" t="inlineStr">
        <is>
          <t xml:space="preserve">   u konkrétního kódu vyžadován prohlašovací Y-kód o neruském původu; pokud ano, doložit důkaz o původu.</t>
        </is>
      </c>
    </row>
    <row r="41">
      <c r="A41" s="11" t="inlineStr">
        <is>
          <t>→ SHRNUTÍ pro klienta: CBAM Y-kód se NEVYŽADUJE; EUDR zatím také ne (až od 30.12.2026). Skutečným problémem není Y-kód, ale ANTIDUMPING (bod 1).</t>
        </is>
      </c>
    </row>
    <row r="42">
      <c r="A42" s="11" t="inlineStr"/>
    </row>
    <row r="43">
      <c r="A43" s="21">
        <f>== 4. CBAM – LOOKUP PŘÍJEMCE (reference/CBAM_receivers_CZ.xlsx, list List1) ===</f>
        <v/>
      </c>
    </row>
    <row r="44">
      <c r="A44" s="11" t="inlineStr">
        <is>
          <t>Příjemce NALEZEN v registru:</t>
        </is>
      </c>
    </row>
    <row r="45">
      <c r="A45" s="11" t="inlineStr">
        <is>
          <t xml:space="preserve">   Firma: Area Four Industries Česko s.r.o.</t>
        </is>
      </c>
    </row>
    <row r="46">
      <c r="A46" s="11" t="inlineStr">
        <is>
          <t xml:space="preserve">   EORI: CZ25003330</t>
        </is>
      </c>
    </row>
    <row r="47">
      <c r="A47" s="11" t="inlineStr">
        <is>
          <t xml:space="preserve">   Y KÓD: Y238 (podaná žádost, dosud neschválený deklarant)</t>
        </is>
      </c>
    </row>
    <row r="48">
      <c r="A48" s="11" t="inlineStr">
        <is>
          <t xml:space="preserve">   Podaná žádost: APPL-CZ-2026-WTI716839226323 (prověřeno k 8.7. – Marcela_kontejner CAIU4695926)</t>
        </is>
      </c>
    </row>
    <row r="49">
      <c r="A49" s="11" t="inlineStr">
        <is>
          <t xml:space="preserve">   Povolení (Y128): – (žádné)   |   Y137 (do 50 t ročně): –   |   Datum vydání: neuvedeno</t>
        </is>
      </c>
    </row>
    <row r="50">
      <c r="A50" s="11" t="inlineStr">
        <is>
          <t>POZNÁMKA: Tato zásilka NEOBSAHUJE CBAM zboží (překližka kap. 44), takže se Y238 v tomto JSD neuplatní.</t>
        </is>
      </c>
    </row>
    <row r="51">
      <c r="A51" s="11" t="inlineStr">
        <is>
          <t>Údaj uvádím pouze pro úplnost – status příjemce je v pořádku a připraven pro budoucí zásilky CBAM zboží.</t>
        </is>
      </c>
    </row>
    <row r="52">
      <c r="A52" s="11" t="inlineStr">
        <is>
          <t>Zásilka se NETÝKÁ sdíleného účtu CBAM-CZ-2025-QGM67089385721 (Area Four není mezi firmami mimo EU, které jej využívají).</t>
        </is>
      </c>
    </row>
    <row r="53">
      <c r="A53" s="11" t="inlineStr"/>
    </row>
    <row r="54">
      <c r="A54" s="23">
        <f>== 5. PREFERENČNÍ PŮVOD (preferenční věta) A REX ===</f>
        <v/>
      </c>
    </row>
    <row r="55">
      <c r="A55" s="11" t="inlineStr">
        <is>
          <t>PREFERENČNÍ VĚTA: NENALEZENA v žádném z dokladů (faktura RH-26-048S, packing list, shipment advice, COO, B/L).</t>
        </is>
      </c>
    </row>
    <row r="56">
      <c r="A56" s="11" t="inlineStr">
        <is>
          <t xml:space="preserve">   ČLR nemá s EU preferenční dohodu, takže preferenční zacházení stejně nepřichází v úvahu – uplatní se plné třetizemní clo (CCT 7 %).</t>
        </is>
      </c>
    </row>
    <row r="57">
      <c r="A57" s="11" t="inlineStr">
        <is>
          <t xml:space="preserve">   Faktura naopak obsahuje pouze prohlášení, že zboží je „wholly of Chinese origin“ a „not of Israeli origin“ – to NENÍ preferenční věta.</t>
        </is>
      </c>
    </row>
    <row r="58">
      <c r="A58" s="11" t="inlineStr">
        <is>
          <t>REX ČÍSLO: NA FAKTUŘE NENÍ UVEDENO. Výslovně konstatuji jeho nepřítomnost.</t>
        </is>
      </c>
    </row>
    <row r="59">
      <c r="A59" s="11" t="inlineStr">
        <is>
          <t xml:space="preserve">   Žádné číslo REX ani číslo celního povolení vývozce se v dokladech nevyskytuje. Vzhledem k původu ČLR to nemá dopad na clo,</t>
        </is>
      </c>
    </row>
    <row r="60">
      <c r="A60" s="11" t="inlineStr">
        <is>
          <t xml:space="preserve">   protože nárok na preferenci by stejně nevznikl. Pro zařazení do spisu je však absence zaznamenána.</t>
        </is>
      </c>
    </row>
    <row r="61">
      <c r="A61" s="11" t="inlineStr"/>
    </row>
    <row r="62">
      <c r="A62" s="21">
        <f>== 6. DOKLADY – STAV A ZÁVADY ===</f>
        <v/>
      </c>
    </row>
    <row r="63">
      <c r="A63" s="11" t="inlineStr">
        <is>
          <t>✓ Commercial Invoice RH-26-048S (31.7.2026) – obsahuje položku „TOTAL“ US $33 839,84, použita jako celní hodnota.</t>
        </is>
      </c>
    </row>
    <row r="64">
      <c r="A64" s="11" t="inlineStr">
        <is>
          <t>✓ Packing / Weight List (31.7.2026) – hmotnosti po bednách, souhlasí s fakturou i B/L.</t>
        </is>
      </c>
    </row>
    <row r="65">
      <c r="A65" s="11" t="inlineStr">
        <is>
          <t>✓ Shipment Advice (31.7.2026).</t>
        </is>
      </c>
    </row>
    <row r="66">
      <c r="A66" s="11" t="inlineStr">
        <is>
          <t>✓ Bill of Lading F202616848 – kopie „NOT NEGOTIABLE – COPY“. Pro propuštění bude třeba originál B/L nebo Delivery Order.</t>
        </is>
      </c>
    </row>
    <row r="67">
      <c r="A67" s="11" t="inlineStr">
        <is>
          <t>⚠ Certificate of Origin (Singapore) – pouze ve stavu „DRAFT“, BEZ čísla, BEZ podpisu a BEZ razítka příslušného orgánu (pole 12 nevyplněno).</t>
        </is>
      </c>
    </row>
    <row r="68">
      <c r="A68" s="11" t="inlineStr">
        <is>
          <t xml:space="preserve">   → Vyžádat vystavený a ověřený originál COO. Při AD opatření je doklad o původu zásadní.</t>
        </is>
      </c>
    </row>
    <row r="69">
      <c r="A69" s="11" t="inlineStr">
        <is>
          <t>⚠ V COO je příjemce uveden chybně jako „AREA FOUR INDUSTRIES ESKO S.R.O.“ (chybí Č v „ČESKO“) → nechat opravit při vystavení originálu.</t>
        </is>
      </c>
    </row>
    <row r="70">
      <c r="A70" s="11" t="inlineStr">
        <is>
          <t>⚠ 500 listů je na faktuře uvedeno jako „FREE OF CHARGE“ (rozměr 4 × 993 × 1993 mm). Dle pokynu je do souhrnu převzata částka „TOTAL“,</t>
        </is>
      </c>
    </row>
    <row r="71">
      <c r="A71" s="11" t="inlineStr">
        <is>
          <t xml:space="preserve">   tedy bez dopočtu hodnoty FOC listů. Pro celní hodnotu je však nutné cenu bezúplatně dodaného zboží doložit/dopočítat –</t>
        </is>
      </c>
    </row>
    <row r="72">
      <c r="A72" s="11" t="inlineStr">
        <is>
          <t xml:space="preserve">   při jednotkové ceně $10,50/list by šlo o cca US $5 250. → Vyjasnit s klientem, zda má být tato částka do celní hodnoty zahrnuta.</t>
        </is>
      </c>
    </row>
    <row r="73">
      <c r="A73" s="11" t="inlineStr"/>
    </row>
    <row r="74">
      <c r="A74" s="21">
        <f>== 7. DALŠÍ ===</f>
        <v/>
      </c>
    </row>
    <row r="75">
      <c r="A75" s="11" t="inlineStr">
        <is>
          <t>Incoterm: FOB Qingdao Port, Čína (uveden shodně na faktuře, shipment advice i COO). Do celní hodnoty je proto nutné připočíst</t>
        </is>
      </c>
    </row>
    <row r="76">
      <c r="A76" s="11" t="inlineStr">
        <is>
          <t xml:space="preserve">   náklady na dopravu a pojištění do místa vstupu do EU (freight collect – vyžádat přepravní fakturu).</t>
        </is>
      </c>
    </row>
    <row r="77">
      <c r="A77" s="11" t="inlineStr">
        <is>
          <t>Obchodní sleva: na faktuře NENÍ uvedena žádná sleva (žádný subtotal/discount/before-after discount) → proporcionální rozpad slevy se neuplatní.</t>
        </is>
      </c>
    </row>
    <row r="78">
      <c r="A78" s="11" t="inlineStr">
        <is>
          <t>Sazební zařazení nebylo odvozováno postupem „CCT/VPV KN tariff rule“ – HS kód byl v podkladech dodán (441233 / 4412331082);</t>
        </is>
      </c>
    </row>
    <row r="79">
      <c r="A79" s="11" t="inlineStr">
        <is>
          <t xml:space="preserve">   předmětem je jeho OVĚŘENÍ, nikoli odvození. Viz bod 2.</t>
        </is>
      </c>
    </row>
    <row r="80">
      <c r="A80" s="11" t="inlineStr">
        <is>
          <t>JSD: přes Mělník (Maersk), vyclení do volného oběhu.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2026-09-22T13:48:08Z</dcterms:created>
  <dcterms:modified xsi:type="dcterms:W3CDTF">2026-09-22T13:48:08Z</dcterms:modified>
</cp:coreProperties>
</file>