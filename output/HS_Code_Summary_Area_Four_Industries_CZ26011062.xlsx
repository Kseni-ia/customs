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Rozdělení na 2 JSD" sheetId="2" state="visible" r:id="rId2"/>
    <sheet name="Položky faktury (rozpad)" sheetId="3" state="visible" r:id="rId3"/>
    <sheet name="Dokumenty a poznámky" sheetId="4" state="visible" r:id="rId4"/>
    <sheet name="Ověření HS 4412999090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699"/>
      </patternFill>
    </fill>
    <fill>
      <patternFill patternType="solid">
        <fgColor rgb="00D9D9D9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4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2" fillId="5" borderId="1" pivotButton="0" quotePrefix="0" xfId="0"/>
    <xf numFmtId="3" fontId="2" fillId="5" borderId="1" pivotButton="0" quotePrefix="0" xfId="0"/>
    <xf numFmtId="164" fontId="2" fillId="5" borderId="1" pivotButton="0" quotePrefix="0" xfId="0"/>
    <xf numFmtId="4" fontId="2" fillId="5" borderId="1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  <xf numFmtId="164" fontId="2" fillId="5" borderId="1" applyAlignment="1" pivotButton="0" quotePrefix="0" xfId="0">
      <alignment vertical="top" wrapText="1"/>
    </xf>
    <xf numFmtId="4" fontId="2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pivotButton="0" quotePrefix="0" xfId="0"/>
    <xf numFmtId="0" fontId="2" fillId="0" borderId="0" applyAlignment="1" pivotButton="0" quotePrefix="0" xfId="0">
      <alignment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44" customWidth="1" min="3" max="3"/>
    <col width="34" customWidth="1" min="4" max="4"/>
    <col width="11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34" customWidth="1" min="12" max="12"/>
    <col width="18" customWidth="1" min="13" max="13"/>
    <col width="60" customWidth="1" min="14" max="14"/>
  </cols>
  <sheetData>
    <row r="1">
      <c r="A1" s="1" t="inlineStr">
        <is>
          <t>HS kód (TARIC)</t>
        </is>
      </c>
      <c r="B1" s="1" t="inlineStr">
        <is>
          <t>Popis zboží (CZ)</t>
        </is>
      </c>
      <c r="C1" s="1" t="inlineStr">
        <is>
          <t>Položky dle zákazníka (Reg. č. – Název 3)</t>
        </is>
      </c>
      <c r="D1" s="1" t="inlineStr">
        <is>
          <t>Odesílatel</t>
        </is>
      </c>
      <c r="E1" s="1" t="inlineStr">
        <is>
          <t>Země původu (COO)</t>
        </is>
      </c>
      <c r="F1" s="1" t="inlineStr">
        <is>
          <t>Incoterm</t>
        </is>
      </c>
      <c r="G1" s="1" t="inlineStr">
        <is>
          <t>Celkové množství (listů)</t>
        </is>
      </c>
      <c r="H1" s="1" t="inlineStr">
        <is>
          <t>Objem (m³) – MJ MTQ</t>
        </is>
      </c>
      <c r="I1" s="1" t="inlineStr">
        <is>
          <t>Čistá hmotnost (kg)</t>
        </is>
      </c>
      <c r="J1" s="1" t="inlineStr">
        <is>
          <t>Hrubá hmotnost (kg)</t>
        </is>
      </c>
      <c r="K1" s="1" t="inlineStr">
        <is>
          <t>Cena / celní hodnota (USD – Total)</t>
        </is>
      </c>
      <c r="L1" s="1" t="inlineStr">
        <is>
          <t>Clo / opatření</t>
        </is>
      </c>
      <c r="M1" s="1" t="inlineStr">
        <is>
          <t>Příznak</t>
        </is>
      </c>
      <c r="N1" s="1" t="inlineStr">
        <is>
          <t>Poznámka</t>
        </is>
      </c>
    </row>
    <row r="2" ht="120" customHeight="1">
      <c r="A2" s="2" t="inlineStr">
        <is>
          <t>4412 33 10 82</t>
        </is>
      </c>
      <c r="B2" s="2" t="inlineStr">
        <is>
          <t>březová překližka</t>
        </is>
      </c>
      <c r="C2" s="2" t="inlineStr">
        <is>
          <t>39201508 – GM5-Deska 993x1993x4 Hexa-VOP
(faktura: 4 × 993 × 1993 mm – 18 ks à $10,50 + 500 ks FREE OF CHARGE)</t>
        </is>
      </c>
      <c r="D2" s="2" t="inlineStr">
        <is>
          <t>RILICO GLOBAL HOLDINGS PTE LTD, 111 Somerset Road #15-18, Singapore 238164
(výrobce dle COO: XUZHOU LARA IMPORT &amp; EXPORT CO., LTD, Pizhou, Jiangsu, ČLR)</t>
        </is>
      </c>
      <c r="E2" s="2" t="inlineStr">
        <is>
          <t>CN (Čína)</t>
        </is>
      </c>
      <c r="F2" s="2" t="inlineStr">
        <is>
          <t>FOB Qingdao (Qingdao Port, Čína)</t>
        </is>
      </c>
      <c r="G2" s="3" t="n">
        <v>518</v>
      </c>
      <c r="H2" s="4" t="n">
        <v>4.101</v>
      </c>
      <c r="I2" s="3" t="n">
        <v>2620</v>
      </c>
      <c r="J2" s="3" t="n">
        <v>2680</v>
      </c>
      <c r="K2" s="5" t="n">
        <v>189</v>
      </c>
      <c r="L2" s="2" t="inlineStr">
        <is>
          <t>7 % + konečné AD clo 86,8 % (nař. (EU) 2025/2333), doplňkový kód 8999</t>
        </is>
      </c>
      <c r="M2" s="2" t="inlineStr">
        <is>
          <t>ANTIDUMPING / FOC 500 ks</t>
        </is>
      </c>
      <c r="N2" s="2" t="inlineStr">
        <is>
          <t>Kód dle pokynu zákazníka (9.10.2026): „V minulosti clili pod AD, prosím toto zopakovat.“
⚠ Zákazník v tabulce uvádí jen 18 ks – faktura i packing list mají 518 ks (500 ks zdarma). Bezúplatné listy patří do JSD s celní hodnotou a podléhají také AD clu – viz list „Dokumenty a poznámky“, bod 2.</t>
        </is>
      </c>
    </row>
    <row r="3" ht="135" customHeight="1">
      <c r="A3" s="6" t="inlineStr">
        <is>
          <t>4412 39 00 30</t>
        </is>
      </c>
      <c r="B3" s="6" t="inlineStr">
        <is>
          <t>Popis zboží v češtině zákazník nedodal – uvedeny jeho názvy položek (viz vedlejší sloupec).</t>
        </is>
      </c>
      <c r="C3" s="6" t="inlineStr">
        <is>
          <t>30207943 – Plywood birch/pine 1994x994x12 hexa 220 (S10-Deska)
39200442 – SM-STAIR-Woodplate 910x225x15
21200058 – Poplar plywood 18x1220x2440mm (both sides Dynea film)
39201550 – Plywood birch/pine 1993x993x15 hexa 220 with hole</t>
        </is>
      </c>
      <c r="D3" s="6" t="inlineStr">
        <is>
          <t>RILICO GLOBAL HOLDINGS PTE LTD, 111 Somerset Road #15-18, Singapore 238164
(výrobce dle COO: XUZHOU LARA IMPORT &amp; EXPORT CO., LTD, Pizhou, Jiangsu, ČLR)</t>
        </is>
      </c>
      <c r="E3" s="6" t="inlineStr">
        <is>
          <t>CN (Čína)</t>
        </is>
      </c>
      <c r="F3" s="6" t="inlineStr">
        <is>
          <t>FOB Qingdao (Qingdao Port, Čína)</t>
        </is>
      </c>
      <c r="G3" s="7" t="n">
        <v>1968</v>
      </c>
      <c r="H3" s="8" t="n">
        <v>54.026</v>
      </c>
      <c r="I3" s="7" t="n">
        <v>35300</v>
      </c>
      <c r="J3" s="7" t="n">
        <v>36050</v>
      </c>
      <c r="K3" s="9" t="n">
        <v>33650.84</v>
      </c>
      <c r="L3" s="6" t="inlineStr">
        <is>
          <t>7 %, BEZ konečného AD cla; registrace dovozu dle nař. (EU) 2026/1840 (od 25.7.2026) + statistické sledování dle 2026/822</t>
        </is>
      </c>
      <c r="M3" s="6" t="inlineStr">
        <is>
          <t>AD REGISTRACE</t>
        </is>
      </c>
      <c r="N3" s="6" t="inlineStr">
        <is>
          <t>Zařazení potvrdila tarifní specialistka V. Šimůnková (30.9.2026): překližka pouze z dýh ≤ 6 mm, obě vnější dýhy borovice &lt; 2,5 mm, jádro bříza + topol → 4412390030. Skladbu písemně potvrdil M. Jiskra (A4I, 30.9.2026).
⚠ Registrace dovozu: potvrdí-li šetření obcházení AD opatření, lze AD clo uplatnit ZPĚTNĚ.</t>
        </is>
      </c>
    </row>
    <row r="4">
      <c r="A4" s="10" t="inlineStr">
        <is>
          <t>CELKEM</t>
        </is>
      </c>
      <c r="B4" s="10" t="inlineStr"/>
      <c r="C4" s="10" t="inlineStr"/>
      <c r="D4" s="10" t="inlineStr"/>
      <c r="E4" s="10" t="inlineStr"/>
      <c r="F4" s="10" t="inlineStr"/>
      <c r="G4" s="11" t="n">
        <v>2486</v>
      </c>
      <c r="H4" s="12" t="n">
        <v>58.127</v>
      </c>
      <c r="I4" s="11" t="n">
        <v>37920</v>
      </c>
      <c r="J4" s="11" t="n">
        <v>38730</v>
      </c>
      <c r="K4" s="13" t="n">
        <v>33839.84</v>
      </c>
      <c r="L4" s="10" t="inlineStr"/>
      <c r="M4" s="10" t="inlineStr"/>
      <c r="N4" s="10" t="inlineStr"/>
    </row>
    <row r="6">
      <c r="A6" s="14" t="inlineStr">
        <is>
          <t>Legenda:</t>
        </is>
      </c>
      <c r="B6" s="15" t="inlineStr"/>
    </row>
    <row r="7">
      <c r="A7" s="14" t="inlineStr">
        <is>
          <t>🔴 ČERVENÁ</t>
        </is>
      </c>
      <c r="B7" s="15" t="inlineStr">
        <is>
          <t>Konečné antidumpingové clo – uvést v JSD.</t>
        </is>
      </c>
    </row>
    <row r="8">
      <c r="A8" s="14" t="inlineStr">
        <is>
          <t>🟡 ORANŽOVÁ</t>
        </is>
      </c>
      <c r="B8" s="15" t="inlineStr">
        <is>
          <t>Bez konečného AD cla, ale dovoz je registrován (nař. 2026/1840) – riziko zpětného AD cla.</t>
        </is>
      </c>
    </row>
    <row r="9">
      <c r="A9" s="14" t="inlineStr">
        <is>
          <t>Zdroj kódů</t>
        </is>
      </c>
      <c r="B9" s="15" t="inlineStr">
        <is>
          <t>Pokyn L. Jirkovského 9.10.2026 16:20: „prosím tedy o vyclení dle instrukcí zákazníka“ (tabulka zákazníka z 8.10.2026); M. Kirilova 9.10.2026: „máme vyclít tak, jak je níže od nich psáno, je to jejich volba“.</t>
        </is>
      </c>
    </row>
    <row r="10">
      <c r="A10" s="14" t="inlineStr">
        <is>
          <t>Cena</t>
        </is>
      </c>
      <c r="B10" s="15" t="inlineStr">
        <is>
          <t>Částky ze sloupce TOTAL AMOUNT faktury RH-26-048S po položkách; součet = TOTAL US $33 839,84.</t>
        </is>
      </c>
    </row>
    <row r="11">
      <c r="A11" s="14" t="inlineStr">
        <is>
          <t>Hmotnosti</t>
        </is>
      </c>
      <c r="B11" s="15" t="inlineStr">
        <is>
          <t>Packing/Weight List po bednách, sečteno po HS kódech; součty sedí na NW 37 920 kg / GW 38 730 kg i B/L.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5" customWidth="1" min="2" max="2"/>
    <col width="14" customWidth="1" min="3" max="3"/>
    <col width="34" customWidth="1" min="4" max="4"/>
    <col width="8" customWidth="1" min="5" max="5"/>
    <col width="10" customWidth="1" min="6" max="6"/>
    <col width="10" customWidth="1" min="7" max="7"/>
    <col width="11" customWidth="1" min="8" max="8"/>
    <col width="11" customWidth="1" min="9" max="9"/>
    <col width="13" customWidth="1" min="10" max="10"/>
    <col width="13" customWidth="1" min="11" max="11"/>
    <col width="12" customWidth="1" min="12" max="12"/>
    <col width="13" customWidth="1" min="13" max="13"/>
    <col width="14" customWidth="1" min="14" max="14"/>
  </cols>
  <sheetData>
    <row r="1">
      <c r="A1" s="1" t="inlineStr">
        <is>
          <t>JSD</t>
        </is>
      </c>
      <c r="B1" s="1" t="inlineStr">
        <is>
          <t>Pol.</t>
        </is>
      </c>
      <c r="C1" s="1" t="inlineStr">
        <is>
          <t>HS kód (TARIC)</t>
        </is>
      </c>
      <c r="D1" s="1" t="inlineStr">
        <is>
          <t>Položka zákazníka</t>
        </is>
      </c>
      <c r="E1" s="1" t="inlineStr">
        <is>
          <t>Listů</t>
        </is>
      </c>
      <c r="F1" s="1" t="inlineStr">
        <is>
          <t>Objem m³ (MTQ)</t>
        </is>
      </c>
      <c r="G1" s="1" t="inlineStr">
        <is>
          <t>Beden</t>
        </is>
      </c>
      <c r="H1" s="1" t="inlineStr">
        <is>
          <t>NW (kg)</t>
        </is>
      </c>
      <c r="I1" s="1" t="inlineStr">
        <is>
          <t>GW (kg)</t>
        </is>
      </c>
      <c r="J1" s="1" t="inlineStr">
        <is>
          <t>Hodnota USD</t>
        </is>
      </c>
      <c r="K1" s="1" t="inlineStr">
        <is>
          <t>Základ CZK (orient.)</t>
        </is>
      </c>
      <c r="L1" s="1" t="inlineStr">
        <is>
          <t>A00 clo 7 % (CZK)</t>
        </is>
      </c>
      <c r="M1" s="1" t="inlineStr">
        <is>
          <t>A30 AD 86,8 % (CZK)</t>
        </is>
      </c>
      <c r="N1" s="1" t="inlineStr">
        <is>
          <t>Celkem clo + AD (CZK)</t>
        </is>
      </c>
    </row>
    <row r="2">
      <c r="A2" s="16" t="inlineStr">
        <is>
          <t>JSD 1 – fakturované zboží</t>
        </is>
      </c>
      <c r="B2" s="16" t="n">
        <v>1</v>
      </c>
      <c r="C2" s="16" t="inlineStr">
        <is>
          <t>4412 39 00 30</t>
        </is>
      </c>
      <c r="D2" s="16" t="inlineStr">
        <is>
          <t>30207943, 39200442, 21200058, 39201550</t>
        </is>
      </c>
      <c r="E2" s="17" t="n">
        <v>1968</v>
      </c>
      <c r="F2" s="18" t="n">
        <v>54.026</v>
      </c>
      <c r="G2" s="16" t="n">
        <v>25</v>
      </c>
      <c r="H2" s="19" t="n">
        <v>35300</v>
      </c>
      <c r="I2" s="19" t="n">
        <v>36050</v>
      </c>
      <c r="J2" s="19" t="n">
        <v>33650.84</v>
      </c>
      <c r="K2" s="17" t="n">
        <v>719131</v>
      </c>
      <c r="L2" s="17" t="n">
        <v>50339</v>
      </c>
      <c r="M2" s="17" t="n">
        <v>0</v>
      </c>
      <c r="N2" s="17" t="n">
        <v>50339</v>
      </c>
    </row>
    <row r="3">
      <c r="A3" s="2" t="inlineStr">
        <is>
          <t>JSD 1 – fakturované zboží</t>
        </is>
      </c>
      <c r="B3" s="2" t="n">
        <v>2</v>
      </c>
      <c r="C3" s="2" t="inlineStr">
        <is>
          <t>4412 33 10 82</t>
        </is>
      </c>
      <c r="D3" s="2" t="inlineStr">
        <is>
          <t>39201508 GM5-Deska 4 mm – 18 placených listů</t>
        </is>
      </c>
      <c r="E3" s="3" t="n">
        <v>18</v>
      </c>
      <c r="F3" s="4" t="n">
        <v>0.143</v>
      </c>
      <c r="G3" s="2" t="inlineStr">
        <is>
          <t>(v 2 bednách s FOC)</t>
        </is>
      </c>
      <c r="H3" s="5" t="n">
        <v>91.04000000000001</v>
      </c>
      <c r="I3" s="5" t="n">
        <v>93.13</v>
      </c>
      <c r="J3" s="5" t="n">
        <v>189</v>
      </c>
      <c r="K3" s="3" t="n">
        <v>4039</v>
      </c>
      <c r="L3" s="3" t="n">
        <v>283</v>
      </c>
      <c r="M3" s="3" t="n">
        <v>3506</v>
      </c>
      <c r="N3" s="3" t="n">
        <v>3789</v>
      </c>
    </row>
    <row r="4">
      <c r="A4" s="20" t="inlineStr">
        <is>
          <t>JSD 1 CELKEM</t>
        </is>
      </c>
      <c r="B4" s="20" t="inlineStr"/>
      <c r="C4" s="20" t="inlineStr"/>
      <c r="D4" s="20" t="inlineStr"/>
      <c r="E4" s="21" t="n">
        <v>1986</v>
      </c>
      <c r="F4" s="22" t="n">
        <v>54.169</v>
      </c>
      <c r="G4" s="20" t="n">
        <v>25</v>
      </c>
      <c r="H4" s="23" t="n">
        <v>35391.04</v>
      </c>
      <c r="I4" s="23" t="n">
        <v>36143.13</v>
      </c>
      <c r="J4" s="23" t="n">
        <v>33839.84</v>
      </c>
      <c r="K4" s="21" t="n">
        <v>723170</v>
      </c>
      <c r="L4" s="21" t="n">
        <v>50622</v>
      </c>
      <c r="M4" s="21" t="n">
        <v>3506</v>
      </c>
      <c r="N4" s="21" t="n">
        <v>54128</v>
      </c>
    </row>
    <row r="5">
      <c r="A5" s="2" t="inlineStr">
        <is>
          <t>JSD 2 – FREE OF CHARGE</t>
        </is>
      </c>
      <c r="B5" s="2" t="n">
        <v>1</v>
      </c>
      <c r="C5" s="2" t="inlineStr">
        <is>
          <t>4412 33 10 82</t>
        </is>
      </c>
      <c r="D5" s="2" t="inlineStr">
        <is>
          <t>39201508 GM5-Deska 4 mm – 500 listů zdarma</t>
        </is>
      </c>
      <c r="E5" s="3" t="n">
        <v>500</v>
      </c>
      <c r="F5" s="4" t="n">
        <v>3.958</v>
      </c>
      <c r="G5" s="2" t="n">
        <v>2</v>
      </c>
      <c r="H5" s="5" t="n">
        <v>2528.96</v>
      </c>
      <c r="I5" s="5" t="n">
        <v>2586.87</v>
      </c>
      <c r="J5" s="5" t="n">
        <v>5250</v>
      </c>
      <c r="K5" s="3" t="n">
        <v>112194</v>
      </c>
      <c r="L5" s="3" t="n">
        <v>7854</v>
      </c>
      <c r="M5" s="3" t="n">
        <v>97385</v>
      </c>
      <c r="N5" s="3" t="n">
        <v>105238</v>
      </c>
    </row>
    <row r="6">
      <c r="A6" s="20" t="inlineStr">
        <is>
          <t>CELKEM ZÁSILKA</t>
        </is>
      </c>
      <c r="B6" s="20" t="inlineStr"/>
      <c r="C6" s="20" t="inlineStr"/>
      <c r="D6" s="20" t="inlineStr"/>
      <c r="E6" s="21" t="n">
        <v>2486</v>
      </c>
      <c r="F6" s="22" t="n">
        <v>58.127</v>
      </c>
      <c r="G6" s="20" t="n">
        <v>27</v>
      </c>
      <c r="H6" s="23" t="n">
        <v>37920</v>
      </c>
      <c r="I6" s="23" t="n">
        <v>38730</v>
      </c>
      <c r="J6" s="23" t="inlineStr">
        <is>
          <t>33 839,84 + FOC 5 250,00</t>
        </is>
      </c>
      <c r="K6" s="21" t="n">
        <v>835364</v>
      </c>
      <c r="L6" s="21" t="n">
        <v>58476</v>
      </c>
      <c r="M6" s="21" t="n">
        <v>100891</v>
      </c>
      <c r="N6" s="21" t="n">
        <v>159366</v>
      </c>
    </row>
    <row r="8">
      <c r="A8" s="29" t="inlineStr">
        <is>
          <t>Poznámky:</t>
        </is>
      </c>
    </row>
    <row r="9">
      <c r="A9" s="30" t="inlineStr">
        <is>
          <t>• Rozdělení: JSD 1 = vše fakturované (transakční hodnota, součet = TOTAL faktury US $33 839,84); JSD 2 = 500 listů FREE OF CHARGE.</t>
        </is>
      </c>
    </row>
    <row r="10">
      <c r="A10" s="30" t="inlineStr">
        <is>
          <t>• Hodnota FOC: 500 × $10,50 (cena stejné desky z faktury) = $5 250 – NUTNO POTVRDIT se zákazníkem.</t>
        </is>
      </c>
    </row>
    <row r="11">
      <c r="A11" s="30" t="inlineStr">
        <is>
          <t>• CZK přepočteny stejným poměrem jako výpočet K. Lukianové u 18 listů ($189,00 → 4 039 CZK, tj. 21,37037 CZK/USD) – orientační.</t>
        </is>
      </c>
    </row>
    <row r="12">
      <c r="A12" s="30" t="inlineStr">
        <is>
          <t>• FOB Qingdao: do základu je ještě třeba připočíst dopravu a pojištění do místa vstupu do EU – částky výše je NEOBSAHUJÍ.</t>
        </is>
      </c>
    </row>
    <row r="13">
      <c r="A13" s="30" t="inlineStr">
        <is>
          <t>• Hmotnosti 4mm desky: packing list neuvádí rozdělení 18/500 (2 bedny po 259 listech), NW/GW rozpočteny poměrem počtu listů.</t>
        </is>
      </c>
    </row>
    <row r="14">
      <c r="A14" s="30" t="inlineStr">
        <is>
          <t>• Beden: 18 placených listů je fyzicky ve stejných 2 bednách jako FOC listy – bedny vykázány jen jednou (JSD 2).</t>
        </is>
      </c>
    </row>
    <row r="15">
      <c r="A15" s="30" t="inlineStr">
        <is>
          <t>• AD clo uvádět zvlášť jako A30 (86,8 %), A00 je jen clo 7 %. DPH (B00) není zahrnuta.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13" customWidth="1" min="3" max="3"/>
    <col width="15" customWidth="1" min="4" max="4"/>
    <col width="8" customWidth="1" min="5" max="5"/>
    <col width="10" customWidth="1" min="6" max="6"/>
    <col width="7" customWidth="1" min="7" max="7"/>
    <col width="9" customWidth="1" min="8" max="8"/>
    <col width="9" customWidth="1" min="9" max="9"/>
    <col width="12" customWidth="1" min="10" max="10"/>
    <col width="14" customWidth="1" min="11" max="11"/>
  </cols>
  <sheetData>
    <row r="1">
      <c r="A1" s="1" t="inlineStr">
        <is>
          <t>#</t>
        </is>
      </c>
      <c r="B1" s="1" t="inlineStr">
        <is>
          <t>Popis dle faktury / rozměr</t>
        </is>
      </c>
      <c r="C1" s="1" t="inlineStr">
        <is>
          <t>Reg. č. zákazníka</t>
        </is>
      </c>
      <c r="D1" s="1" t="inlineStr">
        <is>
          <t>HS kód (TARIC)</t>
        </is>
      </c>
      <c r="E1" s="1" t="inlineStr">
        <is>
          <t>Listů</t>
        </is>
      </c>
      <c r="F1" s="1" t="inlineStr">
        <is>
          <t>Objem (m³)</t>
        </is>
      </c>
      <c r="G1" s="1" t="inlineStr">
        <is>
          <t>Beden</t>
        </is>
      </c>
      <c r="H1" s="1" t="inlineStr">
        <is>
          <t>NW (kg)</t>
        </is>
      </c>
      <c r="I1" s="1" t="inlineStr">
        <is>
          <t>GW (kg)</t>
        </is>
      </c>
      <c r="J1" s="1" t="inlineStr">
        <is>
          <t>Jedn. cena USD/list</t>
        </is>
      </c>
      <c r="K1" s="1" t="inlineStr">
        <is>
          <t>Celkem USD (TOTAL AMOUNT)</t>
        </is>
      </c>
    </row>
    <row r="2">
      <c r="A2" s="16" t="n">
        <v>1</v>
      </c>
      <c r="B2" s="16" t="inlineStr">
        <is>
          <t>Pine faced plywood, one side honeycomb wire mesh smooth Dynea brown film, Dynea glue – 15 × 993 × 1993 mm</t>
        </is>
      </c>
      <c r="C2" s="16" t="inlineStr">
        <is>
          <t>39201550</t>
        </is>
      </c>
      <c r="D2" s="16" t="inlineStr">
        <is>
          <t>4412 39 00 30</t>
        </is>
      </c>
      <c r="E2" s="17" t="n">
        <v>496</v>
      </c>
      <c r="F2" s="18" t="n">
        <v>14.724</v>
      </c>
      <c r="G2" s="17" t="n">
        <v>7</v>
      </c>
      <c r="H2" s="17" t="n">
        <v>9430</v>
      </c>
      <c r="I2" s="17" t="n">
        <v>9640</v>
      </c>
      <c r="J2" s="19" t="n">
        <v>20.79</v>
      </c>
      <c r="K2" s="19" t="n">
        <v>10311.84</v>
      </c>
    </row>
    <row r="3">
      <c r="A3" s="16" t="n">
        <v>2</v>
      </c>
      <c r="B3" s="16" t="inlineStr">
        <is>
          <t>Pine faced plywood, one side honeycomb wire mesh smooth Dynea brown film, Dynea glue – 12 × 994 × 1994 mm</t>
        </is>
      </c>
      <c r="C3" s="16" t="inlineStr">
        <is>
          <t>30207943</t>
        </is>
      </c>
      <c r="D3" s="16" t="inlineStr">
        <is>
          <t>4412 39 00 30</t>
        </is>
      </c>
      <c r="E3" s="17" t="n">
        <v>494</v>
      </c>
      <c r="F3" s="18" t="n">
        <v>11.75</v>
      </c>
      <c r="G3" s="17" t="n">
        <v>7</v>
      </c>
      <c r="H3" s="17" t="n">
        <v>7880</v>
      </c>
      <c r="I3" s="17" t="n">
        <v>8090</v>
      </c>
      <c r="J3" s="19" t="n">
        <v>17.95</v>
      </c>
      <c r="K3" s="19" t="n">
        <v>8867.299999999999</v>
      </c>
    </row>
    <row r="4">
      <c r="A4" s="2" t="n">
        <v>3</v>
      </c>
      <c r="B4" s="2" t="inlineStr">
        <is>
          <t>Pine faced plywood, one side honeycomb wire mesh smooth Dynea brown film, Dynea glue – 4 × 993 × 1993 mm (18 ks à $10,50 + 500 ks FREE OF CHARGE)</t>
        </is>
      </c>
      <c r="C4" s="2" t="inlineStr">
        <is>
          <t>39201508</t>
        </is>
      </c>
      <c r="D4" s="2" t="inlineStr">
        <is>
          <t>4412 33 10 82</t>
        </is>
      </c>
      <c r="E4" s="3" t="n">
        <v>518</v>
      </c>
      <c r="F4" s="4" t="n">
        <v>4.101</v>
      </c>
      <c r="G4" s="3" t="n">
        <v>2</v>
      </c>
      <c r="H4" s="3" t="n">
        <v>2620</v>
      </c>
      <c r="I4" s="3" t="n">
        <v>2680</v>
      </c>
      <c r="J4" s="5" t="n">
        <v>10.5</v>
      </c>
      <c r="K4" s="5" t="n">
        <v>189</v>
      </c>
    </row>
    <row r="5">
      <c r="A5" s="16" t="n">
        <v>4</v>
      </c>
      <c r="B5" s="16" t="inlineStr">
        <is>
          <t>Pine faced plywood, one side smooth Dynea brown film, other side no film, Dynea glue – 15 × 225 × 910 mm</t>
        </is>
      </c>
      <c r="C5" s="16" t="inlineStr">
        <is>
          <t>39200442</t>
        </is>
      </c>
      <c r="D5" s="16" t="inlineStr">
        <is>
          <t>4412 39 00 30</t>
        </is>
      </c>
      <c r="E5" s="17" t="n">
        <v>492</v>
      </c>
      <c r="F5" s="18" t="n">
        <v>1.511</v>
      </c>
      <c r="G5" s="17" t="n">
        <v>1</v>
      </c>
      <c r="H5" s="17" t="n">
        <v>970</v>
      </c>
      <c r="I5" s="17" t="n">
        <v>1000</v>
      </c>
      <c r="J5" s="19" t="n">
        <v>2.2</v>
      </c>
      <c r="K5" s="19" t="n">
        <v>1082.4</v>
      </c>
    </row>
    <row r="6">
      <c r="A6" s="16" t="n">
        <v>5</v>
      </c>
      <c r="B6" s="16" t="inlineStr">
        <is>
          <t>Pine faced plywood, both side smooth Dynea brown film, Dynea glue – 18 × 1220 × 2440 mm</t>
        </is>
      </c>
      <c r="C6" s="16" t="inlineStr">
        <is>
          <t>21200058</t>
        </is>
      </c>
      <c r="D6" s="16" t="inlineStr">
        <is>
          <t>4412 39 00 30</t>
        </is>
      </c>
      <c r="E6" s="17" t="n">
        <v>486</v>
      </c>
      <c r="F6" s="18" t="n">
        <v>26.041</v>
      </c>
      <c r="G6" s="17" t="n">
        <v>10</v>
      </c>
      <c r="H6" s="17" t="n">
        <v>17020</v>
      </c>
      <c r="I6" s="17" t="n">
        <v>17320</v>
      </c>
      <c r="J6" s="19" t="n">
        <v>27.55</v>
      </c>
      <c r="K6" s="19" t="n">
        <v>13389.3</v>
      </c>
    </row>
    <row r="7">
      <c r="A7" s="20" t="inlineStr"/>
      <c r="B7" s="20" t="inlineStr">
        <is>
          <t>CELKEM (TOTAL dle faktury)</t>
        </is>
      </c>
      <c r="C7" s="20" t="inlineStr"/>
      <c r="D7" s="20" t="inlineStr"/>
      <c r="E7" s="21" t="n">
        <v>2486</v>
      </c>
      <c r="F7" s="22" t="n">
        <v>58.127</v>
      </c>
      <c r="G7" s="21" t="n">
        <v>27</v>
      </c>
      <c r="H7" s="21" t="n">
        <v>37920</v>
      </c>
      <c r="I7" s="21" t="n">
        <v>38730</v>
      </c>
      <c r="J7" s="23" t="inlineStr"/>
      <c r="K7" s="23" t="n">
        <v>33839.84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1"/>
  <sheetViews>
    <sheetView showGridLines="0"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24">
        <f>== ZÁSILKA ===</f>
        <v/>
      </c>
    </row>
    <row r="2">
      <c r="A2" s="15" t="inlineStr">
        <is>
          <t>Příjemce: AREA FOUR INDUSTRIES ČESKO s.r.o., Spindlerova třída 286, CZ 413 01 Roudnice nad Labem | EORI CZ25003330</t>
        </is>
      </c>
    </row>
    <row r="3">
      <c r="A3" s="15" t="inlineStr">
        <is>
          <t>Odesílatel: RILICO GLOBAL HOLDINGS PTE LTD, Singapur | Výrobce (dle COO): XUZHOU LARA IMPORT &amp; EXPORT CO., LTD, Pizhou, Jiangsu, ČLR</t>
        </is>
      </c>
    </row>
    <row r="4">
      <c r="A4" s="15" t="inlineStr">
        <is>
          <t>Faktura RH-26-048S z 31.7.2026 | Objednávky P-021225-TC &amp; P-010226-TC | Ref. MW CZ26011062 / KLI20260701011</t>
        </is>
      </c>
    </row>
    <row r="5">
      <c r="A5" s="15" t="inlineStr">
        <is>
          <t>B/L F202616848 (kopie) | MV MAERSK MAASTRICHT / 630W | Qingdao → Bremerhaven → Mělník | FOB Qingdao Port | freight collect</t>
        </is>
      </c>
    </row>
    <row r="6">
      <c r="A6" s="15" t="inlineStr">
        <is>
          <t>Kontejnery: MRKU8681136 / CN7598690 – 10 beden | MRSU2171077 / CN6068214 – 17 beden | celkem 27 beden, 2 486 listů, 58,127 m³</t>
        </is>
      </c>
    </row>
    <row r="7">
      <c r="A7" s="15" t="inlineStr">
        <is>
          <t>Režim: volný oběh (40), bez AZS – potvrdil L. Jirkovský 23.9.2026. JSD přes Mělník, MRN pošle P. Vojtěchová.</t>
        </is>
      </c>
    </row>
    <row r="8">
      <c r="A8" s="15" t="inlineStr"/>
    </row>
    <row r="9">
      <c r="A9" s="25">
        <f>== FINÁLNÍ ZAŘAZENÍ – dle pokynu zákazníka (L. Jirkovský, 9.10.2026 16:20) ===</f>
        <v/>
      </c>
    </row>
    <row r="10">
      <c r="A10" s="15" t="inlineStr">
        <is>
          <t>Zákazník (tabulka z 8.10.2026) rozdělil položky takto, M. Kirilova (9.10.2026) potvrdila: „je to jejich volba, celní úřad bude spokojen“.</t>
        </is>
      </c>
    </row>
    <row r="11">
      <c r="A11" s="15" t="inlineStr">
        <is>
          <t xml:space="preserve">   39201508  GM5-Deska 993x1993x4 Hexa-VOP ............................ 4412 33 10 82   (zákazník: „V minulosti clili pod AD, prosím toto zopakovat“)</t>
        </is>
      </c>
    </row>
    <row r="12">
      <c r="A12" s="15" t="inlineStr">
        <is>
          <t xml:space="preserve">   30207943  Plywood birch/pine 1994x994x12 hexa 220 (S10-Deska) ........ 4412 39 00 30</t>
        </is>
      </c>
    </row>
    <row r="13">
      <c r="A13" s="15" t="inlineStr">
        <is>
          <t xml:space="preserve">   39200442  SM-STAIR-Woodplate 910x225x15 ............................. 4412 39 00 30</t>
        </is>
      </c>
    </row>
    <row r="14">
      <c r="A14" s="15" t="inlineStr">
        <is>
          <t xml:space="preserve">   21200058  Poplar plywood 18x1220x2440mm (both sides Dynea film) ...... 4412 39 00 30</t>
        </is>
      </c>
    </row>
    <row r="15">
      <c r="A15" s="15" t="inlineStr">
        <is>
          <t xml:space="preserve">   39201550  Plywood birch/pine 1993x993x15 hexa 220 with hole .......... 4412 39 00 30</t>
        </is>
      </c>
    </row>
    <row r="16">
      <c r="A16" s="15" t="inlineStr">
        <is>
          <t>Podklad pro 4412390030: V. Šimůnková 30.9.2026 – překližka pouze z dýh ≤ 6 mm, obě vnější dýhy borovice (Pinus) &lt; 2,5 mm,</t>
        </is>
      </c>
    </row>
    <row r="17">
      <c r="A17" s="15" t="inlineStr">
        <is>
          <t xml:space="preserve">   jádro bříza + topol. Skladbu potvrdil písemně M. Jiskra (A4I) 30.9.2026 9:22 a 9:47. Žádná dřevotříska, vrstvy cca do 5 mm.</t>
        </is>
      </c>
    </row>
    <row r="18">
      <c r="A18" s="15" t="inlineStr">
        <is>
          <t>Kódy 4412999090 a původní celoplošný 4412331082 jsou tímto nahrazeny (historie viz list „Ověření HS 4412999090“).</t>
        </is>
      </c>
    </row>
    <row r="19">
      <c r="A19" s="15" t="inlineStr"/>
    </row>
    <row r="20">
      <c r="A20" s="26">
        <f>== ⚠ 1. ANTIDUMPING – 4412 33 10 82 (GM5-Deska 4 mm) ===</f>
        <v/>
      </c>
    </row>
    <row r="21">
      <c r="A21" s="15" t="inlineStr">
        <is>
          <t>Konečné AD clo 86,8 % dle nař. (EU) 2025/2333 (21.11.2025–20.11.2030), doplňkový kód 8999 (všechny ostatní společnosti) + clo 7 %.</t>
        </is>
      </c>
    </row>
    <row r="22">
      <c r="A22" s="15" t="inlineStr">
        <is>
          <t>Z fakturované částky US $189,00 → AD cca US $164,05 + clo cca US $13,23 (bez dopravného a bez hodnoty FOC listů – viz bod 2).</t>
        </is>
      </c>
    </row>
    <row r="23">
      <c r="A23" s="15" t="inlineStr"/>
    </row>
    <row r="24">
      <c r="A24" s="26">
        <f>== ⚠ 2. 500 LISTŮ „FREE OF CHARGE“ – CHYBÍ V TABULCE ZÁKAZNÍKA ===</f>
        <v/>
      </c>
    </row>
    <row r="25">
      <c r="A25" s="15" t="inlineStr">
        <is>
          <t>Tabulka zákazníka uvádí u 39201508 jen 18 ks. Faktura, packing list i COO ale mají u rozměru 4 × 993 × 1993 mm 518 listů</t>
        </is>
      </c>
    </row>
    <row r="26">
      <c r="A26" s="15" t="inlineStr">
        <is>
          <t xml:space="preserve">   (18 ks à $10,50 = $189,00 + 500 ks FREE OF CHARGE), 2 bedny, 4,101 m³, NW 2 620 kg, GW 2 680 kg.</t>
        </is>
      </c>
    </row>
    <row r="27">
      <c r="A27" s="15" t="inlineStr">
        <is>
          <t>V souhrnu je proto 518 listů – jinak by nesouhlasil celkový počet 2 486 listů ani hmotnosti s B/L.</t>
        </is>
      </c>
    </row>
    <row r="28">
      <c r="A28" s="15" t="inlineStr">
        <is>
          <t>Bezúplatné zboží musí být v JSD s celní hodnotou (nelze nulovou). Při ceně $10,50/list jde o cca US $5 250,</t>
        </is>
      </c>
    </row>
    <row r="29">
      <c r="A29" s="15" t="inlineStr">
        <is>
          <t xml:space="preserve">   z čehož AD 86,8 % ≈ US $4 557 + clo 7 % ≈ US $368. → Potvrdit se zákazníkem hodnotu FOC listů PŘED podáním JSD.</t>
        </is>
      </c>
    </row>
    <row r="30">
      <c r="A30" s="15" t="inlineStr">
        <is>
          <t>Pozn.: Dle pravidla „Total“ je ve sloupci ceny uvedena jen fakturovaná částka $189,00 – hodnota FOC listů v ní NENÍ.</t>
        </is>
      </c>
    </row>
    <row r="31">
      <c r="A31" s="15" t="inlineStr"/>
    </row>
    <row r="32">
      <c r="A32" s="27">
        <f>== ⚠ 3. 4412 39 00 30 – REGISTRACE DOVOZU (bez konečného AD cla) ===</f>
        <v/>
      </c>
    </row>
    <row r="33">
      <c r="A33" s="15" t="inlineStr">
        <is>
          <t>Clo 7 %. Konečné AD clo zatím není, ale dovoz podléhá registraci dle nař. (EU) 2026/1840 (od 25.7.2026) a statistickému</t>
        </is>
      </c>
    </row>
    <row r="34">
      <c r="A34" s="15" t="inlineStr">
        <is>
          <t xml:space="preserve">   sledování dle nař. (EU) 2026/822. Potvrdí-li šetření obcházení AD opatření, může být AD clo na registrované dovozy uplatněno ZPĚTNĚ.</t>
        </is>
      </c>
    </row>
    <row r="35">
      <c r="A35" s="15" t="inlineStr">
        <is>
          <t xml:space="preserve">   (zdroj: V. Šimůnková, 30.9.2026) → doporučeno upozornit zákazníka, že riziko není uzavřené.</t>
        </is>
      </c>
    </row>
    <row r="36">
      <c r="A36" s="15" t="inlineStr"/>
    </row>
    <row r="37">
      <c r="A37" s="27">
        <f>== ⚠ 4. NÁZVY POLOŽEK ZÁKAZNÍKA vs. ZAŘAZENÍ ===</f>
        <v/>
      </c>
    </row>
    <row r="38">
      <c r="A38" s="15" t="inlineStr">
        <is>
          <t>Položka 21200058 se v systému zákazníka jmenuje „Poplar plywood …“ a položky 30207943 / 39201550 „Plywood birch/pine …“,</t>
        </is>
      </c>
    </row>
    <row r="39">
      <c r="A39" s="15" t="inlineStr">
        <is>
          <t xml:space="preserve">   faktura u všech uvádí „PINE FACED PLYWOOD“. Pro 4412 39 rozhodují jen VNĚJŠÍ dýhy; zákazník písemně potvrdil, že obě vnější</t>
        </is>
      </c>
    </row>
    <row r="40">
      <c r="A40" s="15" t="inlineStr">
        <is>
          <t xml:space="preserve">   jsou borovice a bříza/topol jsou v jádru. Názvy tomu nemusí odporovat, ale u kontroly mohou vzbudit otázky →</t>
        </is>
      </c>
    </row>
    <row r="41">
      <c r="A41" s="15" t="inlineStr">
        <is>
          <t xml:space="preserve">   doporučeno popis v JSD formulovat podle skladby (vnější dýhy borovice, jádro bříza/topol), ne podle názvu „Poplar plywood“.</t>
        </is>
      </c>
    </row>
    <row r="42">
      <c r="A42" s="15" t="inlineStr">
        <is>
          <t xml:space="preserve">   Zároveň: 4mm GM5-Deska má na faktuře rovněž „PINE FACED“, zákazník ji ale sám deklaruje jako březovou (4412331082) – jeho volba,</t>
        </is>
      </c>
    </row>
    <row r="43">
      <c r="A43" s="15" t="inlineStr">
        <is>
          <t xml:space="preserve">   z hlediska cla jde o přísnější (dražší) variantu, riziko doměření nevzniká.</t>
        </is>
      </c>
    </row>
    <row r="44">
      <c r="A44" s="15" t="inlineStr"/>
    </row>
    <row r="45">
      <c r="A45" s="24">
        <f>== 5. CBAM / EUDR / OCEL ===</f>
        <v/>
      </c>
    </row>
    <row r="46">
      <c r="A46" s="15" t="inlineStr">
        <is>
          <t>CBAM: neaplikuje se (kap. 44 není zboží přílohy I). Příjemce je v registru: Area Four Industries Česko s.r.o., EORI CZ25003330,</t>
        </is>
      </c>
    </row>
    <row r="47">
      <c r="A47" s="15" t="inlineStr">
        <is>
          <t xml:space="preserve">   Y238, žádost APPL-CZ-2026-WTI716839226323 – pro tuto zásilku bez významu. Sdílený účet CBAM-CZ-2025-QGM67089385721: netýká se.</t>
        </is>
      </c>
    </row>
    <row r="48">
      <c r="A48" s="15" t="inlineStr">
        <is>
          <t>EUDR: 4412 je v příloze I nař. (EU) 2023/1115, použitelnost od 30.12.2026 → u tohoto proclení DDS nevyžadováno.</t>
        </is>
      </c>
    </row>
    <row r="49">
      <c r="A49" s="15" t="inlineStr">
        <is>
          <t>Melt and pour: neaplikuje se – zásilka neobsahuje železo ani ocel.</t>
        </is>
      </c>
    </row>
    <row r="50">
      <c r="A50" s="15" t="inlineStr"/>
    </row>
    <row r="51">
      <c r="A51" s="24">
        <f>== 6. PREFERENČNÍ PŮVOD A REX ===</f>
        <v/>
      </c>
    </row>
    <row r="52">
      <c r="A52" s="15" t="inlineStr">
        <is>
          <t>PREFERENČNÍ VĚTA: NENALEZENA v žádném dokladu. ČLR nemá s EU preferenční dohodu → kód preference 100, plné třetizemní clo.</t>
        </is>
      </c>
    </row>
    <row r="53">
      <c r="A53" s="15" t="inlineStr">
        <is>
          <t>REX ČÍSLO: NA FAKTUŘE NENÍ. Ani číslo celního povolení vývozce v dokladech není.</t>
        </is>
      </c>
    </row>
    <row r="54">
      <c r="A54" s="15" t="inlineStr"/>
    </row>
    <row r="55">
      <c r="A55" s="24">
        <f>== 7. DOKLADY ===</f>
        <v/>
      </c>
    </row>
    <row r="56">
      <c r="A56" s="15" t="inlineStr">
        <is>
          <t>✓ Faktura RH-26-048S, ✓ Packing/Weight List, ✓ Shipment Advice – vše 31.7.2026, vzájemně souhlasí.</t>
        </is>
      </c>
    </row>
    <row r="57">
      <c r="A57" s="15" t="inlineStr">
        <is>
          <t>⚠ B/L F202616848 jen kopie „NOT NEGOTIABLE“ – pro výdej originál nebo D/O.</t>
        </is>
      </c>
    </row>
    <row r="58">
      <c r="A58" s="15" t="inlineStr">
        <is>
          <t>⚠ COO (Singapur) jen DRAFT bez čísla, podpisu a razítka; příjemce chybně „AREA FOUR INDUSTRIES ESKO S.R.O.“.</t>
        </is>
      </c>
    </row>
    <row r="59">
      <c r="A59" s="15" t="inlineStr">
        <is>
          <t>⚠ FOB Qingdao → do celní hodnoty připočíst dopravu a pojištění do místa vstupu do EU (vyžádat přepravní fakturu).</t>
        </is>
      </c>
    </row>
    <row r="60">
      <c r="A60" s="15" t="inlineStr">
        <is>
          <t>Sleva: na faktuře žádná – proporcionální rozpad slevy se neuplatní.</t>
        </is>
      </c>
    </row>
    <row r="61">
      <c r="A61" s="15" t="inlineStr">
        <is>
          <t>Zařazení nebylo odvozováno postupem „CCT/VPV KN tariff rule“ – kódy dodal zákazník a potvrdila tarifní specialistka MW.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6"/>
  <sheetViews>
    <sheetView showGridLines="0" workbookViewId="0">
      <selection activeCell="A1" sqref="A1"/>
    </sheetView>
  </sheetViews>
  <sheetFormatPr baseColWidth="8" defaultRowHeight="15"/>
  <cols>
    <col width="145" customWidth="1" min="1" max="1"/>
  </cols>
  <sheetData>
    <row r="1">
      <c r="A1" s="28" t="inlineStr">
        <is>
          <t>HISTORIE (22.–25.9.2026): ověření návrhu 4412999090 – zamítnuto. Konečné zařazení viz list „HS Summary“.</t>
        </is>
      </c>
    </row>
    <row r="2">
      <c r="A2" s="15" t="inlineStr">
        <is>
          <t>OVĚŘENÍ NAVRŽENÉHO KÓDU 4412 99 90 90 — postup dle CCT/VPV KN tariff rule</t>
        </is>
      </c>
    </row>
    <row r="3">
      <c r="A3" s="15" t="inlineStr">
        <is>
          <t>Podnět: zákazník (Area Four Industries) dne 22.9.2026 sdělil, že kód 4412331082 je omyl a žádá proclení pod 4412999090</t>
        </is>
      </c>
    </row>
    <row r="4">
      <c r="A4" s="15" t="inlineStr">
        <is>
          <t>s odůvodněním, že „pod tímto číslem bylo vždycky cleno v minulosti“ a s odkazem na interní e-mail MW ze 17.12.2025.</t>
        </is>
      </c>
    </row>
    <row r="5">
      <c r="A5" s="15" t="inlineStr">
        <is>
          <t>Metodika: reference/Common_Customs_Tariff_EU_CZ.pptx, slide 18–19 (tři zbožíznalecké otázky + VPV KN 1–6).</t>
        </is>
      </c>
    </row>
    <row r="6">
      <c r="A6" s="15" t="inlineStr">
        <is>
          <t>POZN.: Nejde o odvození chybějícího kódu — kód byl dodán. Jde o ověření, zda navržený kód odpovídá zboží.</t>
        </is>
      </c>
    </row>
    <row r="7">
      <c r="A7" s="15" t="n"/>
    </row>
    <row r="8">
      <c r="A8" s="15" t="inlineStr">
        <is>
          <t>KROK 1 — TŘI ZBOŽÍZNALECKÉ OTÁZKY</t>
        </is>
      </c>
    </row>
    <row r="9">
      <c r="A9" s="15" t="inlineStr">
        <is>
          <t>CO TO JE? — Překližkové desky (plywood), formátované, povrchově upravené hnědým fenolickým filmem Dynea.</t>
        </is>
      </c>
    </row>
    <row r="10">
      <c r="A10" s="15" t="inlineStr">
        <is>
          <t xml:space="preserve">   Pět rozměrů, celková tloušťka desky 4 / 12 / 15 / 18 mm. Jedna strana hladký film, druhá protiskluzový rastr</t>
        </is>
      </c>
    </row>
    <row r="11">
      <c r="A11" s="15" t="inlineStr">
        <is>
          <t xml:space="preserve">   („honeycomb wire mesh“ = vzor filmu, NIKOLI voštinové jádro). U pol. 4 je jedna strana bez filmu.</t>
        </is>
      </c>
    </row>
    <row r="12">
      <c r="A12" s="15" t="inlineStr">
        <is>
          <t>Z ČEHO TO JE? — Dřevěné dýhové listy spojené lepidlem Dynea (fenolická pryskyřice). Lícová dýha borovice</t>
        </is>
      </c>
    </row>
    <row r="13">
      <c r="A13" s="15" t="inlineStr">
        <is>
          <t xml:space="preserve">   („PINE FACED“ = jehličnatá dřevina). Dřevina rubové dýhy a jádra není v dokladech uvedena — JEDINÝ CHYBĚJÍCÍ ÚDAJ.</t>
        </is>
      </c>
    </row>
    <row r="14">
      <c r="A14" s="15" t="inlineStr">
        <is>
          <t>K ČEMU SLOUŽÍ? — Konstrukční deska; u Area Four (pódiové a trusové systémy) typicky pódiové a bednicí desky.</t>
        </is>
      </c>
    </row>
    <row r="15">
      <c r="A15" s="15" t="n"/>
    </row>
    <row r="16">
      <c r="A16" s="15" t="inlineStr">
        <is>
          <t>KROK 2 — TŘÍDA, KAPITOLA, POZNÁMKY</t>
        </is>
      </c>
    </row>
    <row r="17">
      <c r="A17" s="15" t="inlineStr">
        <is>
          <t>Třída IX — Dřevo a dřevěné výrobky. Kapitola 44 — Dřevo a dřevěné výrobky; dřevěné uhlí.</t>
        </is>
      </c>
    </row>
    <row r="18">
      <c r="A18" s="15" t="inlineStr">
        <is>
          <t>Úvodní poznámky ke kap. 44 zboží nevylučují. Podle VPV 1 → číslo 4412 „Překližky, dýhované desky a podobné vrstvené dřevo“.</t>
        </is>
      </c>
    </row>
    <row r="19">
      <c r="A19" s="15" t="inlineStr">
        <is>
          <t>Číslo 4412 je pro obě porovnávané varianty společné — spor se rozhoduje až na úrovni položek (VPV 6).</t>
        </is>
      </c>
    </row>
    <row r="20">
      <c r="A20" s="15" t="n"/>
    </row>
    <row r="21">
      <c r="A21" s="15" t="inlineStr">
        <is>
          <t>KROK 3 — ROZHODUJÍCÍ DĚLENÍ UVNITŘ ČÍSLA 4412 (VPV 6)</t>
        </is>
      </c>
    </row>
    <row r="22">
      <c r="A22" s="15" t="inlineStr">
        <is>
          <t>Číslo 4412 se dělí nejprve takto:</t>
        </is>
      </c>
    </row>
    <row r="23">
      <c r="A23" s="15" t="inlineStr">
        <is>
          <t xml:space="preserve">   4412 10          — z bambusu</t>
        </is>
      </c>
    </row>
    <row r="24">
      <c r="A24" s="15" t="inlineStr">
        <is>
          <t xml:space="preserve">   ► „Ostatní překližky, sestávající pouze z dřevěných listů (jiných než bambusových),</t>
        </is>
      </c>
    </row>
    <row r="25">
      <c r="A25" s="15" t="inlineStr">
        <is>
          <t xml:space="preserve">      o tloušťce každé vrstvy NEPŘESAHUJÍCÍ 6 mm:“  → 4412 31 / 4412 33 / 4412 34 / 4412 39</t>
        </is>
      </c>
    </row>
    <row r="26">
      <c r="A26" s="15" t="inlineStr">
        <is>
          <t xml:space="preserve">   ► „Ostatní:“ → vrstvené dřevo, které do předchozí skupiny NEPATŘÍ:</t>
        </is>
      </c>
    </row>
    <row r="27">
      <c r="A27" s="15" t="inlineStr">
        <is>
          <t xml:space="preserve">      4412 41/42/49 — vrstvené dýhové dřevo (LVL)</t>
        </is>
      </c>
    </row>
    <row r="28">
      <c r="A28" s="15" t="inlineStr">
        <is>
          <t xml:space="preserve">      4412 51/52/59 — laťovky, spárovky (blockboard, laminboard, battenboard)</t>
        </is>
      </c>
    </row>
    <row r="29">
      <c r="A29" s="15" t="inlineStr">
        <is>
          <t xml:space="preserve">      4412 91/92/99 — ostatní   →   4412 99 = „Ostatní, s oběma vnějšími vrstvami z jehličnatého dřeva“</t>
        </is>
      </c>
    </row>
    <row r="30">
      <c r="A30" s="15" t="inlineStr">
        <is>
          <t xml:space="preserve">                                     →   4412 99 90 90 = „Ostatní“ (navržený kód)</t>
        </is>
      </c>
    </row>
    <row r="31">
      <c r="A31" s="15" t="n"/>
    </row>
    <row r="32">
      <c r="A32" s="15" t="inlineStr">
        <is>
          <t>JEDINÉ KRITÉRIUM, které tyto dvě větve odděluje, zní: sestává deska POUZE z dřevěných listů,</t>
        </is>
      </c>
    </row>
    <row r="33">
      <c r="A33" s="15" t="inlineStr">
        <is>
          <t>z nichž ŽÁDNÝ nepřesahuje 6 mm? ANO → 4412 3x. NE → 4412 4x/5x/9x.</t>
        </is>
      </c>
    </row>
    <row r="34">
      <c r="A34" s="15" t="inlineStr">
        <is>
          <t>Kritérium se NEtýká celkové tloušťky desky, nýbrž tloušťky JEDNOTLIVÉ VRSTVY.</t>
        </is>
      </c>
    </row>
    <row r="35">
      <c r="A35" s="15" t="n"/>
    </row>
    <row r="36">
      <c r="A36" s="15" t="inlineStr">
        <is>
          <t>KROK 4 — APLIKACE KRITÉRIA NA NAŠE ZBOŽÍ</t>
        </is>
      </c>
    </row>
    <row r="37">
      <c r="A37" s="15" t="inlineStr">
        <is>
          <t>a) Všechny doklady (faktura RH-26-048S, packing list, shipment advice, COO, B/L) popisují zboží shodně</t>
        </is>
      </c>
    </row>
    <row r="38">
      <c r="A38" s="15" t="inlineStr">
        <is>
          <t xml:space="preserve">   jako „PLYWOOD“ — tedy překližku z dýhových listů, nikoli laťovku, LVL ani desku s dřevotřískovým jádrem.</t>
        </is>
      </c>
    </row>
    <row r="39">
      <c r="A39" s="15" t="inlineStr">
        <is>
          <t>b) DŮKAZ, KTERÝ NELZE VYVRÁTIT: položka 3 je deska 4 × 993 × 1993 mm. Celková tloušťka desky jsou 4 mm.</t>
        </is>
      </c>
    </row>
    <row r="40">
      <c r="A40" s="15" t="inlineStr">
        <is>
          <t xml:space="preserve">   V desce silné 4 mm nemůže být vrstva přesahující 6 mm. U této položky je 4412 99 vyloučené absolutně.</t>
        </is>
      </c>
    </row>
    <row r="41">
      <c r="A41" s="15" t="inlineStr">
        <is>
          <t>c) Filmový povrch na zařazení nic nemění — povrchová úprava je v textu podpoložek výslovně připuštěna</t>
        </is>
      </c>
    </row>
    <row r="42">
      <c r="A42" s="15" t="inlineStr">
        <is>
          <t xml:space="preserve">   („whether or not coated or surface-covered“) a neruší podmínku „sestávající pouze z dřevěných listů“.</t>
        </is>
      </c>
    </row>
    <row r="43">
      <c r="A43" s="15" t="inlineStr">
        <is>
          <t>d) Sám výrobce uvádí na faktuře, B/L i certifikátu původu HS 441233 — tedy kód ze skupiny do 6 mm.</t>
        </is>
      </c>
    </row>
    <row r="44">
      <c r="A44" s="15" t="inlineStr">
        <is>
          <t xml:space="preserve">   Je to prohlášení výrobce o vlastním výrobku a svědčí proti zařazení do 4412 9x.</t>
        </is>
      </c>
    </row>
    <row r="45">
      <c r="A45" s="15" t="n"/>
    </row>
    <row r="46">
      <c r="A46" s="15" t="inlineStr">
        <is>
          <t>ZÁVĚR: KÓD 4412 99 90 90 NEODPOVÍDÁ POPISU ZBOŽÍ NA FAKTUŘE.</t>
        </is>
      </c>
    </row>
    <row r="47">
      <c r="A47" s="15" t="inlineStr">
        <is>
          <t>Popis zboží navržený kód nepodporuje — naopak ho aktivně vylučuje. Podle VPV 1 a VPV 6 patří zboží</t>
        </is>
      </c>
    </row>
    <row r="48">
      <c r="A48" s="15" t="inlineStr">
        <is>
          <t>do skupiny „pouze z dřevěných listů do 6 mm“, tedy do 4412 31 / 33 / 34 / 39.</t>
        </is>
      </c>
    </row>
    <row r="49">
      <c r="A49" s="15" t="n"/>
    </row>
    <row r="50">
      <c r="A50" s="15" t="inlineStr">
        <is>
          <t>Kód 4412 99 90 90 by byl správný POUZE tehdy, pokud by deska obsahovala vrstvu silnější než 6 mm nebo</t>
        </is>
      </c>
    </row>
    <row r="51">
      <c r="A51" s="15" t="inlineStr">
        <is>
          <t>nedřevěnou/nedýhovou vrstvu, a zároveň nešlo o LVL ani laťovku. Nic takového z dokladů neplyne</t>
        </is>
      </c>
    </row>
    <row r="52">
      <c r="A52" s="15" t="inlineStr">
        <is>
          <t>a u 4 mm desky je to fyzicky nemožné. Pokud takovou skladbu výrobce doloží, zařazení se přehodnotí.</t>
        </is>
      </c>
    </row>
    <row r="53">
      <c r="A53" s="15" t="n"/>
    </row>
    <row r="54">
      <c r="A54" s="15" t="inlineStr">
        <is>
          <t>KROK 5 — SPRÁVNÝ KÓD ZÁVISÍ NA DŘEVINĚ VNĚJŠÍCH DÝH</t>
        </is>
      </c>
    </row>
    <row r="55">
      <c r="A55" s="15" t="inlineStr">
        <is>
          <t>Uvnitř skupiny do 6 mm rozhoduje dřevina vnějších vrstev:</t>
        </is>
      </c>
    </row>
    <row r="56">
      <c r="A56" s="15" t="inlineStr">
        <is>
          <t xml:space="preserve">   4412 31        — alespoň jedna vnější vrstva z tropického dřeva ......................... nepřichází v úvahu</t>
        </is>
      </c>
    </row>
    <row r="57">
      <c r="A57" s="15" t="inlineStr">
        <is>
          <t xml:space="preserve">   4412 33 10     — alespoň jedna vnější vrstva BŘÍZA ......... clo 7 % + ANTIDUMPING 86,8 %</t>
        </is>
      </c>
    </row>
    <row r="58">
      <c r="A58" s="15" t="inlineStr">
        <is>
          <t xml:space="preserve">   4412 33 20     — alespoň jedna vnější vrstva TOPOL/OSIKA ... clo 7 % + ANTIDUMPING 86,8 %</t>
        </is>
      </c>
    </row>
    <row r="59">
      <c r="A59" s="15" t="inlineStr">
        <is>
          <t xml:space="preserve">   4412 33 30     — alespoň jedna vnější vrstva EUKALYPTUS .... clo 7 % + ANTIDUMPING 86,8 %</t>
        </is>
      </c>
    </row>
    <row r="60">
      <c r="A60" s="15" t="inlineStr">
        <is>
          <t xml:space="preserve">   4412 33 90     — jiná dřevina ze seznamu 4412 33 ........... clo 7 % + ANTIDUMPING 86,8 %</t>
        </is>
      </c>
    </row>
    <row r="61">
      <c r="A61" s="15" t="inlineStr">
        <is>
          <t xml:space="preserve">   4412 34        — jiné listnaté dřevo ....................... clo 7 % + ANTIDUMPING 86,8 %</t>
        </is>
      </c>
    </row>
    <row r="62">
      <c r="A62" s="15" t="inlineStr">
        <is>
          <t xml:space="preserve">   4412 39 00     — OBĚ vnější vrstvy JEHLIČNATÉ ............. clo 7 %, BEZ ANTIDUMPINGU</t>
        </is>
      </c>
    </row>
    <row r="63">
      <c r="A63" s="15" t="n"/>
    </row>
    <row r="64">
      <c r="A64" s="15" t="inlineStr">
        <is>
          <t>Doklady uvádějí „PINE FACED“, tedy borovicovou LÍCOVOU dýhu. Chybí údaj o RUBOVÉ dýze.</t>
        </is>
      </c>
    </row>
    <row r="65">
      <c r="A65" s="15" t="inlineStr">
        <is>
          <t>Jsou-li obě vnější dýhy jehličnaté → 4412 39 00 (TARIC 4412390020), clo 7 %, antidumping se neuplatní.</t>
        </is>
      </c>
    </row>
    <row r="66">
      <c r="A66" s="15" t="inlineStr">
        <is>
          <t>Pozor: nařízení (EU) 2025/2333 dává TARIC 4412390020 výslovně pod monitoring Komise jako možný obcházecí</t>
        </is>
      </c>
    </row>
    <row r="67">
      <c r="A67" s="15" t="inlineStr">
        <is>
          <t>scénář, takže toto zařazení musí být doloženo technickým listem výrobce, ne pouze tvrzením.</t>
        </is>
      </c>
    </row>
    <row r="68">
      <c r="A68" s="15" t="n"/>
    </row>
    <row r="69">
      <c r="A69" s="15" t="inlineStr">
        <is>
          <t>SROVNÁNÍ VARIANT (základ US $33 839,84 + dopravné do hranice EU)</t>
        </is>
      </c>
    </row>
    <row r="70">
      <c r="A70" s="15" t="inlineStr">
        <is>
          <t xml:space="preserve">   4412 39 00 00   clo 7 %,  bez AD ....................... cca US $2 369    ← pokud jsou obě dýhy borovicové</t>
        </is>
      </c>
    </row>
    <row r="71">
      <c r="A71" s="15" t="inlineStr">
        <is>
          <t xml:space="preserve">   4412 99 90 90   clo 10 %, bez AD ...................... cca US $3 384    ← navrhuje zákazník, popisu neodpovídá</t>
        </is>
      </c>
    </row>
    <row r="72">
      <c r="A72" s="15" t="inlineStr">
        <is>
          <t xml:space="preserve">   4412 33 10 82   clo 7 % + AD 86,8 % ................... cca US $31 742   ← původně zadaný kód</t>
        </is>
      </c>
    </row>
    <row r="73">
      <c r="A73" s="15" t="inlineStr">
        <is>
          <t>POZNÁMKA: zákazník si říká o variantu, která je i v případě její správnosti DRAŽŠÍ než legitimní 4412 39 00.</t>
        </is>
      </c>
    </row>
    <row r="74">
      <c r="A74" s="15" t="n"/>
    </row>
    <row r="75">
      <c r="A75" s="15" t="inlineStr">
        <is>
          <t>K ARGUMENTU „VŽDYCKY SE TAK CLILO“</t>
        </is>
      </c>
    </row>
    <row r="76">
      <c r="A76" s="15" t="inlineStr">
        <is>
          <t>Podle slide 19 referenčního decku a ustálené judikatury SDEU jsou rozhodujícím kritériem pro sazební zařazení</t>
        </is>
      </c>
    </row>
    <row r="77">
      <c r="A77" s="15" t="inlineStr">
        <is>
          <t>OBJEKTIVNÍ CHARAKTERISTIKY ZBOŽÍ — složení a zamýšlené použití — jak je vymezuje znění podpoložek KN</t>
        </is>
      </c>
    </row>
    <row r="78">
      <c r="A78" s="15" t="inlineStr">
        <is>
          <t>a poznámky ke třídě/kapitole. Dosavadní praxe ani dřívější celní prohlášení zařazení nezakládají.</t>
        </is>
      </c>
    </row>
    <row r="79">
      <c r="A79" s="15" t="inlineStr">
        <is>
          <t>Minulé zásilky mohly mít jinou skladbu desky, a pak byl kód správný. Pokud šlo o totéž zboží, jsou dotčené také —</t>
        </is>
      </c>
    </row>
    <row r="80">
      <c r="A80" s="15" t="inlineStr">
        <is>
          <t>doměření podle čl. 103 UCC běží tři roky zpětně.</t>
        </is>
      </c>
    </row>
    <row r="81">
      <c r="A81" s="15" t="n"/>
    </row>
    <row r="82">
      <c r="A82" s="15" t="inlineStr">
        <is>
          <t>CO JE TŘEBA DOLOŽIT PŘED PODÁNÍM JSD</t>
        </is>
      </c>
    </row>
    <row r="83">
      <c r="A83" s="15" t="inlineStr">
        <is>
          <t>Technický list výrobce (Xuzhou Lara) s údaji: dřevina lícové dýhy, dřevina rubové dýhy, dřevina jádra,</t>
        </is>
      </c>
    </row>
    <row r="84">
      <c r="A84" s="15" t="inlineStr">
        <is>
          <t>počet vrstev a tloušťka jednotlivých vrstev. Tento jediný dokument rozhodne mezi všemi třemi variantami výše.</t>
        </is>
      </c>
    </row>
    <row r="85">
      <c r="A85" s="15" t="inlineStr">
        <is>
          <t>Při přetrvávající pochybnosti eskalovat na tarifní tým: customs.tariff@mauriceward.com (slide 23).</t>
        </is>
      </c>
    </row>
    <row r="86">
      <c r="A86" s="15" t="inlineStr">
        <is>
          <t>Do budoucna doporučuji zákazníkovi požádat o ZIS (závaznou informaci o sazebním zařazení) — vyřízení cca 120 dní.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2026-10-11T10:09:19Z</dcterms:created>
  <dcterms:modified xsi:type="dcterms:W3CDTF">2026-10-11T13:12:27Z</dcterms:modified>
</cp:coreProperties>
</file>