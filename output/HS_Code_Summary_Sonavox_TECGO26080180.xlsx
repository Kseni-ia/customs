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0" fontId="1" fillId="0" borderId="2" pivotButton="0" quotePrefix="0" xfId="0"/>
    <xf numFmtId="0" fontId="0" fillId="0" borderId="2" pivotButton="0" quotePrefix="0" xfId="0"/>
    <xf numFmtId="3" fontId="1" fillId="0" borderId="2" pivotButton="0" quotePrefix="0" xfId="0"/>
    <xf numFmtId="4" fontId="1" fillId="0" borderId="2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5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20" customWidth="1" min="10" max="10"/>
    <col width="70" customWidth="1" min="11" max="11"/>
  </cols>
  <sheetData>
    <row r="1" ht="32" customHeight="1">
      <c r="A1" s="1" t="inlineStr">
        <is>
          <t>Odesílatel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Celní hodnota (EUR)</t>
        </is>
      </c>
      <c r="I1" s="1" t="inlineStr">
        <is>
          <t>Incoterm</t>
        </is>
      </c>
      <c r="J1" s="1" t="inlineStr">
        <is>
          <t>Příznak</t>
        </is>
      </c>
      <c r="K1" s="1" t="inlineStr">
        <is>
          <t>Poznámka (CBAM / antidumping / TARIC)</t>
        </is>
      </c>
    </row>
    <row r="2">
      <c r="A2" s="2" t="inlineStr">
        <is>
          <t>Suzhou Sonavox International Trading Co., Ltd (fa. CZ20260814)</t>
        </is>
      </c>
      <c r="B2" s="2" t="inlineStr">
        <is>
          <t>8504500000</t>
        </is>
      </c>
      <c r="C2" s="2" t="inlineStr">
        <is>
          <t>Kmitací cívka (voice coil) – měděný drát, jednoduché vinutí navinuté na papírovém válci (formeru); ZISZ 30-0292-2016</t>
        </is>
      </c>
      <c r="D2" s="2" t="inlineStr">
        <is>
          <t>CN</t>
        </is>
      </c>
      <c r="E2" s="3" t="n">
        <v>79500</v>
      </c>
      <c r="F2" s="4" t="n">
        <v>221.88</v>
      </c>
      <c r="G2" s="4" t="n">
        <v>394.29</v>
      </c>
      <c r="H2" s="4" t="n">
        <v>12732.18</v>
      </c>
      <c r="I2" s="2" t="inlineStr">
        <is>
          <t>FOB Zhengzhou (Henan), CN</t>
        </is>
      </c>
      <c r="J2" s="2" t="inlineStr"/>
      <c r="K2" s="2" t="inlineStr"/>
    </row>
    <row r="3">
      <c r="A3" s="2" t="inlineStr">
        <is>
          <t>Suzhou Sonavox International Trading Co., Ltd (fa. CZ20260814)</t>
        </is>
      </c>
      <c r="B3" s="2" t="inlineStr">
        <is>
          <t>8518900000</t>
        </is>
      </c>
      <c r="C3" s="2" t="inlineStr">
        <is>
          <t>Součásti autoreproduktorů – středicí membrána (naimpregnovaná textilie), membrána s vlnkou (kužel) a T-yoke</t>
        </is>
      </c>
      <c r="D3" s="2" t="inlineStr">
        <is>
          <t>CN</t>
        </is>
      </c>
      <c r="E3" s="3" t="n">
        <v>177190</v>
      </c>
      <c r="F3" s="4" t="n">
        <v>5088.4</v>
      </c>
      <c r="G3" s="4" t="n">
        <v>5584</v>
      </c>
      <c r="H3" s="4" t="n">
        <v>24974.42</v>
      </c>
      <c r="I3" s="2" t="inlineStr">
        <is>
          <t>FOB Zhengzhou (Henan), CN</t>
        </is>
      </c>
      <c r="J3" s="2" t="inlineStr"/>
      <c r="K3" s="2" t="inlineStr"/>
    </row>
    <row r="4">
      <c r="A4" s="2" t="inlineStr">
        <is>
          <t>Suzhou Sonavox International Trading Co., Ltd (fa. CZ20260814)</t>
        </is>
      </c>
      <c r="B4" s="2" t="inlineStr">
        <is>
          <t>39269097</t>
        </is>
      </c>
      <c r="C4" s="2" t="inlineStr">
        <is>
          <t>Plastové těsnění (gasket) – ostatní výrobky z plastů</t>
        </is>
      </c>
      <c r="D4" s="2" t="inlineStr">
        <is>
          <t>CN</t>
        </is>
      </c>
      <c r="E4" s="3" t="n">
        <v>31460</v>
      </c>
      <c r="F4" s="4" t="n">
        <v>235.95</v>
      </c>
      <c r="G4" s="4" t="n">
        <v>250</v>
      </c>
      <c r="H4" s="4" t="n">
        <v>1421.25</v>
      </c>
      <c r="I4" s="2" t="inlineStr">
        <is>
          <t>FOB Zhengzhou (Henan), CN</t>
        </is>
      </c>
      <c r="J4" s="2" t="inlineStr"/>
      <c r="K4" s="2" t="inlineStr">
        <is>
          <t>TARIC (10 míst) doplnit/ověřit – zdroj uvádí jen 8místný kód CN.</t>
        </is>
      </c>
    </row>
    <row r="5">
      <c r="A5" s="5" t="inlineStr">
        <is>
          <t>Suzhou Sonavox International Trading Co., Ltd (fa. CZ20260814)</t>
        </is>
      </c>
      <c r="B5" s="5" t="inlineStr">
        <is>
          <t>74093900</t>
        </is>
      </c>
      <c r="C5" s="5" t="inlineStr">
        <is>
          <t>Kontakt / vývod reproduktoru (terminal, pin/lug) – měděná slitina</t>
        </is>
      </c>
      <c r="D5" s="5" t="inlineStr">
        <is>
          <t>CN</t>
        </is>
      </c>
      <c r="E5" s="6" t="n">
        <v>200000</v>
      </c>
      <c r="F5" s="7" t="n">
        <v>100</v>
      </c>
      <c r="G5" s="7" t="n">
        <v>120</v>
      </c>
      <c r="H5" s="7" t="n">
        <v>2540</v>
      </c>
      <c r="I5" s="5" t="inlineStr">
        <is>
          <t>FOB Zhengzhou (Henan), CN</t>
        </is>
      </c>
      <c r="J5" s="5" t="inlineStr">
        <is>
          <t>OVĚŘIT</t>
        </is>
      </c>
      <c r="K5" s="5" t="inlineStr">
        <is>
          <t>V sazebníku SONAVOX není položka 'Terminal' uvedena samostatně – zařazeno podle položky 'Pin, lug / kontakt' (7409 3900). TARIC doplnit/ověřit.</t>
        </is>
      </c>
    </row>
    <row r="6">
      <c r="A6" s="8" t="inlineStr">
        <is>
          <t>Suzhou Sonavox International Trading Co., Ltd (fa. CZ20260814)</t>
        </is>
      </c>
      <c r="B6" s="8" t="inlineStr">
        <is>
          <t>7318159519</t>
        </is>
      </c>
      <c r="C6" s="8" t="inlineStr">
        <is>
          <t>Matice a pružná matice (nut, spring nut) – spojovací materiál ze železa nebo oceli</t>
        </is>
      </c>
      <c r="D6" s="8" t="inlineStr">
        <is>
          <t>CN</t>
        </is>
      </c>
      <c r="E6" s="9" t="n">
        <v>581000</v>
      </c>
      <c r="F6" s="10" t="n">
        <v>961.14</v>
      </c>
      <c r="G6" s="10" t="n">
        <v>996.6</v>
      </c>
      <c r="H6" s="10" t="n">
        <v>40410</v>
      </c>
      <c r="I6" s="8" t="inlineStr">
        <is>
          <t>FOB Zhengzhou (Henan), CN</t>
        </is>
      </c>
      <c r="J6" s="8" t="inlineStr">
        <is>
          <t>CBAM + ANTIDUMPING</t>
        </is>
      </c>
      <c r="K6" s="8" t="inlineStr">
        <is>
          <t>CBAM zboží (železo/ocel), 961,14 kg NW – příjemce Sonavox Technology CZ s.r.o. má v registru kód Y137 (de minimis, do 50 t/rok). ANTIDUMPING: spojovací materiál ze železa/oceli z ČLR – nař. (EU) 2022/191, zbytková sazba 86,5 % + clo 3,7 %. POZOR: díl 029-2513-AL-CZ má v označení 'AL' (hliník) – pokud jde o hliník, zařazení 7318 (ocel) neplatí. Ověřit materiál u odesílatele.</t>
        </is>
      </c>
    </row>
    <row r="7">
      <c r="A7" s="2" t="inlineStr">
        <is>
          <t>Suzhou Sonavox Electronics Co., Ltd (fa. CZ20260814-1)</t>
        </is>
      </c>
      <c r="B7" s="2" t="inlineStr">
        <is>
          <t>8518900000</t>
        </is>
      </c>
      <c r="C7" s="2" t="inlineStr">
        <is>
          <t>Keramický kroužek (ceramics circle) – magnetický obvod, součást autoreproduktoru</t>
        </is>
      </c>
      <c r="D7" s="2" t="inlineStr">
        <is>
          <t>CN</t>
        </is>
      </c>
      <c r="E7" s="3" t="n">
        <v>46080</v>
      </c>
      <c r="F7" s="4" t="n">
        <v>16358.4</v>
      </c>
      <c r="G7" s="4" t="n">
        <v>16952.8</v>
      </c>
      <c r="H7" s="4" t="n">
        <v>21346.56</v>
      </c>
      <c r="I7" s="2" t="inlineStr">
        <is>
          <t>FOB Zhengzhou (Henan), CN</t>
        </is>
      </c>
      <c r="J7" s="2" t="inlineStr"/>
      <c r="K7" s="2" t="inlineStr"/>
    </row>
    <row r="8">
      <c r="A8" s="11" t="inlineStr">
        <is>
          <t>CELKEM</t>
        </is>
      </c>
      <c r="B8" s="12" t="n"/>
      <c r="C8" s="12" t="n"/>
      <c r="D8" s="12" t="n"/>
      <c r="E8" s="13">
        <f>SUM(E2:E7)</f>
        <v/>
      </c>
      <c r="F8" s="14">
        <f>SUM(F2:F7)</f>
        <v/>
      </c>
      <c r="G8" s="14">
        <f>SUM(G2:G7)</f>
        <v/>
      </c>
      <c r="H8" s="14">
        <f>SUM(H2:H7)</f>
        <v/>
      </c>
      <c r="I8" s="12" t="n"/>
      <c r="J8" s="12" t="n"/>
      <c r="K8" s="12" t="n"/>
    </row>
    <row r="10">
      <c r="A10" s="15" t="inlineStr">
        <is>
          <t>Legenda</t>
        </is>
      </c>
      <c r="C10" s="16" t="inlineStr"/>
    </row>
    <row r="11">
      <c r="A11" s="17" t="inlineStr">
        <is>
          <t>🔴 ČERVENÁ</t>
        </is>
      </c>
      <c r="C11" s="16" t="inlineStr">
        <is>
          <t>Antidumpingové clo – nutno zkontrolovat a uvést v JSD (zde současně i CBAM).</t>
        </is>
      </c>
    </row>
    <row r="12">
      <c r="A12" s="17" t="inlineStr">
        <is>
          <t>🟡 ORANŽOVÁ</t>
        </is>
      </c>
      <c r="C12" s="16" t="inlineStr">
        <is>
          <t>CBAM zboží – uvést kód Y137 (de minimis, do 50 t/rok) v JSD.</t>
        </is>
      </c>
    </row>
    <row r="13">
      <c r="A13" s="17" t="inlineStr">
        <is>
          <t>🟨 ŽLUTÁ</t>
        </is>
      </c>
      <c r="C13" s="16" t="inlineStr">
        <is>
          <t>Zařazení k ověření – HS kód odvozen, není v sazebníku SONAVOX doslovně uveden.</t>
        </is>
      </c>
    </row>
    <row r="14">
      <c r="A14" s="17" t="inlineStr">
        <is>
          <t>Incoterm</t>
        </is>
      </c>
      <c r="C14" s="16" t="inlineStr">
        <is>
          <t>FOB Zhengzhou (Henan), CN – FOB dle obou faktur (Terms of Payment), místo dle FCR (place of receipt / port of loading Zhengzhou, Henan). Přeprava po železnici, freight collect.</t>
        </is>
      </c>
    </row>
    <row r="15">
      <c r="A15" s="17" t="inlineStr">
        <is>
          <t>Sleva</t>
        </is>
      </c>
      <c r="C15" s="16" t="inlineStr">
        <is>
          <t>Žádná obchodní sleva – fakturovaná částka = subtotal (82 077,85 + 21 346,56 EUR).</t>
        </is>
      </c>
    </row>
    <row r="16">
      <c r="A16" s="17" t="inlineStr">
        <is>
          <t>Kontrola vah</t>
        </is>
      </c>
      <c r="C16" s="16" t="inlineStr">
        <is>
          <t>NW 6 607,37 + 16 358,40 = 22 965,77 kg; GW 7 344,89 + 16 952,80 = 24 297,69 kg = souhlasí s FCR TECGO26080180 (24 297,69 KGS / 50 PLTS / 46,7 CBM).</t>
        </is>
      </c>
    </row>
    <row r="17">
      <c r="A17" s="17" t="inlineStr">
        <is>
          <t>Zdroj HS kódů</t>
        </is>
      </c>
      <c r="C17" s="16" t="inlineStr">
        <is>
          <t>E-mail 'Re: SONAVOX HS KODY' (Ing. Michaela Ryan, Sonavox Technology CZ s.r.o.) – sazebník komponent s českým popisem.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8">
        <f>== ZÁSILKA ===</f>
        <v/>
      </c>
    </row>
    <row r="2">
      <c r="A2" s="16" t="inlineStr">
        <is>
          <t>Klient / příjemce (CZ): Sonavox Technology CZ s.r.o., Lhotka nad Bečvou 93, 756 41 Lešná, Czech Republic</t>
        </is>
      </c>
    </row>
    <row r="3">
      <c r="A3" s="16" t="inlineStr">
        <is>
          <t>Číslo zásilky: TECGO26080180 (FCR, T.H.I. GROUP LTD.), export ref. ZIHWB260819FH022-0821P1-M</t>
        </is>
      </c>
    </row>
    <row r="4">
      <c r="A4" s="16" t="inlineStr">
        <is>
          <t>Kontejner CICU1037696 / 40HQ / plomba ZH177852 / 50 PLTS / 24 297,69 kg GW / 46,7 CBM / CY-CY</t>
        </is>
      </c>
    </row>
    <row r="5">
      <c r="A5" s="16" t="inlineStr">
        <is>
          <t>Trasa: Zhengzhou, Henan (železnice, vlak V.WB2026/08/21) → Malaszewicze (place of delivery); vydáno 22.8.2026, FREIGHT COLLECT</t>
        </is>
      </c>
    </row>
    <row r="6">
      <c r="A6" s="16" t="inlineStr">
        <is>
          <t>Odesílatel na FCR: SUZHOU SONAVOX ELECTRONICS CO., LTD</t>
        </is>
      </c>
    </row>
    <row r="7">
      <c r="A7" s="16" t="inlineStr"/>
    </row>
    <row r="8">
      <c r="A8" s="18">
        <f>== DVA ODESÍLATELÉ – ZÁSILKA JE ČLENĚNA PODLE ODESÍLATELE ===</f>
        <v/>
      </c>
    </row>
    <row r="9">
      <c r="A9" s="16" t="inlineStr">
        <is>
          <t>A) Suzhou Sonavox International Trading Co., Ltd – faktura CZ20260814 ze 14.8.2026, 15 položek, 1 069 150 ks, NW 6 607,37 kg, GW 7 344,89 kg, 82 077,85 EUR, 21 PACKS, 31,36 CBM</t>
        </is>
      </c>
    </row>
    <row r="10">
      <c r="A10" s="16" t="inlineStr">
        <is>
          <t>B) Suzhou Sonavox Electronics Co., Ltd – faktura CZ20260814-1 ze 14.8.2026, 2 položky, 46 080 ks, NW 16 358,40 kg, GW 16 952,80 kg, 21 346,56 EUR, 29 PACKS, 15,34 CBM</t>
        </is>
      </c>
    </row>
    <row r="11">
      <c r="A11" s="16" t="inlineStr">
        <is>
          <t>HS kód 8518 9000 00 se vyskytuje u obou odesílatelů – ponechán na dvou samostatných řádcích (nesloučeno).</t>
        </is>
      </c>
    </row>
    <row r="12">
      <c r="A12" s="16" t="inlineStr"/>
    </row>
    <row r="13">
      <c r="A13" s="18">
        <f>== CBAM – PŘÍJEMCE NALEZEN V REGISTRU ===</f>
        <v/>
      </c>
    </row>
    <row r="14">
      <c r="A14" s="16" t="inlineStr">
        <is>
          <t>Registr: reference/CBAM_receivers_CZ.xlsx, list List1.</t>
        </is>
      </c>
    </row>
    <row r="15">
      <c r="A15" s="16" t="inlineStr">
        <is>
          <t>Firma: Sonavox Technology CZ s.r.o.  |  EORI v registru: CZ62908227  |  Y KÓD: Y137</t>
        </is>
      </c>
    </row>
    <row r="16">
      <c r="A16" s="16" t="inlineStr">
        <is>
          <t>podaná žádost (Y238): -   |   povolení (Y128): -   |   Y137: 'do 50t ročne'   |   datum vydání: neuvedeno</t>
        </is>
      </c>
    </row>
    <row r="17">
      <c r="A17" s="16" t="inlineStr">
        <is>
          <t>→ Do JSD uvést kód Y137 (výjimka de minimis, dovoz do 50 t/rok) u položky 7318 1595 19.</t>
        </is>
      </c>
    </row>
    <row r="18">
      <c r="A18" s="16" t="inlineStr">
        <is>
          <t>Dotčené CBAM zboží v zásilce: 7318 1595 19 (matice, železo/ocel) – 961,14 kg NW. Ostatní položky (8518, 8504, 3926, 7409) pod CBAM nespadají.</t>
        </is>
      </c>
    </row>
    <row r="19">
      <c r="A19" s="16" t="inlineStr">
        <is>
          <t>POZNÁMKA K OVĚŘENÍ: EORI uvedené v registru u Sonavox Technology CZ s.r.o. (CZ62908227) je shodné s VAT číslem Maurice Ward &amp; Co. s.r.o. uvedeným na FCR i v e-mailové signatuře. Doporučuji ověřit a případně v registru opravit – shoda byla provedena podle názvu firmy (sloupec Firma), ne podle EORI.</t>
        </is>
      </c>
    </row>
    <row r="20">
      <c r="A20" s="16" t="inlineStr">
        <is>
          <t>Sonavox není mezi společnostmi mimo EU využívajícími náš sdílený účet CBAM-CZ-2025-QGM67089385721.</t>
        </is>
      </c>
    </row>
    <row r="21">
      <c r="A21" s="16" t="inlineStr"/>
    </row>
    <row r="22">
      <c r="A22" s="18">
        <f>== ANTIDUMPING – 7318 1595 19 (matice, ČLR) ===</f>
        <v/>
      </c>
    </row>
    <row r="23">
      <c r="A23" s="16" t="inlineStr">
        <is>
          <t>Spojovací materiál ze železa nebo oceli původem z ČLR podléhá antidumpingovému clu – prováděcí nařízení (EU) 2022/191.</t>
        </is>
      </c>
    </row>
    <row r="24">
      <c r="A24" s="16" t="inlineStr">
        <is>
          <t>Zbytková sazba 86,5 % (sazebník SONAVOX u položky SCREW výslovně uvádí '3,7 + 86,5 %'), vedle smluvního cla 3,7 %.</t>
        </is>
      </c>
    </row>
    <row r="25">
      <c r="A25" s="16" t="inlineStr">
        <is>
          <t>Hodnota dotčeného zboží: 40 410,00 EUR (029-2513-AL-CZ 40 320,00 EUR + 029A-000004-CZ 90,00 EUR) → dopad je významný, ověřit sazbu a případný individuální kód doplňkového cla (TARIC) u výrobce před podáním JSD.</t>
        </is>
      </c>
    </row>
    <row r="26">
      <c r="A26" s="16" t="inlineStr">
        <is>
          <t>UPOZORNĚNÍ NA MATERIÁL: číslo dílu 029-2513-AL-CZ obsahuje 'AL'. Je-li matice hliníková, nepatří do 7318 (ocel) – pak neplatí antidumping, ale zboží zůstává CBAM (hliník je rovněž v příloze I CBAM). Nutné potvrzení materiálu od odesílatele.</t>
        </is>
      </c>
    </row>
    <row r="27">
      <c r="A27" s="16" t="inlineStr"/>
    </row>
    <row r="28">
      <c r="A28" s="18">
        <f>== COO / PREFERENČNÍ VĚTA – NENALEZENA ===</f>
        <v/>
      </c>
    </row>
    <row r="29">
      <c r="A29" s="16" t="inlineStr">
        <is>
          <t>V žádném z dokladů (faktury CZ20260814 a CZ20260814-1, packing listy, FCR TECGO26080180) NENÍ uvedena preferenční věta o původu.</t>
        </is>
      </c>
    </row>
    <row r="30">
      <c r="A30" s="16" t="inlineStr">
        <is>
          <t>Uvedený původ zboží: Čína (Origin of Goods: China; u faktury CZ20260814-1 navíc 'Origin of Goods: Suzhou (35029)').</t>
        </is>
      </c>
    </row>
    <row r="31">
      <c r="A31" s="16" t="inlineStr">
        <is>
          <t>Jediné prohlášení na fakturách je vývozní doložka ('THESE COMMODITIES ... EXPORTED FROM CHINA ...') – to není preferenční věta.</t>
        </is>
      </c>
    </row>
    <row r="32">
      <c r="A32" s="16" t="inlineStr">
        <is>
          <t>→ ČLR nemá s EU preferenční dohodu, uplatní se plné smluvní clo třetí země. Preferenční sazbu nelze nárokovat.</t>
        </is>
      </c>
    </row>
    <row r="33">
      <c r="A33" s="16" t="inlineStr"/>
    </row>
    <row r="34">
      <c r="A34" s="18">
        <f>== ZAŘAZENÍ – ZDROJ A ODVOZENÍ ===</f>
        <v/>
      </c>
    </row>
    <row r="35">
      <c r="A35" s="16" t="inlineStr">
        <is>
          <t>HS kódy vycházejí ze sazebníku komponent SONAVOX (e-mail 'Re: SONAVOX HS KODY', Ing. Michaela Ryan).</t>
        </is>
      </c>
    </row>
    <row r="36">
      <c r="A36" s="16" t="inlineStr">
        <is>
          <t>Přímo ze sazebníku: Voice coil → 8504 5000 00; Spider / Cone / T-yoke / Ceramics circle → 8518 9000 00; Gasket (plastové těsnění) → 3926 9097.</t>
        </is>
      </c>
    </row>
    <row r="37">
      <c r="A37" s="16" t="inlineStr">
        <is>
          <t>Odvozeno (v sazebníku není doslovně): Terminal → 7409 3900 ('Pin, lug / kontakt'); Nut a Spring nut → 7318 1595 19 ('Insert (nut)'). Obojí potvrdit.</t>
        </is>
      </c>
    </row>
    <row r="38">
      <c r="A38" s="16" t="inlineStr">
        <is>
          <t>U kódů 3926 9097 a 7409 3900 sazebník uvádí jen 8místný kód CN – doplnit TARIC (10 míst) při podání.</t>
        </is>
      </c>
    </row>
    <row r="39">
      <c r="A39" s="16" t="inlineStr"/>
    </row>
    <row r="40">
      <c r="A40" s="18">
        <f>== INCOTERM ===</f>
        <v/>
      </c>
    </row>
    <row r="41">
      <c r="A41" s="16" t="inlineStr">
        <is>
          <t>FOB Zhengzhou (Henan), CN.</t>
        </is>
      </c>
    </row>
    <row r="42">
      <c r="A42" s="16" t="inlineStr">
        <is>
          <t>Termín FOB je převzat z obou faktur (Terms of Payment: FOB); místo doplněno z FCR (place of receipt / port of loading: ZHENGZHOU, HENAN). Přeprava je železniční (freight collect), FOB je původem námořní doložka – doporučuji potvrdit znění s odesílatelem.</t>
        </is>
      </c>
    </row>
    <row r="43">
      <c r="A43" s="16" t="inlineStr"/>
    </row>
    <row r="44">
      <c r="A44" s="18">
        <f>== SLEVA ===</f>
        <v/>
      </c>
    </row>
    <row r="45">
      <c r="A45" s="16" t="inlineStr">
        <is>
          <t>Na fakturách není uvedena žádná obchodní sleva (Sub Total = Total Amount), proporcionální rozpočet slevy se neuplatňuje.</t>
        </is>
      </c>
    </row>
    <row r="46">
      <c r="A46" s="16" t="inlineStr"/>
    </row>
    <row r="47">
      <c r="A47" s="18">
        <f>== PODKLADY ===</f>
        <v/>
      </c>
    </row>
    <row r="48">
      <c r="A48" s="16" t="inlineStr">
        <is>
          <t>HBL_TECGO26080180.pdf (FCR) · TRCZ20260814.xlsx (INV + PL, odesílatel A) · CIC001E260814002___GCS.xlsx (INV, odesílatel B) · PLC001E260814002___GCS.xlsx (PL, odesílatel B) · Re_SONAVOX_HS_KODY.eml (sazebník HS kódů)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2026-08-27T09:48:18Z</dcterms:created>
  <dcterms:modified xsi:type="dcterms:W3CDTF">2026-08-27T09:48:18Z</dcterms:modified>
</cp:coreProperties>
</file>