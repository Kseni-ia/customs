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  <col width="14" customWidth="1" min="4" max="4"/>
    <col width="12" customWidth="1" min="5" max="5"/>
    <col width="10" customWidth="1" min="6" max="6"/>
    <col width="14" customWidth="1" min="7" max="7"/>
    <col width="14" customWidth="1" min="8" max="8"/>
    <col width="16" customWidth="1" min="9" max="9"/>
    <col width="14" customWidth="1" min="10" max="10"/>
    <col width="10" customWidth="1" min="11" max="11"/>
    <col width="60" customWidth="1" min="12" max="12"/>
  </cols>
  <sheetData>
    <row r="1">
      <c r="A1" s="1" t="inlineStr">
        <is>
          <t>Odesílatel</t>
        </is>
      </c>
      <c r="B1" s="1" t="inlineStr">
        <is>
          <t>HS kód</t>
        </is>
      </c>
      <c r="C1" s="1" t="inlineStr">
        <is>
          <t>Popis zboží (CZ)</t>
        </is>
      </c>
      <c r="D1" s="1" t="inlineStr">
        <is>
          <t>Země původu (COO)</t>
        </is>
      </c>
      <c r="E1" s="1" t="inlineStr">
        <is>
          <t>Celkové množství (ks)</t>
        </is>
      </c>
      <c r="F1" s="1" t="inlineStr">
        <is>
          <t>Počet balení</t>
        </is>
      </c>
      <c r="G1" s="1" t="inlineStr">
        <is>
          <t>Čistá hmotnost (kg)</t>
        </is>
      </c>
      <c r="H1" s="1" t="inlineStr">
        <is>
          <t>Hrubá hmotnost (kg)</t>
        </is>
      </c>
      <c r="I1" s="1" t="inlineStr">
        <is>
          <t>Hodnota USD – Total (faktura)</t>
        </is>
      </c>
      <c r="J1" s="1" t="inlineStr">
        <is>
          <t>Incoterm</t>
        </is>
      </c>
      <c r="K1" s="1" t="inlineStr">
        <is>
          <t>Příznak</t>
        </is>
      </c>
      <c r="L1" s="1" t="inlineStr">
        <is>
          <t>TARIC / poznámka / CBAM / Antidumping</t>
        </is>
      </c>
    </row>
    <row r="2">
      <c r="A2" s="2" t="inlineStr">
        <is>
          <t>MEDOO INTERNATIONAL (WUXI) CO., LTD., Yixing, CN</t>
        </is>
      </c>
      <c r="B2" s="2" t="inlineStr">
        <is>
          <t>4418990000</t>
        </is>
      </c>
      <c r="C2" s="2" t="inlineStr">
        <is>
          <t>Akustické panely</t>
        </is>
      </c>
      <c r="D2" s="2" t="inlineStr">
        <is>
          <t>CN (nepotvrzeno)</t>
        </is>
      </c>
      <c r="E2" s="2" t="n">
        <v>2400</v>
      </c>
      <c r="F2" s="2" t="n">
        <v>1008</v>
      </c>
      <c r="G2" s="3" t="n">
        <v>21068.5</v>
      </c>
      <c r="H2" s="3" t="n">
        <v>21589</v>
      </c>
      <c r="I2" s="4" t="n">
        <v>32600</v>
      </c>
      <c r="J2" s="2" t="inlineStr">
        <is>
          <t>FOB Shanghai</t>
        </is>
      </c>
      <c r="K2" s="2" t="n"/>
      <c r="L2" s="2" t="inlineStr">
        <is>
          <t>Clo 0 % (TARIC 26.10.2026, erga omnes). Bez antidumpingu, bez CBAM, bez dovozních opatření s podmínkami → žádný povinný Y-kód. Vč. vzorků AK002/AK004 (400 ks, 56 kg NW, 32 USD).</t>
        </is>
      </c>
    </row>
    <row r="3">
      <c r="A3" s="5" t="inlineStr">
        <is>
          <t>CELKEM</t>
        </is>
      </c>
      <c r="B3" s="5" t="n"/>
      <c r="C3" s="5" t="n"/>
      <c r="D3" s="5" t="n"/>
      <c r="E3" s="5">
        <f>SUM(E2:E2)</f>
        <v/>
      </c>
      <c r="F3" s="5">
        <f>SUM(F2:F2)</f>
        <v/>
      </c>
      <c r="G3" s="6">
        <f>SUM(G2:G2)</f>
        <v/>
      </c>
      <c r="H3" s="6">
        <f>SUM(H2:H2)</f>
        <v/>
      </c>
      <c r="I3" s="7">
        <f>SUM(I2:I2)</f>
        <v/>
      </c>
      <c r="J3" s="5" t="n"/>
      <c r="K3" s="5" t="n"/>
      <c r="L3" s="5" t="n"/>
    </row>
    <row r="5">
      <c r="A5" s="8" t="inlineStr">
        <is>
          <t>Zásilka</t>
        </is>
      </c>
      <c r="B5" t="inlineStr">
        <is>
          <t>ALFI Corp., s.r.o. (CZ26014708) – ref. JBA20260911009 – faktura MD260731B z 11.9.2026</t>
        </is>
      </c>
    </row>
    <row r="6">
      <c r="A6" s="8" t="inlineStr">
        <is>
          <t>Hodnota</t>
        </is>
      </c>
      <c r="B6" t="inlineStr">
        <is>
          <t>Částka u 'TOTAL' na faktuře: US$32,600.00 (bez slev)</t>
        </is>
      </c>
    </row>
    <row r="7">
      <c r="A7" s="8" t="inlineStr">
        <is>
          <t>Incoterm</t>
        </is>
      </c>
      <c r="B7" t="inlineStr">
        <is>
          <t>FOB Shanghai – k celní hodnotě přičíst dopravné + pojištění do Gdaňsku (freight collect)</t>
        </is>
      </c>
    </row>
    <row r="8">
      <c r="A8" s="8" t="inlineStr">
        <is>
          <t>Popis</t>
        </is>
      </c>
      <c r="B8" t="inlineStr">
        <is>
          <t>'Akustické panely' – popis od klienta (e-mail D. Procházka), převzato doslovně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8">
        <f>== ZÁSILKA ===</f>
        <v/>
      </c>
    </row>
    <row r="2">
      <c r="A2" t="inlineStr">
        <is>
          <t>Klient / příjemce: ALFI Corp., s.r.o., Provozní 5492/3, 722 00 Ostrava-Třebovice, CZ26014708 (kontakt Rene Bukovský)</t>
        </is>
      </c>
    </row>
    <row r="3">
      <c r="A3" t="inlineStr">
        <is>
          <t>Odesílatel: MEDOO INTERNATIONAL (WUXI) CO., LTD., No. 48 Jiubin road, Yixing city, Jiangsu, China</t>
        </is>
      </c>
    </row>
    <row r="4">
      <c r="A4" t="inlineStr">
        <is>
          <t>Pokyn klienta (D. Procházka, 'OR / ALFI Corp., s.r.o. / CZ26014708 / JBA20260911009'): vyclení do volného oběhu + doplnění Y-kódů; ETA Gdaňsk 14/11; JSD přes Mělník (Maersk); dopravné pošle s MRN.</t>
        </is>
      </c>
    </row>
    <row r="5">
      <c r="A5" t="inlineStr">
        <is>
          <t>Faktura MD260731B z 11.9.2026; packing list MD260731B; B/L DK26091378CNSHAPLGDNFD (DK Sailing China), MANILA MAERSK/638W, Shanghai → Gdaňsk, naloženo 2.10.2026</t>
        </is>
      </c>
    </row>
    <row r="6">
      <c r="A6" t="inlineStr">
        <is>
          <t>Kontejner MRKU4224086 / plomba CN0164361 / 1×40HQ / 1008 balení / 21 589 kg / 66,05 CBM</t>
        </is>
      </c>
    </row>
    <row r="7">
      <c r="A7" s="8">
        <f>== HS KÓD ===</f>
        <v/>
      </c>
    </row>
    <row r="8">
      <c r="A8" t="inlineStr">
        <is>
          <t>4418 99 00 00 – převzato ze zdroje (e-mail klienta i B/L uvádí HS 44189900 00). Nebylo třeba odvozovat pravidlem CCT/VPV KN.</t>
        </is>
      </c>
    </row>
    <row r="9">
      <c r="A9" t="inlineStr">
        <is>
          <t>TARIC k 26.10.2026, původ CN: clo třetích zemí 0 % (erga omnes). Antidumping ani jiná dovozní opatření s podmínkami nejsou.</t>
        </is>
      </c>
    </row>
    <row r="10">
      <c r="A10" s="8">
        <f>== Y-KÓDY ===</f>
        <v/>
      </c>
    </row>
    <row r="11">
      <c r="A11" t="inlineStr">
        <is>
          <t>TARIC u 4418990000 z CN nevyžaduje žádný Y-kód (žádné dovozní opatření s podmínkami).</t>
        </is>
      </c>
    </row>
    <row r="12">
      <c r="A12" t="inlineStr">
        <is>
          <t>CBAM: NEPLATÍ (kap. 44 není CBAM zboží) → kódy Y128/Y238/Y137 se neuvádějí. Pro informaci: ALFI Corp. NENÍ v registru CBAM_receivers_CZ.xlsx.</t>
        </is>
      </c>
    </row>
    <row r="13">
      <c r="A13" t="inlineStr">
        <is>
          <t>EUDR (nařízení o odlesňování, kód 4418 je v příloze I): k 26.10.2026 se ještě neuplatňuje – ověřit u budoucích zásilek po spuštění.</t>
        </is>
      </c>
    </row>
    <row r="14">
      <c r="A14" s="8">
        <f>== POŮVOD / PREFERENCE ===</f>
        <v/>
      </c>
    </row>
    <row r="15">
      <c r="A15" t="inlineStr">
        <is>
          <t>Preferenční věta: NENÍ (EU nemá s Čínou preferenční dohodu) → standardní clo třetích zemí (0 %).</t>
        </is>
      </c>
    </row>
    <row r="16">
      <c r="A16" t="inlineStr">
        <is>
          <t>REX číslo: NENÍ na faktuře ani v ostatních dokladech.</t>
        </is>
      </c>
    </row>
    <row r="17">
      <c r="A17" t="inlineStr">
        <is>
          <t>Země původu: na faktuře výslovně neuvedena – odesílatel i přístav nakládky v CN, předpoklad CN. Ověřit s klientem.</t>
        </is>
      </c>
    </row>
    <row r="18">
      <c r="A18" s="8">
        <f>== MELT AND POUR ===</f>
        <v/>
      </c>
    </row>
    <row r="19">
      <c r="A19" t="inlineStr">
        <is>
          <t>Netýká se – zásilka neobsahuje ocel ani železo.</t>
        </is>
      </c>
    </row>
    <row r="20">
      <c r="A20" s="8">
        <f>== CELNÍ HODNOTA ===</f>
        <v/>
      </c>
    </row>
    <row r="21">
      <c r="A21" t="inlineStr">
        <is>
          <t>Faktura TOTAL: US$32,600.00 (5 řádků panelů 2 200 ks à $16.284 + 400 ks vzorků à $0.08). Sleva na faktuře není.</t>
        </is>
      </c>
    </row>
    <row r="22">
      <c r="A22" t="inlineStr">
        <is>
          <t>Incoterm FOB Shanghai + FREIGHT COLLECT → k celní hodnotě přičíst dopravné (a pojištění) do Gdaňsku. Klient pošle fakturu za dopravné spolu s MRN.</t>
        </is>
      </c>
    </row>
    <row r="23">
      <c r="A23" t="inlineStr">
        <is>
          <t>Vzorky AK002/AK004 (400 ks, 56 kg) fakturovány za $0.08/ks – výrazně pod cenou panelů. Celní úřad se může zeptat na hodnotu.</t>
        </is>
      </c>
    </row>
    <row r="24">
      <c r="A24" s="8">
        <f>== HMOTNOSTI ===</f>
        <v/>
      </c>
    </row>
    <row r="25">
      <c r="A25" t="inlineStr">
        <is>
          <t>Čistá 21 068,5 kg / hrubá 21 589 kg – součty z packing listu, hrubá souhlasí s B/L.</t>
        </is>
      </c>
    </row>
    <row r="26">
      <c r="A26" t="inlineStr">
        <is>
          <t>Množství: 2 400 ks (2 200 ks panelů 605×18×2600 mm + 400 ks vzorků) v 1 008 baleních.</t>
        </is>
      </c>
    </row>
    <row r="27">
      <c r="A27" s="8">
        <f>== OSTATNÍ ===</f>
        <v/>
      </c>
    </row>
    <row r="28">
      <c r="A28" t="inlineStr">
        <is>
          <t>B/L: počet originálů ZERO(0) → pravděpodobně telex release / bez originálů. Ověřit uvolnění u Maersku.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2026-10-26T12:48:53Z</dcterms:created>
  <dcterms:modified xmlns:dcterms="http://purl.org/dc/terms/" xmlns:xsi="http://www.w3.org/2001/XMLSchema-instance" xsi:type="dcterms:W3CDTF">2026-10-26T12:48:53Z</dcterms:modified>
</cp:coreProperties>
</file>