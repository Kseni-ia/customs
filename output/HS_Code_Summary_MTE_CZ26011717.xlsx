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D 1 – placené zboží" sheetId="1" state="visible" r:id="rId1"/>
    <sheet name="JSD 2 – FOC (bezúplatný)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  <font>
      <i val="1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3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4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3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vertical="top" wrapText="1"/>
    </xf>
    <xf numFmtId="4" fontId="1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15" customWidth="1" min="9" max="9"/>
    <col width="14" customWidth="1" min="10" max="10"/>
    <col width="70" customWidth="1" min="11" max="11"/>
  </cols>
  <sheetData>
    <row r="1">
      <c r="A1" s="1" t="inlineStr">
        <is>
          <t>JSD 1 – placené zboží | Klient: MTE spol. s r.o. (EORI CZ41603371) | Faktura 7S51-2608060001 | HBL KELBRQY26801 | Incoterm: FOB Kaohsiung, Taiwan (faktura: „FOB Taiwan“) | Měna USD</t>
        </is>
      </c>
    </row>
    <row r="2">
      <c r="A2" s="2" t="inlineStr">
        <is>
          <t>Hodnota = částka „Total Value“ z faktury: 250,909.00 USD</t>
        </is>
      </c>
    </row>
    <row r="3">
      <c r="A3" s="3" t="inlineStr">
        <is>
          <t>HS kód</t>
        </is>
      </c>
      <c r="B3" s="3" t="inlineStr">
        <is>
          <t>Popis zboží (CZ – dle klienta, doslovně)</t>
        </is>
      </c>
      <c r="C3" s="3" t="inlineStr">
        <is>
          <t>Odesílatel</t>
        </is>
      </c>
      <c r="D3" s="3" t="inlineStr">
        <is>
          <t>Země původu (COO)</t>
        </is>
      </c>
      <c r="E3" s="3" t="inlineStr">
        <is>
          <t>Množství</t>
        </is>
      </c>
      <c r="F3" s="3" t="inlineStr">
        <is>
          <t>MJ</t>
        </is>
      </c>
      <c r="G3" s="3" t="inlineStr">
        <is>
          <t>Čistá hmotnost (kg)</t>
        </is>
      </c>
      <c r="H3" s="3" t="inlineStr">
        <is>
          <t>Hrubá hmotnost (kg)</t>
        </is>
      </c>
      <c r="I3" s="3" t="inlineStr">
        <is>
          <t>Hodnota USD – Total</t>
        </is>
      </c>
      <c r="J3" s="3" t="inlineStr">
        <is>
          <t>Příznak</t>
        </is>
      </c>
      <c r="K3" s="3" t="inlineStr">
        <is>
          <t>Poznámka / CBAM / Antidumping</t>
        </is>
      </c>
    </row>
    <row r="4">
      <c r="A4" s="4" t="inlineStr">
        <is>
          <t>90278900</t>
        </is>
      </c>
      <c r="B4" s="4" t="inlineStr">
        <is>
          <t>Multifunkční monitorovací systém FORA 6 (6000ks.)</t>
        </is>
      </c>
      <c r="C4" s="4" t="inlineStr">
        <is>
          <t>ForaCare Suisse AG (CH)</t>
        </is>
      </c>
      <c r="D4" s="4" t="inlineStr">
        <is>
          <t>TW</t>
        </is>
      </c>
      <c r="E4" s="5" t="n">
        <v>6000</v>
      </c>
      <c r="F4" s="4" t="inlineStr">
        <is>
          <t>ks (set)</t>
        </is>
      </c>
      <c r="G4" s="6" t="n">
        <v>885</v>
      </c>
      <c r="H4" s="6" t="n">
        <v>1302</v>
      </c>
      <c r="I4" s="7" t="n">
        <v>13980</v>
      </c>
      <c r="J4" s="4" t="inlineStr">
        <is>
          <t>KONTROLA KN</t>
        </is>
      </c>
      <c r="K4" s="4" t="inlineStr">
        <is>
          <t>Kód dle klienta 90278900 (faktura 9027.89). Podpoložka KN 9027 89 00 v KN nemusí existovat (9027 89 je dále členěna) – ověřit 8místný kód v TARIC před podáním.</t>
        </is>
      </c>
    </row>
    <row r="5">
      <c r="A5" s="8" t="inlineStr">
        <is>
          <t>38221900</t>
        </is>
      </c>
      <c r="B5" s="8" t="inlineStr">
        <is>
          <t>Testovací proužky do glukometrů FORA 6 (7650bal.); Testovací proužky do glukometrů FORA 6 Beta-ketony  (720bal.); Testovací proužky do glukometrů FORA Diamond (26250bal.)</t>
        </is>
      </c>
      <c r="C5" s="8" t="inlineStr">
        <is>
          <t>ForaCare Suisse AG (CH)</t>
        </is>
      </c>
      <c r="D5" s="8" t="inlineStr">
        <is>
          <t>TW</t>
        </is>
      </c>
      <c r="E5" s="9" t="n">
        <v>34620</v>
      </c>
      <c r="F5" s="8" t="inlineStr">
        <is>
          <t>bal.</t>
        </is>
      </c>
      <c r="G5" s="10" t="n">
        <v>1821.415</v>
      </c>
      <c r="H5" s="10" t="n">
        <v>2044.172</v>
      </c>
      <c r="I5" s="11" t="n">
        <v>236859</v>
      </c>
      <c r="J5" s="8" t="inlineStr"/>
      <c r="K5" s="8" t="inlineStr">
        <is>
          <t>Kód dle klienta i faktury (3822.19). Diagnostická činidla na podložce – in-vitro.</t>
        </is>
      </c>
    </row>
    <row r="6">
      <c r="A6" s="4" t="inlineStr">
        <is>
          <t>85235110</t>
        </is>
      </c>
      <c r="B6" s="4" t="inlineStr">
        <is>
          <t>Elektronický teploměr (2 kusy)</t>
        </is>
      </c>
      <c r="C6" s="4" t="inlineStr">
        <is>
          <t>ForaCare Suisse AG (CH)</t>
        </is>
      </c>
      <c r="D6" s="4" t="inlineStr">
        <is>
          <t>?</t>
        </is>
      </c>
      <c r="E6" s="5" t="n">
        <v>2</v>
      </c>
      <c r="F6" s="4" t="inlineStr">
        <is>
          <t>ks</t>
        </is>
      </c>
      <c r="G6" s="6" t="inlineStr">
        <is>
          <t>neuvedeno</t>
        </is>
      </c>
      <c r="H6" s="6" t="inlineStr">
        <is>
          <t>neuvedeno</t>
        </is>
      </c>
      <c r="I6" s="7" t="n">
        <v>70</v>
      </c>
      <c r="J6" s="4" t="inlineStr">
        <is>
          <t>KONTROLA</t>
        </is>
      </c>
      <c r="K6" s="4" t="inlineStr">
        <is>
          <t>Kód dle klienta 85235110. Na faktuře jako „Temperature monitor fee (SEA)“ 2×35 USD; v packing listu není (bez hmotnosti a původu). Klient popisuje jako elektronický teploměr → zvážit 9025 19 00; ověřit zda jde o zboží nebo poplatek.</t>
        </is>
      </c>
    </row>
    <row r="7">
      <c r="A7" s="12" t="inlineStr">
        <is>
          <t>CELKEM</t>
        </is>
      </c>
      <c r="B7" s="12" t="inlineStr"/>
      <c r="C7" s="12" t="inlineStr"/>
      <c r="D7" s="12" t="inlineStr"/>
      <c r="E7" s="13" t="n">
        <v>40622</v>
      </c>
      <c r="F7" s="12" t="inlineStr"/>
      <c r="G7" s="14" t="n">
        <v>2706.415</v>
      </c>
      <c r="H7" s="14" t="n">
        <v>3346.172</v>
      </c>
      <c r="I7" s="15" t="n">
        <v>250909</v>
      </c>
      <c r="J7" s="12" t="inlineStr"/>
      <c r="K7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2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15" customWidth="1" min="9" max="9"/>
    <col width="14" customWidth="1" min="10" max="10"/>
    <col width="70" customWidth="1" min="11" max="11"/>
  </cols>
  <sheetData>
    <row r="1">
      <c r="A1" s="1" t="inlineStr">
        <is>
          <t>JSD 2 – FOC (bezúplatný) | Klient: MTE spol. s r.o. (EORI CZ41603371) | Faktura 7S51-2608060001 | HBL KELBRQY26801 | Incoterm: FOB Kaohsiung, Taiwan (faktura: „FOB Taiwan“) | Měna USD</t>
        </is>
      </c>
    </row>
    <row r="2">
      <c r="A2" s="2" t="inlineStr">
        <is>
          <t>Hodnota = částka „Total Discounted Amount“ z faktury: 91,863.00 USD</t>
        </is>
      </c>
    </row>
    <row r="3">
      <c r="A3" s="3" t="inlineStr">
        <is>
          <t>HS kód</t>
        </is>
      </c>
      <c r="B3" s="3" t="inlineStr">
        <is>
          <t>Popis zboží (CZ – dle klienta, doslovně)</t>
        </is>
      </c>
      <c r="C3" s="3" t="inlineStr">
        <is>
          <t>Odesílatel</t>
        </is>
      </c>
      <c r="D3" s="3" t="inlineStr">
        <is>
          <t>Země původu (COO)</t>
        </is>
      </c>
      <c r="E3" s="3" t="inlineStr">
        <is>
          <t>Množství</t>
        </is>
      </c>
      <c r="F3" s="3" t="inlineStr">
        <is>
          <t>MJ</t>
        </is>
      </c>
      <c r="G3" s="3" t="inlineStr">
        <is>
          <t>Čistá hmotnost (kg)</t>
        </is>
      </c>
      <c r="H3" s="3" t="inlineStr">
        <is>
          <t>Hrubá hmotnost (kg)</t>
        </is>
      </c>
      <c r="I3" s="3" t="inlineStr">
        <is>
          <t>Hodnota USD – Total</t>
        </is>
      </c>
      <c r="J3" s="3" t="inlineStr">
        <is>
          <t>Příznak</t>
        </is>
      </c>
      <c r="K3" s="3" t="inlineStr">
        <is>
          <t>Poznámka / CBAM / Antidumping</t>
        </is>
      </c>
    </row>
    <row r="4">
      <c r="A4" s="8" t="inlineStr">
        <is>
          <t>38221900</t>
        </is>
      </c>
      <c r="B4" s="8" t="inlineStr">
        <is>
          <t>Testovací proužky do glukometrů FORA 6 (3750bal.); Testovací proužky do glukometrů FORA Diamond (8750bal.); Kontrolní roztok Level 2 (150bal.); Kontrolní roztok Level 3 (50bal.)</t>
        </is>
      </c>
      <c r="C4" s="8" t="inlineStr">
        <is>
          <t>ForaCare Suisse AG (CH)</t>
        </is>
      </c>
      <c r="D4" s="8" t="inlineStr">
        <is>
          <t>TW</t>
        </is>
      </c>
      <c r="E4" s="9" t="n">
        <v>12700</v>
      </c>
      <c r="F4" s="8" t="inlineStr">
        <is>
          <t>bal.</t>
        </is>
      </c>
      <c r="G4" s="10" t="n">
        <v>665.255</v>
      </c>
      <c r="H4" s="10" t="n">
        <v>747.498</v>
      </c>
      <c r="I4" s="11" t="n">
        <v>85815</v>
      </c>
      <c r="J4" s="8" t="inlineStr"/>
      <c r="K4" s="8" t="inlineStr">
        <is>
          <t>Kód dle klienta i faktury (3822.19). Diagnostická činidla na podložce – in-vitro.</t>
        </is>
      </c>
    </row>
    <row r="5">
      <c r="A5" s="16" t="inlineStr">
        <is>
          <t>90189084</t>
        </is>
      </c>
      <c r="B5" s="16" t="inlineStr">
        <is>
          <t>Lancety FORA (10080 bal.) 50ks/bal.</t>
        </is>
      </c>
      <c r="C5" s="16" t="inlineStr">
        <is>
          <t>ForaCare Suisse AG (CH)</t>
        </is>
      </c>
      <c r="D5" s="16" t="inlineStr">
        <is>
          <t>CN</t>
        </is>
      </c>
      <c r="E5" s="17" t="n">
        <v>10080</v>
      </c>
      <c r="F5" s="16" t="inlineStr">
        <is>
          <t>bal.</t>
        </is>
      </c>
      <c r="G5" s="18" t="n">
        <v>299.04</v>
      </c>
      <c r="H5" s="18" t="n">
        <v>348.04</v>
      </c>
      <c r="I5" s="19" t="n">
        <v>6048</v>
      </c>
      <c r="J5" s="16" t="inlineStr">
        <is>
          <t>⚠ CCT/VPV KN</t>
        </is>
      </c>
      <c r="K5" s="16" t="inlineStr">
        <is>
          <t>Klient i faktura uvádí jen 9018.90 (6 míst) → KN podpoložku dopočítáno pravidlem CCT/VPV KN: 9018 90 84 (ostatní nástroje a přístroje pro lékařství). NUTNO POTVRDIT. Původ CN (paleta S17, MADE IN CHINA).</t>
        </is>
      </c>
    </row>
    <row r="6">
      <c r="A6" s="12" t="inlineStr">
        <is>
          <t>CELKEM</t>
        </is>
      </c>
      <c r="B6" s="12" t="inlineStr"/>
      <c r="C6" s="12" t="inlineStr"/>
      <c r="D6" s="12" t="inlineStr"/>
      <c r="E6" s="13" t="n">
        <v>22780</v>
      </c>
      <c r="F6" s="12" t="inlineStr"/>
      <c r="G6" s="14" t="n">
        <v>964.295</v>
      </c>
      <c r="H6" s="14" t="n">
        <v>1095.538</v>
      </c>
      <c r="I6" s="15" t="n">
        <v>91863</v>
      </c>
      <c r="J6" s="12" t="inlineStr"/>
      <c r="K6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0">
        <f>== ZÁSILKA ===</f>
        <v/>
      </c>
    </row>
    <row r="2">
      <c r="A2" t="inlineStr">
        <is>
          <t>Ref.: OR / MTE / JBA20260724003 / CZ26011717 (e-mail L. Jirkovský, 24.9.2026)</t>
        </is>
      </c>
    </row>
    <row r="3">
      <c r="A3" t="inlineStr">
        <is>
          <t>Odesílatel: ForaCare Suisse AG, Neugasse 55, 9000 St. Gallen, CH (VAT CHE-114.754.399 na faktuře / CHE-114.745.399 v PL – nesoulad čísel)</t>
        </is>
      </c>
    </row>
    <row r="4">
      <c r="A4" t="inlineStr">
        <is>
          <t>Příjemce: MTE spol. s r.o., Hybešova 43, 602 00 Brno, EORI CZ41603371</t>
        </is>
      </c>
    </row>
    <row r="5">
      <c r="A5" t="inlineStr">
        <is>
          <t>Faktura 7S51-2608060001 z 6.8.2026 (PI 7S31-2604080001), měna USD</t>
        </is>
      </c>
    </row>
    <row r="6">
      <c r="A6" t="inlineStr">
        <is>
          <t>HBL (FIATA FBL) KELBRQY26801, Formosa Transportation; M/V YM CONSTANCY V-074S, Kaohsiung → Hamburg, místo dodání Brno; on board 16.8.2026</t>
        </is>
      </c>
    </row>
    <row r="7">
      <c r="A7" t="inlineStr">
        <is>
          <t>Kontejner YMLU5531493 (40' RQ/reefer, +20 °C), plomba YMAW834318; 17 palet = 652 ktn; GW 4 441,71 kg; 65 CBM; Freight collect</t>
        </is>
      </c>
    </row>
    <row r="8">
      <c r="A8" t="inlineStr">
        <is>
          <t>ETA Hamburg 6.10.2026; JSD přes Uhříněves / CETR (Metrans). Doprava – pošle L. Jirkovský s MRN.</t>
        </is>
      </c>
    </row>
    <row r="9">
      <c r="A9" t="inlineStr"/>
    </row>
    <row r="10">
      <c r="A10" s="20">
        <f>== DVĚ JSD (instrukce zákazníka) ===</f>
        <v/>
      </c>
    </row>
    <row r="11">
      <c r="A11" t="inlineStr">
        <is>
          <t>JSD 1: placené zboží – faktura „Total Value : 250,909.00 USD“ (pol. 1, 2, 4, 5, 10).</t>
        </is>
      </c>
    </row>
    <row r="12">
      <c r="A12" t="inlineStr">
        <is>
          <t>JSD 2: bezúplatný dovoz (FOC) – faktura „Total Discounted Amount : 91,863.00 USD“ (pol. 3, 6, 7, 8, 9 – jednotková cena 0,00, sleva 100 %). Hodnota = původní ceníková cena.</t>
        </is>
      </c>
    </row>
    <row r="13">
      <c r="A13" t="inlineStr">
        <is>
          <t>„Total Original Amount“ 342,772.00 = součet obou JSD (kontrola: 250 909 + 91 863 = 342 772).</t>
        </is>
      </c>
    </row>
    <row r="14">
      <c r="A14" t="inlineStr">
        <is>
          <t>Bezúplatný dovoz = FOC (free of charge) – ano. Celní hodnotu je přesto nutno deklarovat (neexistuje transakční hodnota → čl. 74 UCC, zpravidla hodnota shodného zboží = ceny z faktury).</t>
        </is>
      </c>
    </row>
    <row r="15">
      <c r="A15" t="inlineStr"/>
    </row>
    <row r="16">
      <c r="A16" s="20">
        <f>== INCOTERM ===</f>
        <v/>
      </c>
    </row>
    <row r="17">
      <c r="A17" t="inlineStr">
        <is>
          <t>Faktura: „Trade Term: FOB Taiwan“ – konkrétní přístav na faktuře NENÍ. Dle HBL přístav nakládky Kaohsiung (místo převzetí Keelung; PL uvádí From: Keelung). → FOB Kaohsiung, Taiwan – potvrdit.</t>
        </is>
      </c>
    </row>
    <row r="18">
      <c r="A18" t="inlineStr">
        <is>
          <t>FOB → do celní hodnoty nutno připočíst dopravu (a pojištění) po hranici EU (Hamburg). Freight collect / „as arranged“ – náklady dodá L. Jirkovský; rozpočítat na obě JSD.</t>
        </is>
      </c>
    </row>
    <row r="19">
      <c r="A19" t="inlineStr"/>
    </row>
    <row r="20">
      <c r="A20" s="20">
        <f>== PREFERENČNÍ PŮVOD / REX ===</f>
        <v/>
      </c>
    </row>
    <row r="21">
      <c r="A21" t="inlineStr">
        <is>
          <t>Preferenční věta (prohlášení o původu) na faktuře ani v PL NENÍ.</t>
        </is>
      </c>
    </row>
    <row r="22">
      <c r="A22" t="inlineStr">
        <is>
          <t>REX číslo na faktuře NENÍ.</t>
        </is>
      </c>
    </row>
    <row r="23">
      <c r="A23" t="inlineStr">
        <is>
          <t>Původ: Taiwan (TW) – vše kromě lancet; lancety Čína (CN, paleta S17). S TW ani CN nemá EU preferenční dohodu → uplatní se konvenční (třetizemní) sazby cla. Švýcarský prodejce neprokazuje švýcarský původ.</t>
        </is>
      </c>
    </row>
    <row r="24">
      <c r="A24" t="inlineStr"/>
    </row>
    <row r="25">
      <c r="A25" s="20">
        <f>== CBAM ===</f>
        <v/>
      </c>
    </row>
    <row r="26">
      <c r="A26" t="inlineStr">
        <is>
          <t>Žádný HS kód v zásilce nespadá pod CBAM (kap. 38, 85, 90) → lookup v registru není nutný.</t>
        </is>
      </c>
    </row>
    <row r="27">
      <c r="A27" t="inlineStr">
        <is>
          <t>Pro informaci: MTE spol. s r.o. (CZ41603371) v registru CBAM_receivers_CZ.xlsx NENÍ.</t>
        </is>
      </c>
    </row>
    <row r="28">
      <c r="A28" t="inlineStr"/>
    </row>
    <row r="29">
      <c r="A29" s="20">
        <f>== ANTIDUMPING ===</f>
        <v/>
      </c>
    </row>
    <row r="30">
      <c r="A30" t="inlineStr">
        <is>
          <t>Pro dotčené kódy (3822 19 00, 9027 89, 9018 90 84, 8523 51 10) z TW/CN není znám antidumping – ověřit v TARIC při podání.</t>
        </is>
      </c>
    </row>
    <row r="31">
      <c r="A31" t="inlineStr"/>
    </row>
    <row r="32">
      <c r="A32" s="20">
        <f>== ⚠ CCT/VPV KN TARIFF RULE ===</f>
        <v/>
      </c>
    </row>
    <row r="33">
      <c r="A33" t="inlineStr">
        <is>
          <t>Lancety FORA (pol. 7): zdroj uvádí jen 9018.90 → KN 9018 90 84 odvozeno pravidlem CCT/VPV KN.</t>
        </is>
      </c>
    </row>
    <row r="34">
      <c r="A34" t="inlineStr">
        <is>
          <t>CO TO JE? sterilní lanceta (jehlička) pro odběr kapilární krve. Z ČEHO? ocelový hrot v plastovém těle. K ČEMU? lékařský nástroj pro odběr krve (glukometrie).</t>
        </is>
      </c>
    </row>
    <row r="35">
      <c r="A35" t="inlineStr">
        <is>
          <t>Třída XVIII, kap. 90 → čís. 9018 (nástroje pro lékařství) → 9018 90 (ostatní nástroje) → KN 9018 90 84 (ostatní). 9018 32 vyloučeno (pouze trubkové kovové jehly a jehly na šití); VPV 1 a 6.</t>
        </is>
      </c>
    </row>
    <row r="36">
      <c r="A36" t="inlineStr">
        <is>
          <t>Nejistota: potvrdit, případně konzultovat customs.tariff@mauriceward.com.</t>
        </is>
      </c>
    </row>
    <row r="37">
      <c r="A37" t="inlineStr"/>
    </row>
    <row r="38">
      <c r="A38" s="20">
        <f>== HMOTNOSTI ===</f>
        <v/>
      </c>
    </row>
    <row r="39">
      <c r="A39" t="inlineStr">
        <is>
          <t>Čistá hmotnost celkem 3 670,71 kg (PL). Hrubá 4 441,71 kg (PL paletový + HBL) = kartony 4 322,71 kg + palety 17 × 7 kg.</t>
        </is>
      </c>
    </row>
    <row r="40">
      <c r="A40" t="inlineStr">
        <is>
          <t>Rozpočet na HS kód: dle PL po produktech; paletová tára přiřazena po skupinách palet (S1–S6 monitor, S7–S16 proužky/roztoky, S17 lancety).</t>
        </is>
      </c>
    </row>
    <row r="41">
      <c r="A41" t="inlineStr">
        <is>
          <t>Proužky FORA 6 a Diamond jsou částečně placené a částečně FOC → NW/GW rozděleno poměrem množství. Paleta S16 je smíšená (obě JSD).</t>
        </is>
      </c>
    </row>
    <row r="42">
      <c r="A42" t="inlineStr">
        <is>
          <t>Kontrolní roztoky Level 2/3 v jedné krabici SDL1 (GW 3,63 kg) → GW rozděleno poměrem NW.</t>
        </is>
      </c>
    </row>
    <row r="43">
      <c r="A43" t="inlineStr">
        <is>
          <t>Pol. 10 (teploměry / „Temperature monitor fee“): hmotnost ani původ v dokladech NEJSOU.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2026-09-29T08:34:58Z</dcterms:created>
  <dcterms:modified xsi:type="dcterms:W3CDTF">2026-09-29T08:34:58Z</dcterms:modified>
</cp:coreProperties>
</file>