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Položky" sheetId="2" state="visible" r:id="rId2"/>
    <sheet xmlns:r="http://schemas.openxmlformats.org/officeDocument/2006/relationships"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0" fontId="3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70" customWidth="1" min="4" max="4"/>
    <col width="26" customWidth="1" min="5" max="5"/>
    <col width="8" customWidth="1" min="6" max="6"/>
    <col width="13" customWidth="1" min="7" max="7"/>
    <col width="13" customWidth="1" min="8" max="8"/>
    <col width="14" customWidth="1" min="9" max="9"/>
    <col width="14" customWidth="1" min="10" max="10"/>
    <col width="18" customWidth="1" min="11" max="11"/>
    <col width="26" customWidth="1" min="12" max="12"/>
    <col width="26" customWidth="1" min="13" max="13"/>
    <col width="55" customWidth="1" min="14" max="14"/>
  </cols>
  <sheetData>
    <row r="1">
      <c r="A1" s="1" t="inlineStr">
        <is>
          <t>HS Code Summary – V-TOP EUROPE s.r.o. – zásilka WPXA26B0912CZ320</t>
        </is>
      </c>
    </row>
    <row r="3">
      <c r="A3" s="2" t="inlineStr">
        <is>
          <t>Odesílatel</t>
        </is>
      </c>
      <c r="B3" t="inlineStr">
        <is>
          <t>HANGZHOU ONTIME I.T. CO., LTD. (CN), 8th Fl, Bldg 6, Realblue Center, #18 Zixuan Rd, Hangzhou 310010</t>
        </is>
      </c>
    </row>
    <row r="4">
      <c r="A4" s="2" t="inlineStr">
        <is>
          <t>Příjemce (CZ)</t>
        </is>
      </c>
      <c r="B4" t="inlineStr">
        <is>
          <t>V-TOP EUROPE s.r.o., Františka Diviše 1012/64, 104 00 Praha 22 – Uhříněves, IČ 25795040, EORI CZ25795040</t>
        </is>
      </c>
    </row>
    <row r="5">
      <c r="A5" s="2" t="inlineStr">
        <is>
          <t>Faktura</t>
        </is>
      </c>
      <c r="B5" t="inlineStr">
        <is>
          <t>PI24200070026058&amp;061A&amp;062 ze dne 8.9.2026 (PO 260029&amp;260026&amp;260028)</t>
        </is>
      </c>
    </row>
    <row r="6">
      <c r="A6" s="2" t="inlineStr">
        <is>
          <t>Doprava</t>
        </is>
      </c>
      <c r="B6" t="inlineStr">
        <is>
          <t>Vlak č. 0916, Xi'an → Khorgos → Praha, odjezd 16.9.2026, kontejner FORU3330710 / plomba 345340 (40HC), 7 palet / 528 kartonů</t>
        </is>
      </c>
    </row>
    <row r="7">
      <c r="A7" s="2" t="inlineStr">
        <is>
          <t>Incoterm</t>
        </is>
      </c>
      <c r="B7" t="inlineStr">
        <is>
          <t>CFR Prague (CFR Praha) – uvedeno na faktuře v poli „PAYMENT TERM“</t>
        </is>
      </c>
    </row>
    <row r="8">
      <c r="A8" s="2" t="inlineStr">
        <is>
          <t>Měna / Total</t>
        </is>
      </c>
      <c r="B8" t="inlineStr">
        <is>
          <t>EUR – TOTAL na faktuře: € 45 318,50 (bez slevy)</t>
        </is>
      </c>
    </row>
    <row r="9">
      <c r="A9" s="2" t="inlineStr">
        <is>
          <t>Země původu</t>
        </is>
      </c>
      <c r="B9" t="inlineStr">
        <is>
          <t>CN – Čína („MADE IN CHINA“ na faktuře)</t>
        </is>
      </c>
    </row>
    <row r="10">
      <c r="A10" s="2" t="inlineStr">
        <is>
          <t>HS kódy + popis</t>
        </is>
      </c>
      <c r="B10" t="inlineStr">
        <is>
          <t>Instrukce klienta – instrukce_18.9.2026.xlsx (zaslala Kateřina Buckingham)</t>
        </is>
      </c>
    </row>
    <row r="12">
      <c r="A12" s="3" t="inlineStr">
        <is>
          <t>Odesílatel</t>
        </is>
      </c>
      <c r="B12" s="3" t="inlineStr">
        <is>
          <t>HS kód (TARIC)</t>
        </is>
      </c>
      <c r="C12" s="3" t="inlineStr">
        <is>
          <t>Zdroj HS kódu</t>
        </is>
      </c>
      <c r="D12" s="3" t="inlineStr">
        <is>
          <t>Popis zboží (CZ – dle instrukce klienta)</t>
        </is>
      </c>
      <c r="E12" s="3" t="inlineStr">
        <is>
          <t>Položky (Ontime kód)</t>
        </is>
      </c>
      <c r="F12" s="3" t="inlineStr">
        <is>
          <t>Země původu</t>
        </is>
      </c>
      <c r="G12" s="3" t="inlineStr">
        <is>
          <t>Množství (ks)</t>
        </is>
      </c>
      <c r="H12" s="3" t="inlineStr">
        <is>
          <t>Čistá hmotnost (kg)</t>
        </is>
      </c>
      <c r="I12" s="3" t="inlineStr">
        <is>
          <t>Hrubá hmotnost (kg) vč. palet</t>
        </is>
      </c>
      <c r="J12" s="3" t="inlineStr">
        <is>
          <t>Hodnota EUR (Total)</t>
        </is>
      </c>
      <c r="K12" s="3" t="inlineStr">
        <is>
          <t>CBAM</t>
        </is>
      </c>
      <c r="L12" s="3" t="inlineStr">
        <is>
          <t>Antidumping</t>
        </is>
      </c>
      <c r="M12" s="3" t="inlineStr">
        <is>
          <t>Melt &amp; pour</t>
        </is>
      </c>
      <c r="N12" s="3" t="inlineStr">
        <is>
          <t>Poznámka / kontrola</t>
        </is>
      </c>
    </row>
    <row r="13">
      <c r="A13" s="4" t="inlineStr">
        <is>
          <t>HANGZHOU ONTIME I.T. CO., LTD. (CN)</t>
        </is>
      </c>
      <c r="B13" s="4" t="inlineStr">
        <is>
          <t>8531 90 00 00</t>
        </is>
      </c>
      <c r="C13" s="4" t="inlineStr">
        <is>
          <t>Instrukce klienta 18.9.2026</t>
        </is>
      </c>
      <c r="D13" s="4" t="inlineStr">
        <is>
          <t>pevné samoobslužné schránky AM či RF (Double, Single, Triple Protection Box Wrap, Alarm Box) s magnetickým zámkem. Dále se jedná o pevné samoobslužné štítky s magnetickým kabelovým zámkem. Určeno k ochraně zboží proti krádeži v obchodech. | štítky AM nebo RF s ocelovým nebo plastovým kabelem, používané především k ochraně lahví, plechovek. Štítky mají standartní pevnost a disponují magnetickým zámkem. Určeno k ochraně zboží proti krádeži v obchodech. | radiofrekvenční nebo akustomagnetické tvrdé etikety s inkoustem uvnitř, sloužící k zabezpečení zboží proti krádeži | standartní tvrdé etikety (štítky) k ochraně textilu, oděvu a příslušenství – frekvenční technologie RF / AM / RF &amp; AM a magnetický zámek. Určeno k ochraně zboží proti krádeži v obchodech.</t>
        </is>
      </c>
      <c r="E13" s="4" t="inlineStr">
        <is>
          <t>AS1029, BT3010, HD2029, HD2091, HD2105, HD2071, BD3311</t>
        </is>
      </c>
      <c r="F13" s="4" t="inlineStr">
        <is>
          <t>CN</t>
        </is>
      </c>
      <c r="G13" s="5" t="n">
        <v>128700</v>
      </c>
      <c r="H13" s="6" t="n">
        <v>1104.1</v>
      </c>
      <c r="I13" s="6" t="n">
        <v>1222.571</v>
      </c>
      <c r="J13" s="7" t="n">
        <v>5692.9</v>
      </c>
      <c r="K13" s="4" t="inlineStr">
        <is>
          <t>Ne</t>
        </is>
      </c>
      <c r="L13" s="4" t="inlineStr">
        <is>
          <t>Neidentifikováno (ověřit v TARIC)</t>
        </is>
      </c>
      <c r="M13" s="4" t="inlineStr">
        <is>
          <t>Nepodléhá (kap. 85)</t>
        </is>
      </c>
      <c r="N13" s="4" t="inlineStr">
        <is>
          <t>Ověřit platnost 10místného kódu v TARIC – KN 8531 90 se dále člení (můj původní návrh: 8531 90 85 00). Stop lock HD2071 (HD740) zahrnut pod skupinu HD dle instrukce.</t>
        </is>
      </c>
    </row>
    <row r="14">
      <c r="A14" s="4" t="inlineStr">
        <is>
          <t>HANGZHOU ONTIME I.T. CO., LTD. (CN)</t>
        </is>
      </c>
      <c r="B14" s="4" t="inlineStr">
        <is>
          <t>8505 90 29 99</t>
        </is>
      </c>
      <c r="C14" s="4" t="inlineStr">
        <is>
          <t>Instrukce klienta 18.9.2026</t>
        </is>
      </c>
      <c r="D14" s="4" t="inlineStr">
        <is>
          <t>měkké akustomagnetické etikety (se semimagnetickým proužkem uvnitř) – s natištěným falešným čárovým kódem, bílé či černé. Jsou určeny k ochraně zboží proti krádeži, často jsou přilepeny na zboží, některé typy jsou vhazovací bez lepidla.</t>
        </is>
      </c>
      <c r="E14" s="4" t="inlineStr">
        <is>
          <t>AL4810</t>
        </is>
      </c>
      <c r="F14" s="4" t="inlineStr">
        <is>
          <t>CN</t>
        </is>
      </c>
      <c r="G14" s="5" t="n">
        <v>1000000</v>
      </c>
      <c r="H14" s="6" t="n">
        <v>535</v>
      </c>
      <c r="I14" s="6" t="n">
        <v>577.601</v>
      </c>
      <c r="J14" s="7" t="n">
        <v>5500</v>
      </c>
      <c r="K14" s="4" t="inlineStr">
        <is>
          <t>Ne</t>
        </is>
      </c>
      <c r="L14" s="4" t="inlineStr">
        <is>
          <t>Neidentifikováno (ověřit v TARIC)</t>
        </is>
      </c>
      <c r="M14" s="4" t="inlineStr">
        <is>
          <t>Nepodléhá (kap. 85)</t>
        </is>
      </c>
      <c r="N14" s="4" t="inlineStr">
        <is>
          <t>Liší se od mého původního návrhu (8531 90 85 00 – část EAS systému). Ověřit platnost kódu v TARIC.</t>
        </is>
      </c>
    </row>
    <row r="15">
      <c r="A15" s="4" t="inlineStr">
        <is>
          <t>HANGZHOU ONTIME I.T. CO., LTD. (CN)</t>
        </is>
      </c>
      <c r="B15" s="4" t="inlineStr">
        <is>
          <t>8534 00 19 00</t>
        </is>
      </c>
      <c r="C15" s="4" t="inlineStr">
        <is>
          <t>Instrukce klienta 18.9.2026</t>
        </is>
      </c>
      <c r="D15" s="4" t="inlineStr">
        <is>
          <t>MĚKKÝ PLASTOVÝ ŠTÍTEK RF S POPLACHOVÝM ZABEZPEČENÍM OBSAHUJÍCÍ TIŠTĚNÝ OBVOD, s falešným čárovým kódem, bílá nebo černý</t>
        </is>
      </c>
      <c r="E15" s="4" t="inlineStr">
        <is>
          <t>RL4601, RL4604, RL4641</t>
        </is>
      </c>
      <c r="F15" s="4" t="inlineStr">
        <is>
          <t>CN</t>
        </is>
      </c>
      <c r="G15" s="5" t="n">
        <v>5500000</v>
      </c>
      <c r="H15" s="6" t="n">
        <v>2339.5</v>
      </c>
      <c r="I15" s="6" t="n">
        <v>2560.356</v>
      </c>
      <c r="J15" s="7" t="n">
        <v>27440</v>
      </c>
      <c r="K15" s="4" t="inlineStr">
        <is>
          <t>Ne</t>
        </is>
      </c>
      <c r="L15" s="4" t="inlineStr">
        <is>
          <t>Neidentifikováno (ověřit v TARIC)</t>
        </is>
      </c>
      <c r="M15" s="4" t="inlineStr">
        <is>
          <t>Nepodléhá (kap. 85)</t>
        </is>
      </c>
      <c r="N15" s="4" t="inlineStr">
        <is>
          <t>Liší se od mého původního návrhu (8531 90 85 00). Dle instrukce klienta – tištěný obvod.</t>
        </is>
      </c>
    </row>
    <row r="16">
      <c r="A16" s="4" t="inlineStr">
        <is>
          <t>HANGZHOU ONTIME I.T. CO., LTD. (CN)</t>
        </is>
      </c>
      <c r="B16" s="4" t="inlineStr">
        <is>
          <t>8505 11 10</t>
        </is>
      </c>
      <c r="C16" s="4" t="inlineStr">
        <is>
          <t>Instrukce klienta 18.9.2026</t>
        </is>
      </c>
      <c r="D16" s="4" t="inlineStr">
        <is>
          <t>magnetický oddělovač pro pevný štítek zboží v obchodech</t>
        </is>
      </c>
      <c r="E16" s="4" t="inlineStr">
        <is>
          <t>DT4010, DT4013, DT4086-1, DT4121, DT4096-2</t>
        </is>
      </c>
      <c r="F16" s="4" t="inlineStr">
        <is>
          <t>CN</t>
        </is>
      </c>
      <c r="G16" s="5" t="n">
        <v>193</v>
      </c>
      <c r="H16" s="6" t="n">
        <v>75.90000000000001</v>
      </c>
      <c r="I16" s="6" t="n">
        <v>81.273</v>
      </c>
      <c r="J16" s="7" t="n">
        <v>2574</v>
      </c>
      <c r="K16" s="4" t="inlineStr">
        <is>
          <t>Ne</t>
        </is>
      </c>
      <c r="L16" s="4" t="inlineStr">
        <is>
          <t>Neidentifikováno (ověřit v TARIC)</t>
        </is>
      </c>
      <c r="M16" s="4" t="inlineStr">
        <is>
          <t>Nepodléhá (kap. 85)</t>
        </is>
      </c>
      <c r="N16" s="4" t="inlineStr">
        <is>
          <t>⚠️ Klient uvedl jen 8 míst – doplnit 10místný TARIC kód. Odpovídá mému návrhu (8505 11).</t>
        </is>
      </c>
    </row>
    <row r="17">
      <c r="A17" s="8" t="inlineStr">
        <is>
          <t>HANGZHOU ONTIME I.T. CO., LTD. (CN)</t>
        </is>
      </c>
      <c r="B17" s="8" t="inlineStr">
        <is>
          <t>8203 20 00 00</t>
        </is>
      </c>
      <c r="C17" s="8" t="inlineStr">
        <is>
          <t>Instrukce klienta 18.9.2026</t>
        </is>
      </c>
      <c r="D17" s="8" t="inlineStr">
        <is>
          <t>speciální ruční uvolňovač - kleště- určený k uvolňování pevných štítků AM typu sensormatic (uvolňovač není magnetický)</t>
        </is>
      </c>
      <c r="E17" s="8" t="inlineStr">
        <is>
          <t>DT4052</t>
        </is>
      </c>
      <c r="F17" s="8" t="inlineStr">
        <is>
          <t>CN</t>
        </is>
      </c>
      <c r="G17" s="9" t="n">
        <v>30</v>
      </c>
      <c r="H17" s="10" t="n">
        <v>13.5</v>
      </c>
      <c r="I17" s="10" t="n">
        <v>15.641</v>
      </c>
      <c r="J17" s="11" t="n">
        <v>300</v>
      </c>
      <c r="K17" s="8" t="inlineStr">
        <is>
          <t>Ne</t>
        </is>
      </c>
      <c r="L17" s="8" t="inlineStr">
        <is>
          <t>Neidentifikováno (ověřit v TARIC)</t>
        </is>
      </c>
      <c r="M17" s="8" t="inlineStr">
        <is>
          <t>Nepodléhá (kap. 82)</t>
        </is>
      </c>
      <c r="N17" s="8" t="inlineStr">
        <is>
          <t>Ruční kleště, nemagnetický uvolňovač – samostatný kód dle instrukce (můj návrh 8505 11 byl pro tuto položku chybný).</t>
        </is>
      </c>
    </row>
    <row r="18">
      <c r="A18" s="12" t="inlineStr">
        <is>
          <t>HANGZHOU ONTIME I.T. CO., LTD. (CN)</t>
        </is>
      </c>
      <c r="B18" s="12" t="inlineStr">
        <is>
          <t>7312 90 00 00</t>
        </is>
      </c>
      <c r="C18" s="12" t="inlineStr">
        <is>
          <t>Instrukce klienta 18.9.2026</t>
        </is>
      </c>
      <c r="D18" s="12" t="inlineStr">
        <is>
          <t>ocelová nebo poplastová lanka sloužící k připojení etikety ke zboží, např. provlečením</t>
        </is>
      </c>
      <c r="E18" s="12" t="inlineStr">
        <is>
          <t>LD3603</t>
        </is>
      </c>
      <c r="F18" s="12" t="inlineStr">
        <is>
          <t>CN</t>
        </is>
      </c>
      <c r="G18" s="13" t="n">
        <v>200000</v>
      </c>
      <c r="H18" s="14" t="n">
        <v>344</v>
      </c>
      <c r="I18" s="14" t="n">
        <v>376.207</v>
      </c>
      <c r="J18" s="15" t="n">
        <v>3640</v>
      </c>
      <c r="K18" s="12" t="inlineStr">
        <is>
          <t>Ne (7312 není v příloze I CBAM)</t>
        </is>
      </c>
      <c r="L18" s="12" t="inlineStr">
        <is>
          <t>Ne – AD clo na ocelová lana z ČLR se týká jen 7312 10 (ověřit v TARIC)</t>
        </is>
      </c>
      <c r="M18" s="12" t="inlineStr">
        <is>
          <t>ANO – ocel, kap. 73 → nutná země tavby a odlití + hutní atest</t>
        </is>
      </c>
      <c r="N18" s="12" t="inlineStr">
        <is>
          <t>Dle instrukce klienta. 7312 90 není CBAM zboží.</t>
        </is>
      </c>
    </row>
    <row r="19">
      <c r="A19" s="4" t="inlineStr">
        <is>
          <t>HANGZHOU ONTIME I.T. CO., LTD. (CN)</t>
        </is>
      </c>
      <c r="B19" s="4" t="inlineStr">
        <is>
          <t>7616 99 90 (TARIC doplnit)</t>
        </is>
      </c>
      <c r="C19" s="4" t="inlineStr">
        <is>
          <t>⚠️ CCT/VPV KN tariff rule – návrh, čeká na potvrzení klienta (klient uvedl 3926 90 97 90 ???)</t>
        </is>
      </c>
      <c r="D19" s="4" t="inlineStr">
        <is>
          <t>pojistné kovové víčko (hliník + železo) s aretačním prvkem a kličkou, určené k zakrytí a mechanickému zajištění magnetického uvolňovače pevných bezpečnostních štítků proti krádeži</t>
        </is>
      </c>
      <c r="E19" s="4" t="inlineStr">
        <is>
          <t>DL4402</t>
        </is>
      </c>
      <c r="F19" s="4" t="inlineStr">
        <is>
          <t>CN</t>
        </is>
      </c>
      <c r="G19" s="5" t="n">
        <v>60</v>
      </c>
      <c r="H19" s="6" t="n">
        <v>1.7</v>
      </c>
      <c r="I19" s="6" t="n">
        <v>2.351</v>
      </c>
      <c r="J19" s="7" t="n">
        <v>171.6</v>
      </c>
      <c r="K19" s="4" t="inlineStr">
        <is>
          <t>ANO – CBAM zboží (7616), V-TOP: Y137</t>
        </is>
      </c>
      <c r="L19" s="4" t="inlineStr">
        <is>
          <t>Neidentifikováno (ověřit v TARIC)</t>
        </is>
      </c>
      <c r="M19" s="4" t="inlineStr">
        <is>
          <t>Nepodléhá (hliník, kap. 76)</t>
        </is>
      </c>
      <c r="N19" s="4" t="inlineStr">
        <is>
          <t>Kód klienta 3926 (plasty) nesedí – zboží je kovové. Katalog Ontime: DL4402 = „DETACHER LID“, Ø21×34 mm, T-klička, bez zámku na klíč → ne 8301. Kombinace kovů → převažující kov (pozn. 7 k třídě XV); 28 g/ks odpovídá převážně hliníku → 7616 99 90.</t>
        </is>
      </c>
    </row>
    <row r="20">
      <c r="A20" s="2" t="inlineStr">
        <is>
          <t>CELKEM</t>
        </is>
      </c>
      <c r="G20" s="16" t="n">
        <v>6828983</v>
      </c>
      <c r="H20" s="17" t="n">
        <v>4413.7</v>
      </c>
      <c r="I20" s="17" t="n">
        <v>4836</v>
      </c>
      <c r="J20" s="18" t="n">
        <v>45318.5</v>
      </c>
    </row>
    <row r="22">
      <c r="A22" s="2" t="inlineStr">
        <is>
          <t>🟠 ORANŽOVÁ</t>
        </is>
      </c>
      <c r="B22" t="inlineStr">
        <is>
          <t>LD3603 (lanka) – ocel kap. 73 – melt &amp; pour (chybí hutní atest)</t>
        </is>
      </c>
    </row>
    <row r="23">
      <c r="A23" s="2" t="inlineStr">
        <is>
          <t>🟡 ŽLUTÁ</t>
        </is>
      </c>
      <c r="B23" t="inlineStr">
        <is>
          <t>Kód k ověření v TARIC / liší se od mého původního návrhu. DL4402 (víčko) – kód 7616 99 90 navržen, čeká na potvrzení klienta; CBAM zboží</t>
        </is>
      </c>
    </row>
    <row r="24">
      <c r="A24" s="2" t="inlineStr">
        <is>
          <t>Hrubá hmotnost</t>
        </is>
      </c>
      <c r="B24" t="inlineStr">
        <is>
          <t>Hmotnost kartonů dle PL + palety (105,50 kg) rozpočítány proporcionálně, faktor 1.022302 → celkem 4 836,00 kg = B/L</t>
        </is>
      </c>
    </row>
    <row r="25">
      <c r="A25" s="2" t="inlineStr">
        <is>
          <t>Popis</t>
        </is>
      </c>
      <c r="B25" t="inlineStr">
        <is>
          <t>Český popis převzat doslovně z instrukce klienta (sloučeno víc řádků do jednoho).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60" customWidth="1" min="3" max="3"/>
    <col width="18" customWidth="1" min="4" max="4"/>
    <col width="12" customWidth="1" min="5" max="5"/>
    <col width="12" customWidth="1" min="6" max="6"/>
    <col width="14" customWidth="1" min="7" max="7"/>
    <col width="14" customWidth="1" min="8" max="8"/>
    <col width="11" customWidth="1" min="9" max="9"/>
    <col width="12" customWidth="1" min="10" max="10"/>
  </cols>
  <sheetData>
    <row r="1">
      <c r="A1" s="19" t="inlineStr">
        <is>
          <t>Odesílatel</t>
        </is>
      </c>
      <c r="B1" s="19" t="inlineStr">
        <is>
          <t>Ontime kód</t>
        </is>
      </c>
      <c r="C1" s="19" t="inlineStr">
        <is>
          <t>Popis (faktura EN)</t>
        </is>
      </c>
      <c r="D1" s="19" t="inlineStr">
        <is>
          <t>HS kód (TARIC)</t>
        </is>
      </c>
      <c r="E1" s="19" t="inlineStr">
        <is>
          <t>Množství (ks)</t>
        </is>
      </c>
      <c r="F1" s="19" t="inlineStr">
        <is>
          <t>Čistá hm. (kg)</t>
        </is>
      </c>
      <c r="G1" s="19" t="inlineStr">
        <is>
          <t>Hrubá hm. kartony (kg)</t>
        </is>
      </c>
      <c r="H1" s="19" t="inlineStr">
        <is>
          <t>Hrubá hm. vč. palet (kg)</t>
        </is>
      </c>
      <c r="I1" s="19" t="inlineStr">
        <is>
          <t>Cena/ks EUR</t>
        </is>
      </c>
      <c r="J1" s="19" t="inlineStr">
        <is>
          <t>Total EUR</t>
        </is>
      </c>
    </row>
    <row r="2">
      <c r="A2" s="8" t="inlineStr">
        <is>
          <t>HANGZHOU ONTIME I.T. CO., LTD. (CN)</t>
        </is>
      </c>
      <c r="B2" s="8" t="inlineStr">
        <is>
          <t>AS1029</t>
        </is>
      </c>
      <c r="C2" s="8" t="inlineStr">
        <is>
          <t>CLK872: CABLE LOCK-NEW-2A 58KHZ SUPER LOCK BLACK 175MM LENGTH 2 ALARAMS</t>
        </is>
      </c>
      <c r="D2" s="8" t="inlineStr">
        <is>
          <t>8531 90 00 00</t>
        </is>
      </c>
      <c r="E2" s="8" t="n">
        <v>200</v>
      </c>
      <c r="F2" s="8" t="n">
        <v>8</v>
      </c>
      <c r="G2" s="8" t="n">
        <v>9.199999999999999</v>
      </c>
      <c r="H2" s="8" t="n">
        <v>9.404999999999999</v>
      </c>
      <c r="I2" s="8" t="n">
        <v>0.86</v>
      </c>
      <c r="J2" s="8" t="n">
        <v>172</v>
      </c>
    </row>
    <row r="3">
      <c r="A3" s="8" t="inlineStr">
        <is>
          <t>HANGZHOU ONTIME I.T. CO., LTD. (CN)</t>
        </is>
      </c>
      <c r="B3" s="8" t="inlineStr">
        <is>
          <t>BT3010</t>
        </is>
      </c>
      <c r="C3" s="8" t="inlineStr">
        <is>
          <t>HDL033-ST: BOTTLE TAG WITH METAL CABLE 160MM 58KHZ SUPER LOCK BLACK 160MM CABLE LENGTH WITH BLACK TUBE, WITH BLACK BALL</t>
        </is>
      </c>
      <c r="D3" s="8" t="inlineStr">
        <is>
          <t>8531 90 00 00</t>
        </is>
      </c>
      <c r="E3" s="8" t="n">
        <v>2000</v>
      </c>
      <c r="F3" s="8" t="n">
        <v>38.4</v>
      </c>
      <c r="G3" s="8" t="n">
        <v>40.8</v>
      </c>
      <c r="H3" s="8" t="n">
        <v>41.71</v>
      </c>
      <c r="I3" s="8" t="n">
        <v>0.1361</v>
      </c>
      <c r="J3" s="8" t="n">
        <v>272.2</v>
      </c>
    </row>
    <row r="4">
      <c r="A4" s="8" t="inlineStr">
        <is>
          <t>HANGZHOU ONTIME I.T. CO., LTD. (CN)</t>
        </is>
      </c>
      <c r="B4" s="8" t="inlineStr">
        <is>
          <t>DT4010</t>
        </is>
      </c>
      <c r="C4" s="8" t="inlineStr">
        <is>
          <t>DT052: SUPER COUNTER</t>
        </is>
      </c>
      <c r="D4" s="8" t="inlineStr">
        <is>
          <t>8505 11 10</t>
        </is>
      </c>
      <c r="E4" s="8" t="n">
        <v>100</v>
      </c>
      <c r="F4" s="8" t="n">
        <v>43.2</v>
      </c>
      <c r="G4" s="8" t="n">
        <v>44.4</v>
      </c>
      <c r="H4" s="8" t="n">
        <v>45.39</v>
      </c>
      <c r="I4" s="8" t="n">
        <v>11.8</v>
      </c>
      <c r="J4" s="8" t="n">
        <v>1180</v>
      </c>
    </row>
    <row r="5">
      <c r="A5" s="8" t="inlineStr">
        <is>
          <t>HANGZHOU ONTIME I.T. CO., LTD. (CN)</t>
        </is>
      </c>
      <c r="B5" s="8" t="inlineStr">
        <is>
          <t>DT4013</t>
        </is>
      </c>
      <c r="C5" s="8" t="inlineStr">
        <is>
          <t>DT054: DOME DETACHER</t>
        </is>
      </c>
      <c r="D5" s="8" t="inlineStr">
        <is>
          <t>8505 11 10</t>
        </is>
      </c>
      <c r="E5" s="8" t="n">
        <v>50</v>
      </c>
      <c r="F5" s="8" t="n">
        <v>20.4</v>
      </c>
      <c r="G5" s="8" t="n">
        <v>21</v>
      </c>
      <c r="H5" s="8" t="n">
        <v>21.468</v>
      </c>
      <c r="I5" s="8" t="n">
        <v>14.4</v>
      </c>
      <c r="J5" s="8" t="n">
        <v>720</v>
      </c>
    </row>
    <row r="6">
      <c r="A6" s="8" t="inlineStr">
        <is>
          <t>HANGZHOU ONTIME I.T. CO., LTD. (CN)</t>
        </is>
      </c>
      <c r="B6" s="8" t="inlineStr">
        <is>
          <t>DT4052</t>
        </is>
      </c>
      <c r="C6" s="8" t="inlineStr">
        <is>
          <t>SENSORMATIC SUPER TAG HAND DETACHER WITHOUT LOGO</t>
        </is>
      </c>
      <c r="D6" s="8" t="inlineStr">
        <is>
          <t>8203 20 00 00</t>
        </is>
      </c>
      <c r="E6" s="8" t="n">
        <v>30</v>
      </c>
      <c r="F6" s="8" t="n">
        <v>13.5</v>
      </c>
      <c r="G6" s="8" t="n">
        <v>15.3</v>
      </c>
      <c r="H6" s="8" t="n">
        <v>15.641</v>
      </c>
      <c r="I6" s="8" t="n">
        <v>10</v>
      </c>
      <c r="J6" s="8" t="n">
        <v>300</v>
      </c>
    </row>
    <row r="7">
      <c r="A7" s="8" t="inlineStr">
        <is>
          <t>HANGZHOU ONTIME I.T. CO., LTD. (CN)</t>
        </is>
      </c>
      <c r="B7" s="8" t="inlineStr">
        <is>
          <t>DT4086-1</t>
        </is>
      </c>
      <c r="C7" s="8" t="inlineStr">
        <is>
          <t>SUPER DETACHER WITH LANYARD, WITH LID AND KEY</t>
        </is>
      </c>
      <c r="D7" s="8" t="inlineStr">
        <is>
          <t>8505 11 10</t>
        </is>
      </c>
      <c r="E7" s="8" t="n">
        <v>30</v>
      </c>
      <c r="F7" s="8" t="n">
        <v>7.4</v>
      </c>
      <c r="G7" s="8" t="n">
        <v>8</v>
      </c>
      <c r="H7" s="8" t="n">
        <v>8.178000000000001</v>
      </c>
      <c r="I7" s="8" t="n">
        <v>15.5</v>
      </c>
      <c r="J7" s="8" t="n">
        <v>465</v>
      </c>
    </row>
    <row r="8">
      <c r="A8" s="8" t="inlineStr">
        <is>
          <t>HANGZHOU ONTIME I.T. CO., LTD. (CN)</t>
        </is>
      </c>
      <c r="B8" s="8" t="inlineStr">
        <is>
          <t>DT4121</t>
        </is>
      </c>
      <c r="C8" s="8" t="inlineStr">
        <is>
          <t>DT4121 MULTI-FUNCTION DETACHER SUPER DETACHER(10000GS)+S3 DETACHER BLACK BLACK</t>
        </is>
      </c>
      <c r="D8" s="8" t="inlineStr">
        <is>
          <t>8505 11 10</t>
        </is>
      </c>
      <c r="E8" s="8" t="n">
        <v>10</v>
      </c>
      <c r="F8" s="8" t="n">
        <v>3.7</v>
      </c>
      <c r="G8" s="8" t="n">
        <v>4.3</v>
      </c>
      <c r="H8" s="8" t="n">
        <v>4.396</v>
      </c>
      <c r="I8" s="8" t="n">
        <v>15.5</v>
      </c>
      <c r="J8" s="8" t="n">
        <v>155</v>
      </c>
    </row>
    <row r="9">
      <c r="A9" s="8" t="inlineStr">
        <is>
          <t>HANGZHOU ONTIME I.T. CO., LTD. (CN)</t>
        </is>
      </c>
      <c r="B9" s="8" t="inlineStr">
        <is>
          <t>HD2029</t>
        </is>
      </c>
      <c r="C9" s="8" t="inlineStr">
        <is>
          <t>MINI PENCIL 50*14*20MM NORMAL LOCK 33MM FERRITE 58K GREY</t>
        </is>
      </c>
      <c r="D9" s="8" t="inlineStr">
        <is>
          <t>8531 90 00 00</t>
        </is>
      </c>
      <c r="E9" s="8" t="n">
        <v>100000</v>
      </c>
      <c r="F9" s="8" t="n">
        <v>710</v>
      </c>
      <c r="G9" s="8" t="n">
        <v>770</v>
      </c>
      <c r="H9" s="8" t="n">
        <v>787.173</v>
      </c>
      <c r="I9" s="8" t="n">
        <v>0.036</v>
      </c>
      <c r="J9" s="8" t="n">
        <v>3600</v>
      </c>
    </row>
    <row r="10">
      <c r="A10" s="8" t="inlineStr">
        <is>
          <t>HANGZHOU ONTIME I.T. CO., LTD. (CN)</t>
        </is>
      </c>
      <c r="B10" s="8" t="inlineStr">
        <is>
          <t>HD2091</t>
        </is>
      </c>
      <c r="C10" s="8" t="inlineStr">
        <is>
          <t>HDP674-ST: PICCO 50 8.2MHZ SUPER LOCK WHITE 16MMS</t>
        </is>
      </c>
      <c r="D10" s="8" t="inlineStr">
        <is>
          <t>8531 90 00 00</t>
        </is>
      </c>
      <c r="E10" s="8" t="n">
        <v>20000</v>
      </c>
      <c r="F10" s="8" t="n">
        <v>280</v>
      </c>
      <c r="G10" s="8" t="n">
        <v>304</v>
      </c>
      <c r="H10" s="8" t="n">
        <v>310.78</v>
      </c>
      <c r="I10" s="8" t="n">
        <v>0.0572</v>
      </c>
      <c r="J10" s="8" t="n">
        <v>1144</v>
      </c>
    </row>
    <row r="11">
      <c r="A11" s="8" t="inlineStr">
        <is>
          <t>HANGZHOU ONTIME I.T. CO., LTD. (CN)</t>
        </is>
      </c>
      <c r="B11" s="8" t="inlineStr">
        <is>
          <t>HD2105</t>
        </is>
      </c>
      <c r="C11" s="8" t="inlineStr">
        <is>
          <t>HDL610: MICKEY PENCIL-B WITH LANYARD 8.2MHZ SUPER LOCK BLACK CABLE LENGTH 175MM 16MM GROOVED PIN</t>
        </is>
      </c>
      <c r="D11" s="8" t="inlineStr">
        <is>
          <t>8531 90 00 00</t>
        </is>
      </c>
      <c r="E11" s="8" t="n">
        <v>5000</v>
      </c>
      <c r="F11" s="8" t="n">
        <v>53</v>
      </c>
      <c r="G11" s="8" t="n">
        <v>56</v>
      </c>
      <c r="H11" s="8" t="n">
        <v>57.249</v>
      </c>
      <c r="I11" s="8" t="n">
        <v>0.08</v>
      </c>
      <c r="J11" s="8" t="n">
        <v>400</v>
      </c>
    </row>
    <row r="12">
      <c r="A12" s="8" t="inlineStr">
        <is>
          <t>HANGZHOU ONTIME I.T. CO., LTD. (CN)</t>
        </is>
      </c>
      <c r="B12" s="8" t="inlineStr">
        <is>
          <t>HD2071</t>
        </is>
      </c>
      <c r="C12" s="8" t="inlineStr">
        <is>
          <t>HD740: STOP LOCK NORMAL LOCK BLACK</t>
        </is>
      </c>
      <c r="D12" s="8" t="inlineStr">
        <is>
          <t>8531 90 00 00</t>
        </is>
      </c>
      <c r="E12" s="8" t="n">
        <v>1000</v>
      </c>
      <c r="F12" s="8" t="n">
        <v>5.7</v>
      </c>
      <c r="G12" s="8" t="n">
        <v>6.3</v>
      </c>
      <c r="H12" s="8" t="n">
        <v>6.441</v>
      </c>
      <c r="I12" s="8" t="n">
        <v>0.0467</v>
      </c>
      <c r="J12" s="8" t="n">
        <v>46.7</v>
      </c>
    </row>
    <row r="13">
      <c r="A13" s="8" t="inlineStr">
        <is>
          <t>HANGZHOU ONTIME I.T. CO., LTD. (CN)</t>
        </is>
      </c>
      <c r="B13" s="8" t="inlineStr">
        <is>
          <t>LD3603</t>
        </is>
      </c>
      <c r="C13" s="8" t="inlineStr">
        <is>
          <t>LD046: LANYARD BLACK CABLE LENGTH 175MM 16MM GROOVED PIN</t>
        </is>
      </c>
      <c r="D13" s="8" t="inlineStr">
        <is>
          <t>7312 90 00 00</t>
        </is>
      </c>
      <c r="E13" s="8" t="n">
        <v>200000</v>
      </c>
      <c r="F13" s="8" t="n">
        <v>344</v>
      </c>
      <c r="G13" s="8" t="n">
        <v>368</v>
      </c>
      <c r="H13" s="8" t="n">
        <v>376.207</v>
      </c>
      <c r="I13" s="8" t="n">
        <v>0.0182</v>
      </c>
      <c r="J13" s="8" t="n">
        <v>3640</v>
      </c>
    </row>
    <row r="14">
      <c r="A14" s="8" t="inlineStr">
        <is>
          <t>HANGZHOU ONTIME I.T. CO., LTD. (CN)</t>
        </is>
      </c>
      <c r="B14" s="8" t="inlineStr">
        <is>
          <t>RL4601</t>
        </is>
      </c>
      <c r="C14" s="8" t="inlineStr">
        <is>
          <t>PL519: ROLL LABELS 8.2MHZ BARCODE DEACTIVABLE 40*40MM 2000PCS PER ROLL WITHOUT LOGO</t>
        </is>
      </c>
      <c r="D14" s="8" t="inlineStr">
        <is>
          <t>8534 00 19 00</t>
        </is>
      </c>
      <c r="E14" s="8" t="n">
        <v>1000000</v>
      </c>
      <c r="F14" s="8" t="n">
        <v>460</v>
      </c>
      <c r="G14" s="8" t="n">
        <v>490</v>
      </c>
      <c r="H14" s="8" t="n">
        <v>500.928</v>
      </c>
      <c r="I14" s="8" t="n">
        <v>0.0048</v>
      </c>
      <c r="J14" s="8" t="n">
        <v>4800</v>
      </c>
    </row>
    <row r="15">
      <c r="A15" s="8" t="inlineStr">
        <is>
          <t>HANGZHOU ONTIME I.T. CO., LTD. (CN)</t>
        </is>
      </c>
      <c r="B15" s="8" t="inlineStr">
        <is>
          <t>RL4601</t>
        </is>
      </c>
      <c r="C15" s="8" t="inlineStr">
        <is>
          <t>PL519: ROLL LABELS 8.2MHZ BARCODE DEACTIVABLE 40*40MM 1000PCS PER ROLL WITHOUT LOGO</t>
        </is>
      </c>
      <c r="D15" s="8" t="inlineStr">
        <is>
          <t>8534 00 19 00</t>
        </is>
      </c>
      <c r="E15" s="8" t="n">
        <v>3000000</v>
      </c>
      <c r="F15" s="8" t="n">
        <v>1380</v>
      </c>
      <c r="G15" s="8" t="n">
        <v>1470</v>
      </c>
      <c r="H15" s="8" t="n">
        <v>1502.784</v>
      </c>
      <c r="I15" s="8" t="n">
        <v>0.0048</v>
      </c>
      <c r="J15" s="8" t="n">
        <v>14400</v>
      </c>
    </row>
    <row r="16">
      <c r="A16" s="8" t="inlineStr">
        <is>
          <t>HANGZHOU ONTIME I.T. CO., LTD. (CN)</t>
        </is>
      </c>
      <c r="B16" s="8" t="inlineStr">
        <is>
          <t>RL4604</t>
        </is>
      </c>
      <c r="C16" s="8" t="inlineStr">
        <is>
          <t>PL686: 3*3 ROLL LABEL 8.2MHZ WHITE DEACTIVABLE 1000PCS PER ROLL WITHOUT LOGO</t>
        </is>
      </c>
      <c r="D16" s="8" t="inlineStr">
        <is>
          <t>8534 00 19 00</t>
        </is>
      </c>
      <c r="E16" s="8" t="n">
        <v>1000000</v>
      </c>
      <c r="F16" s="8" t="n">
        <v>305</v>
      </c>
      <c r="G16" s="8" t="n">
        <v>335</v>
      </c>
      <c r="H16" s="8" t="n">
        <v>342.471</v>
      </c>
      <c r="I16" s="8" t="n">
        <v>0.0056</v>
      </c>
      <c r="J16" s="8" t="n">
        <v>5600</v>
      </c>
    </row>
    <row r="17">
      <c r="A17" s="8" t="inlineStr">
        <is>
          <t>HANGZHOU ONTIME I.T. CO., LTD. (CN)</t>
        </is>
      </c>
      <c r="B17" s="8" t="inlineStr">
        <is>
          <t>RL4641</t>
        </is>
      </c>
      <c r="C17" s="8" t="inlineStr">
        <is>
          <t>ROUND RF LABEL 8.2MHZ WHITE DEACTIVABLE 1000PCS PER ROLL WITHOUT LOGO</t>
        </is>
      </c>
      <c r="D17" s="8" t="inlineStr">
        <is>
          <t>8534 00 19 00</t>
        </is>
      </c>
      <c r="E17" s="8" t="n">
        <v>300000</v>
      </c>
      <c r="F17" s="8" t="n">
        <v>91.5</v>
      </c>
      <c r="G17" s="8" t="n">
        <v>100.5</v>
      </c>
      <c r="H17" s="8" t="n">
        <v>102.741</v>
      </c>
      <c r="I17" s="8" t="n">
        <v>0.0056</v>
      </c>
      <c r="J17" s="8" t="n">
        <v>1680</v>
      </c>
    </row>
    <row r="18">
      <c r="A18" s="8" t="inlineStr">
        <is>
          <t>HANGZHOU ONTIME I.T. CO., LTD. (CN)</t>
        </is>
      </c>
      <c r="B18" s="8" t="inlineStr">
        <is>
          <t>RL4601</t>
        </is>
      </c>
      <c r="C18" s="8" t="inlineStr">
        <is>
          <t>PL519: ROLL LABELS 8.2MHZ BARCODE DEACTIVABLE 40*40MM 500PCS PER ROLL WITHOUT LOGO</t>
        </is>
      </c>
      <c r="D18" s="8" t="inlineStr">
        <is>
          <t>8534 00 19 00</t>
        </is>
      </c>
      <c r="E18" s="8" t="n">
        <v>200000</v>
      </c>
      <c r="F18" s="8" t="n">
        <v>103</v>
      </c>
      <c r="G18" s="8" t="n">
        <v>109</v>
      </c>
      <c r="H18" s="8" t="n">
        <v>111.431</v>
      </c>
      <c r="I18" s="8" t="n">
        <v>0.0048</v>
      </c>
      <c r="J18" s="8" t="n">
        <v>960</v>
      </c>
    </row>
    <row r="19">
      <c r="A19" s="8" t="inlineStr">
        <is>
          <t>HANGZHOU ONTIME I.T. CO., LTD. (CN)</t>
        </is>
      </c>
      <c r="B19" s="8" t="inlineStr">
        <is>
          <t>BD3311</t>
        </is>
      </c>
      <c r="C19" s="8" t="inlineStr">
        <is>
          <t>SHELL TAG 58KHZ WHITE SL RED&amp;YELLOW INK(2 RED+1 YELLOW) 16MM SMOOTH PIN</t>
        </is>
      </c>
      <c r="D19" s="8" t="inlineStr">
        <is>
          <t>8531 90 00 00</t>
        </is>
      </c>
      <c r="E19" s="8" t="n">
        <v>500</v>
      </c>
      <c r="F19" s="8" t="n">
        <v>9</v>
      </c>
      <c r="G19" s="8" t="n">
        <v>9.6</v>
      </c>
      <c r="H19" s="8" t="n">
        <v>9.814</v>
      </c>
      <c r="I19" s="8" t="n">
        <v>0.116</v>
      </c>
      <c r="J19" s="8" t="n">
        <v>58</v>
      </c>
    </row>
    <row r="20">
      <c r="A20" s="8" t="inlineStr">
        <is>
          <t>HANGZHOU ONTIME I.T. CO., LTD. (CN)</t>
        </is>
      </c>
      <c r="B20" s="8" t="inlineStr">
        <is>
          <t>DL4402</t>
        </is>
      </c>
      <c r="C20" s="8" t="inlineStr">
        <is>
          <t>DL4402</t>
        </is>
      </c>
      <c r="D20" s="8" t="inlineStr">
        <is>
          <t>7616 99 90 (TARIC doplnit)</t>
        </is>
      </c>
      <c r="E20" s="8" t="n">
        <v>60</v>
      </c>
      <c r="F20" s="8" t="n">
        <v>1.7</v>
      </c>
      <c r="G20" s="8" t="n">
        <v>2.3</v>
      </c>
      <c r="H20" s="8" t="n">
        <v>2.351</v>
      </c>
      <c r="I20" s="8" t="n">
        <v>2.86</v>
      </c>
      <c r="J20" s="8" t="n">
        <v>171.6</v>
      </c>
    </row>
    <row r="21">
      <c r="A21" s="8" t="inlineStr">
        <is>
          <t>HANGZHOU ONTIME I.T. CO., LTD. (CN)</t>
        </is>
      </c>
      <c r="B21" s="8" t="inlineStr">
        <is>
          <t>AL4810</t>
        </is>
      </c>
      <c r="C21" s="8" t="inlineStr">
        <is>
          <t>AM LABEL 58KHZ BLACK DEACTIVATABLE</t>
        </is>
      </c>
      <c r="D21" s="8" t="inlineStr">
        <is>
          <t>8505 90 29 99</t>
        </is>
      </c>
      <c r="E21" s="8" t="n">
        <v>1000000</v>
      </c>
      <c r="F21" s="8" t="n">
        <v>535</v>
      </c>
      <c r="G21" s="8" t="n">
        <v>565</v>
      </c>
      <c r="H21" s="8" t="n">
        <v>577.601</v>
      </c>
      <c r="I21" s="8" t="n">
        <v>0.0055</v>
      </c>
      <c r="J21" s="8" t="n">
        <v>5500</v>
      </c>
    </row>
    <row r="22">
      <c r="A22" s="8" t="inlineStr">
        <is>
          <t>HANGZHOU ONTIME I.T. CO., LTD. (CN)</t>
        </is>
      </c>
      <c r="B22" s="8" t="inlineStr">
        <is>
          <t>DT4096-2</t>
        </is>
      </c>
      <c r="C22" s="8" t="inlineStr">
        <is>
          <t>OPTICAL TAG DETACHER-8000GS</t>
        </is>
      </c>
      <c r="D22" s="8" t="inlineStr">
        <is>
          <t>8505 11 10</t>
        </is>
      </c>
      <c r="E22" s="8" t="n">
        <v>3</v>
      </c>
      <c r="F22" s="8" t="n">
        <v>1.2</v>
      </c>
      <c r="G22" s="8" t="n">
        <v>1.8</v>
      </c>
      <c r="H22" s="8" t="n">
        <v>1.84</v>
      </c>
      <c r="I22" s="8" t="n">
        <v>18</v>
      </c>
      <c r="J22" s="8" t="n">
        <v>54</v>
      </c>
    </row>
    <row r="23">
      <c r="A23" s="2" t="inlineStr">
        <is>
          <t>CELKEM</t>
        </is>
      </c>
      <c r="E23" s="2">
        <f>SUM(E2:E22)</f>
        <v/>
      </c>
      <c r="F23" s="2">
        <f>SUM(F2:F22)</f>
        <v/>
      </c>
      <c r="G23" s="2">
        <f>SUM(G2:G22)</f>
        <v/>
      </c>
      <c r="H23" s="2">
        <f>SUM(H2:H22)</f>
        <v/>
      </c>
      <c r="J23" s="2">
        <f>SUM(J2:J22)</f>
        <v/>
      </c>
    </row>
    <row r="24">
      <c r="A24" t="inlineStr">
        <is>
          <t>Palety (7 ks)</t>
        </is>
      </c>
      <c r="G24" t="n">
        <v>105.5</v>
      </c>
    </row>
    <row r="25">
      <c r="A25" t="inlineStr">
        <is>
          <t>Kontrola PL/B-L: hrubá 4 836,00 kg, čistá 4 413,70 kg, 6 828 983 ks; faktura TOTAL € 45 318,50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2">
        <f>== PŘIJATÉ DOKUMENTY ===</f>
        <v/>
      </c>
    </row>
    <row r="2">
      <c r="A2" t="inlineStr">
        <is>
          <t>✓ Obchodní faktura PI24200070026058&amp;061A&amp;062 (8.9.2026) – TOTAL € 45 318,50, CFR PRAGUE, MADE IN CHINA</t>
        </is>
      </c>
    </row>
    <row r="3">
      <c r="A3" t="inlineStr">
        <is>
          <t>✓ Packing list PI24200070026058&amp;061A&amp;062 – 528 ktn / 7 palet, GW 4 836,00 kg, NW 4 413,70 kg, 13,93 CBM</t>
        </is>
      </c>
    </row>
    <row r="4">
      <c r="A4" t="inlineStr">
        <is>
          <t>✓ Forwarder's Certificate of Receipt WPXA26B0912CZ320 (WJ Tiebida) – vlak 0916, kontejner FORU3330710/345340 40HC, 4 836 kg</t>
        </is>
      </c>
    </row>
    <row r="5">
      <c r="A5" t="inlineStr">
        <is>
          <t>✓ Statement dodavatele (18.9.2026) – zboží kap. 72/73 nepochází z Ruska, nebylo z Ruska vyvezeno a nebylo zpracováno z ruského železa/oceli (7206–7229, kap. 73) – čl. 3g nař. 833/2014</t>
        </is>
      </c>
    </row>
    <row r="6">
      <c r="A6" t="inlineStr">
        <is>
          <t>✓ Instrukce klienta s HS kódy a CZ popisy – instrukce_18.9.2026.xlsx (Kateřina Buckingham)</t>
        </is>
      </c>
    </row>
    <row r="7">
      <c r="A7" t="inlineStr"/>
    </row>
    <row r="8">
      <c r="A8" s="2">
        <f>== HS KÓDY – dle instrukce klienta ===</f>
        <v/>
      </c>
    </row>
    <row r="9">
      <c r="A9" t="inlineStr">
        <is>
          <t xml:space="preserve">  8531 90 00 00 – AS1029, BT3010, BD3311, HD2029, HD2091, HD2105, HD2071 (ověřit 10místný kód v TARIC)</t>
        </is>
      </c>
    </row>
    <row r="10">
      <c r="A10" t="inlineStr">
        <is>
          <t xml:space="preserve">  8505 90 29 99 – AL4810</t>
        </is>
      </c>
    </row>
    <row r="11">
      <c r="A11" t="inlineStr">
        <is>
          <t xml:space="preserve">  8534 00 19 00 – RL4601, RL4604, RL4641</t>
        </is>
      </c>
    </row>
    <row r="12">
      <c r="A12" t="inlineStr">
        <is>
          <t xml:space="preserve">  8505 11 10 – DT4010, DT4013, DT4086-1, DT4121, DT4096-2 (⚠️ jen 8 míst – doplnit TARIC)</t>
        </is>
      </c>
    </row>
    <row r="13">
      <c r="A13" t="inlineStr">
        <is>
          <t xml:space="preserve">  8203 20 00 00 – DT4052 (ruční kleště, nemagnetický)</t>
        </is>
      </c>
    </row>
    <row r="14">
      <c r="A14" t="inlineStr">
        <is>
          <t xml:space="preserve">  7312 90 00 00 – LD3603</t>
        </is>
      </c>
    </row>
    <row r="15">
      <c r="A15" t="inlineStr">
        <is>
          <t xml:space="preserve">  ⚠️ 7616 99 90 – DL4402 – zařazeno CCT/VPV KN tariff rule (klient uvedl 3926 90 97 90 ???, což nesedí – kovové víčko hliník + železo). Čeká na potvrzení Kateřiny.</t>
        </is>
      </c>
    </row>
    <row r="16">
      <c r="A16" t="inlineStr">
        <is>
          <t xml:space="preserve">     Katalog Ontime: DL4402 = DETACHER LID, Ø21×34 mm, T-klička, bez klíče (ne 8301). Převažující kov dle hmotnosti (28 g/ks) = hliník → 7616 99 90.</t>
        </is>
      </c>
    </row>
    <row r="17">
      <c r="A17" t="inlineStr">
        <is>
          <t>Ostatní HS kódy pocházejí z instrukce klienta.</t>
        </is>
      </c>
    </row>
    <row r="18">
      <c r="A18" t="inlineStr"/>
    </row>
    <row r="19">
      <c r="A19" s="2">
        <f>== POPIS ZBOŽÍ ===</f>
        <v/>
      </c>
    </row>
    <row r="20">
      <c r="A20" t="inlineStr">
        <is>
          <t>Český popis převzat doslovně z instrukce klienta.</t>
        </is>
      </c>
    </row>
    <row r="21">
      <c r="A21" t="inlineStr"/>
    </row>
    <row r="22">
      <c r="A22" s="2">
        <f>== INCOTERM ===</f>
        <v/>
      </c>
    </row>
    <row r="23">
      <c r="A23" t="inlineStr">
        <is>
          <t>CFR Prague (CFR Praha) – na faktuře v poli PAYMENT TERM. Pozn.: CFR je doložka pro námořní dopravu, zde použita pro železnici.</t>
        </is>
      </c>
    </row>
    <row r="24">
      <c r="A24" t="inlineStr">
        <is>
          <t>Celní hodnota: cena obsahuje dopravu až do Prahy; náklady na dopravu po vstupu do EU lze odečíst jen pokud jsou doloženy odděleně. Pojištění není uvedeno.</t>
        </is>
      </c>
    </row>
    <row r="25">
      <c r="A25" t="inlineStr"/>
    </row>
    <row r="26">
      <c r="A26" s="2">
        <f>== PREFERENČNÍ PŮVOD / REX ===</f>
        <v/>
      </c>
    </row>
    <row r="27">
      <c r="A27" t="inlineStr">
        <is>
          <t>Preferenční věta: NENÍ – v dokladech není žádné prohlášení o preferenčním původu. Čína nemá s EU preferenční dohodu → běžné clo třetí země.</t>
        </is>
      </c>
    </row>
    <row r="28">
      <c r="A28" t="inlineStr">
        <is>
          <t>REX číslo: NENÍ uvedeno na faktuře.</t>
        </is>
      </c>
    </row>
    <row r="29">
      <c r="A29" t="inlineStr"/>
    </row>
    <row r="30">
      <c r="A30" s="2">
        <f>== CBAM ===</f>
        <v/>
      </c>
    </row>
    <row r="31">
      <c r="A31" t="inlineStr">
        <is>
          <t>CBAM zboží: DL4402 – 7616 99 90 (hliník), 60 ks, 1,70 kg NW → do JSD uvést Y137. Ostatní kódy klienta nejsou CBAM (7312 90 není v příloze I).</t>
        </is>
      </c>
    </row>
    <row r="32">
      <c r="A32" t="inlineStr">
        <is>
          <t>Příjemce V-TOP EUROPE s.r.o. je v CBAM_receivers_CZ.xlsx: EORI CZ25795040, Y KÓD = Y137 (do 50 t ročně); povolení ani žádost nejsou; datum vydání neuvedeno; sloupec H: 25MWCCCIM008782.</t>
        </is>
      </c>
    </row>
    <row r="33">
      <c r="A33" t="inlineStr"/>
    </row>
    <row r="34">
      <c r="A34" s="2">
        <f>== MELT AND POUR (země tavby a odlití) ===</f>
        <v/>
      </c>
    </row>
    <row r="35">
      <c r="A35" t="inlineStr">
        <is>
          <t>Ocelová lanka 7312 90 00 00 (LD3603) – NUTNO doložit zemi tavby a odlití + hutní atest (mill test certificate).</t>
        </is>
      </c>
    </row>
    <row r="36">
      <c r="A36" t="inlineStr">
        <is>
          <t>V dokladech CHYBÍ – statement dodavatele řeší jen ruský původ (sankce), zemi tavby a odlití neuvádí. → Vyžádat hutní atest před proclením.</t>
        </is>
      </c>
    </row>
    <row r="37">
      <c r="A37" t="inlineStr">
        <is>
          <t>DL4402 zařazeno jako hliník (7616) – melt &amp; pour se netýká.</t>
        </is>
      </c>
    </row>
    <row r="38">
      <c r="A38" t="inlineStr">
        <is>
          <t>Země tavby a odlití ≠ země původu (CN) – evidovat zvlášť.</t>
        </is>
      </c>
    </row>
    <row r="39">
      <c r="A39" t="inlineStr"/>
    </row>
    <row r="40">
      <c r="A40" s="2">
        <f>== ANTIDUMPING ===</f>
        <v/>
      </c>
    </row>
    <row r="41">
      <c r="A41" t="inlineStr">
        <is>
          <t>Pro kódy klienta nebylo identifikováno antidumpingové clo – ověřit v TARIC. AD clo na ocelová lana z ČLR se týká 7312 10, ne 7312 90.</t>
        </is>
      </c>
    </row>
    <row r="42">
      <c r="A42" t="inlineStr"/>
    </row>
    <row r="43">
      <c r="A43" s="2">
        <f>== HMOTNOSTI ===</f>
        <v/>
      </c>
    </row>
    <row r="44">
      <c r="A44" t="inlineStr">
        <is>
          <t>Čistá hmotnost celkem: 4 413,70 kg (PL). Hrubá hmotnost celkem: 4 836,00 kg (PL + B/L) = kartony 4 730,50 kg + 7 palet 105,50 kg.</t>
        </is>
      </c>
    </row>
    <row r="45">
      <c r="A45" t="inlineStr">
        <is>
          <t>Hrubá hmotnost na HS kód: kartony dle PL + palety rozpočítány proporcionálně.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2026-10-15T10:47:17Z</dcterms:created>
  <dcterms:modified xmlns:dcterms="http://purl.org/dc/terms/" xmlns:xsi="http://www.w3.org/2001/XMLSchema-instance" xsi:type="dcterms:W3CDTF">2026-10-15T10:47:17Z</dcterms:modified>
</cp:coreProperties>
</file>