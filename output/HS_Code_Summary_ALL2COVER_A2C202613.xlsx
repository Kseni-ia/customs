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Detail položek" sheetId="2" state="visible" r:id="rId2"/>
    <sheet name="Dokumenty a poznámk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5700"/>
    </font>
    <font>
      <b val="1"/>
    </font>
    <font>
      <b val="1"/>
      <color rgb="001F3864"/>
      <sz val="11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3" fontId="3" fillId="4" borderId="1" applyAlignment="1" pivotButton="0" quotePrefix="0" xfId="0">
      <alignment vertical="top" wrapText="1"/>
    </xf>
    <xf numFmtId="4" fontId="3" fillId="4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46" customWidth="1" min="3" max="3"/>
    <col width="16" customWidth="1" min="4" max="4"/>
    <col width="13" customWidth="1" min="5" max="5"/>
    <col width="15" customWidth="1" min="6" max="6"/>
    <col width="16" customWidth="1" min="7" max="7"/>
    <col width="16" customWidth="1" min="8" max="8"/>
    <col width="14" customWidth="1" min="9" max="9"/>
    <col width="16" customWidth="1" min="10" max="10"/>
    <col width="15" customWidth="1" min="11" max="11"/>
    <col width="62" customWidth="1" min="12" max="12"/>
  </cols>
  <sheetData>
    <row r="1">
      <c r="A1" s="1" t="inlineStr">
        <is>
          <t>Odesílatel</t>
        </is>
      </c>
      <c r="B1" s="1" t="inlineStr">
        <is>
          <t>HS kód (KN 8)</t>
        </is>
      </c>
      <c r="C1" s="1" t="inlineStr">
        <is>
          <t>Popis zboží (CZ)</t>
        </is>
      </c>
      <c r="D1" s="1" t="inlineStr">
        <is>
          <t>Země původu (COO)</t>
        </is>
      </c>
      <c r="E1" s="1" t="inlineStr">
        <is>
          <t>Množství (ks)</t>
        </is>
      </c>
      <c r="F1" s="1" t="inlineStr">
        <is>
          <t>Čistá hmotnost (kg)</t>
        </is>
      </c>
      <c r="G1" s="1" t="inlineStr">
        <is>
          <t>Hrubá hmotnost (kg)</t>
        </is>
      </c>
      <c r="H1" s="1" t="inlineStr">
        <is>
          <t>Celní hodnota (EUR)</t>
        </is>
      </c>
      <c r="I1" s="1" t="inlineStr">
        <is>
          <t>Incoterm</t>
        </is>
      </c>
      <c r="J1" s="1" t="inlineStr">
        <is>
          <t>Palety / objem (m³)</t>
        </is>
      </c>
      <c r="K1" s="1" t="inlineStr">
        <is>
          <t>Příznak</t>
        </is>
      </c>
      <c r="L1" s="1" t="inlineStr">
        <is>
          <t>TARIC / poznámka / CBAM / Antidumping</t>
        </is>
      </c>
    </row>
    <row r="2">
      <c r="A2" s="2" t="inlineStr">
        <is>
          <t>SHANGHAI KELEIMANG IMP &amp; EXP CO., LTD.</t>
        </is>
      </c>
      <c r="B2" s="2" t="inlineStr">
        <is>
          <t>70109099</t>
        </is>
      </c>
      <c r="C2" s="2" t="inlineStr">
        <is>
          <t>Skleněné lékovky a dózy z hnědého (amber) skla, vč. povrchové úpravy (zmatnění) – skleněné obaly pro dopravu a balení zboží</t>
        </is>
      </c>
      <c r="D2" s="2" t="inlineStr">
        <is>
          <t>Čína (CN)</t>
        </is>
      </c>
      <c r="E2" s="3" t="n">
        <v>154632</v>
      </c>
      <c r="F2" s="4" t="n">
        <v>19256.6</v>
      </c>
      <c r="G2" s="4" t="n">
        <v>20339.4</v>
      </c>
      <c r="H2" s="4" t="n">
        <v>13021.47</v>
      </c>
      <c r="I2" s="2" t="inlineStr">
        <is>
          <t>FOB Qingdao</t>
        </is>
      </c>
      <c r="J2" s="2" t="inlineStr">
        <is>
          <t>41 pal. / 60.54 m³</t>
        </is>
      </c>
      <c r="K2" s="5" t="inlineStr">
        <is>
          <t>BEZ PREFERENCE</t>
        </is>
      </c>
      <c r="L2" s="2" t="inlineStr">
        <is>
          <t>Skleněné nádoby pro dopravu/balení, z barevného skla, jmenovitý objem &lt; 2,5 l (KN 7010 90 99). Původ ČÍNA – bez preferenční věty, bez REX → uplatní se všeobecná sazba cla pro třetí země dle TARIC (ověřit k datu podání JSD). CBAM se nevztahuje (sklo není v příloze I nařízení CBAM). Antidumpingové clo na KN 7010 z ČLR není evidováno – před podáním ověřit v TARIC.</t>
        </is>
      </c>
    </row>
    <row r="3">
      <c r="A3" s="2" t="inlineStr">
        <is>
          <t>SHANGHAI KELEIMANG IMP &amp; EXP CO., LTD.</t>
        </is>
      </c>
      <c r="B3" s="2" t="inlineStr">
        <is>
          <t>70109091</t>
        </is>
      </c>
      <c r="C3" s="2" t="inlineStr">
        <is>
          <t>Skleněné lékovky z čirého (bezbarvého) skla – skleněné obaly pro dopravu a balení zboží</t>
        </is>
      </c>
      <c r="D3" s="2" t="inlineStr">
        <is>
          <t>Čína (CN)</t>
        </is>
      </c>
      <c r="E3" s="3" t="n">
        <v>13200</v>
      </c>
      <c r="F3" s="4" t="n">
        <v>620</v>
      </c>
      <c r="G3" s="4" t="n">
        <v>645</v>
      </c>
      <c r="H3" s="4" t="n">
        <v>492.36</v>
      </c>
      <c r="I3" s="2" t="inlineStr">
        <is>
          <t>FOB Qingdao</t>
        </is>
      </c>
      <c r="J3" s="2" t="inlineStr">
        <is>
          <t>1 pal. / 1.36 m³</t>
        </is>
      </c>
      <c r="K3" s="5" t="inlineStr">
        <is>
          <t>BEZ PREFERENCE</t>
        </is>
      </c>
      <c r="L3" s="2" t="inlineStr">
        <is>
          <t>Skleněné nádoby pro dopravu/balení, z bezbarvého skla, jmenovitý objem &lt; 2,5 l (KN 7010 90 91). Původ ČÍNA – bez preferenční věty, bez REX → uplatní se všeobecná sazba cla pro třetí země dle TARIC (ověřit k datu podání JSD). CBAM se nevztahuje (sklo není v příloze I nařízení CBAM). Antidumpingové clo na KN 7010 z ČLR není evidováno – před podáním ověřit v TARIC.</t>
        </is>
      </c>
    </row>
    <row r="4">
      <c r="A4" s="6" t="inlineStr">
        <is>
          <t>CELKEM</t>
        </is>
      </c>
      <c r="B4" s="6" t="inlineStr"/>
      <c r="C4" s="6" t="inlineStr"/>
      <c r="D4" s="6" t="inlineStr"/>
      <c r="E4" s="7" t="n">
        <v>167832</v>
      </c>
      <c r="F4" s="8" t="n">
        <v>19876.6</v>
      </c>
      <c r="G4" s="8" t="n">
        <v>20984.4</v>
      </c>
      <c r="H4" s="8" t="n">
        <v>13513.83</v>
      </c>
      <c r="I4" s="6" t="inlineStr">
        <is>
          <t>FOB Qingdao</t>
        </is>
      </c>
      <c r="J4" s="6" t="inlineStr">
        <is>
          <t>42 pal. / 61.9 m³</t>
        </is>
      </c>
      <c r="K4" s="6" t="inlineStr"/>
      <c r="L4" s="6" t="inlineStr"/>
    </row>
    <row r="6">
      <c r="A6" s="9" t="inlineStr">
        <is>
          <t>Legenda / klíčové poznámky</t>
        </is>
      </c>
      <c r="C6" s="10" t="inlineStr"/>
    </row>
    <row r="7">
      <c r="A7" s="9" t="inlineStr">
        <is>
          <t>🟠 BEZ PREFERENCE</t>
        </is>
      </c>
      <c r="C7" s="10" t="inlineStr">
        <is>
          <t>Na faktuře NENÍ preferenční věta a NENÍ uvedeno REX číslo → nelze uplatnit preferenční sazbu; uplatní se všeobecná sazba cla pro třetí země (původ Čína).</t>
        </is>
      </c>
    </row>
    <row r="8">
      <c r="A8" s="9" t="inlineStr">
        <is>
          <t>Incoterm</t>
        </is>
      </c>
      <c r="C8" s="10" t="inlineStr">
        <is>
          <t>FOB Qingdao (dle faktury A2C202613: „Price based on: FOB Qingdao“). Pozor: do celní hodnoty je nutno připočíst náklady na dopravu a pojištění do místa vstupu do EU (FOB nezahrnuje).</t>
        </is>
      </c>
    </row>
    <row r="9">
      <c r="A9" s="9" t="inlineStr">
        <is>
          <t>Sleva</t>
        </is>
      </c>
      <c r="C9" s="10" t="inlineStr">
        <is>
          <t>Na faktuře NENÍ uvedena žádná obchodní sleva → proporcionální sleva se neuplatňuje.</t>
        </is>
      </c>
    </row>
    <row r="10">
      <c r="A10" s="9" t="inlineStr">
        <is>
          <t>CBAM</t>
        </is>
      </c>
      <c r="C10" s="10" t="inlineStr">
        <is>
          <t>Zásilka NEOBSAHUJE CBAM zboží (KN 7010 – sklo není v příloze I nař. (EU) 2023/956). Příjemce ALL2COVER, s.r.o. (EORI CZ21020809) NENÍ v registru reference/CBAM_receivers_CZ.xlsx.</t>
        </is>
      </c>
    </row>
    <row r="11">
      <c r="A11" s="9" t="inlineStr">
        <is>
          <t>Antidumping</t>
        </is>
      </c>
      <c r="C11" s="10" t="inlineStr">
        <is>
          <t>Pro KN 7010 (skleněné obaly) s původem ČLR není evidováno antidumpingové clo. Před podáním JSD ověřit v TARIC.</t>
        </is>
      </c>
    </row>
    <row r="12">
      <c r="A12" s="9" t="inlineStr">
        <is>
          <t>Konsolidace</t>
        </is>
      </c>
      <c r="C12" s="10" t="inlineStr">
        <is>
          <t>Zásilka má jediného odesílatele; 8 fakturačních položek sloučeno na 2 unikátní HS kódy.</t>
        </is>
      </c>
    </row>
    <row r="13">
      <c r="A13" s="9" t="inlineStr">
        <is>
          <t>Měna</t>
        </is>
      </c>
      <c r="C13" s="10" t="inlineStr">
        <is>
          <t>EUR – všechny hodnoty dle obchodní faktury č. A2C202613 ze dne 30.7.2026.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44" customWidth="1" min="3" max="3"/>
    <col width="52" customWidth="1" min="4" max="4"/>
    <col width="14" customWidth="1" min="5" max="5"/>
    <col width="13" customWidth="1" min="6" max="6"/>
    <col width="12" customWidth="1" min="7" max="7"/>
    <col width="16" customWidth="1" min="8" max="8"/>
    <col width="17" customWidth="1" min="9" max="9"/>
    <col width="11" customWidth="1" min="10" max="10"/>
    <col width="9" customWidth="1" min="11" max="11"/>
    <col width="14" customWidth="1" min="12" max="12"/>
  </cols>
  <sheetData>
    <row r="1">
      <c r="A1" s="1" t="inlineStr">
        <is>
          <t>Pol.</t>
        </is>
      </c>
      <c r="B1" s="1" t="inlineStr">
        <is>
          <t>Produktový kód</t>
        </is>
      </c>
      <c r="C1" s="1" t="inlineStr">
        <is>
          <t>REF# / položka faktury</t>
        </is>
      </c>
      <c r="D1" s="1" t="inlineStr">
        <is>
          <t>Popis zboží pro celní řízení (CZ)</t>
        </is>
      </c>
      <c r="E1" s="1" t="inlineStr">
        <is>
          <t>HS kód (KN 8)</t>
        </is>
      </c>
      <c r="F1" s="1" t="inlineStr">
        <is>
          <t>Země původu</t>
        </is>
      </c>
      <c r="G1" s="1" t="inlineStr">
        <is>
          <t>Počet kusů</t>
        </is>
      </c>
      <c r="H1" s="1" t="inlineStr">
        <is>
          <t>Čistá hmotnost (kg)</t>
        </is>
      </c>
      <c r="I1" s="1" t="inlineStr">
        <is>
          <t>Hrubá hmotnost (kg)</t>
        </is>
      </c>
      <c r="J1" s="1" t="inlineStr">
        <is>
          <t>Objem (m³)</t>
        </is>
      </c>
      <c r="K1" s="1" t="inlineStr">
        <is>
          <t>Palety</t>
        </is>
      </c>
      <c r="L1" s="1" t="inlineStr">
        <is>
          <t>Hodnota (EUR)</t>
        </is>
      </c>
    </row>
    <row r="2">
      <c r="A2" s="2" t="n">
        <v>1</v>
      </c>
      <c r="B2" s="2" t="inlineStr">
        <is>
          <t>GDBA0301S03</t>
        </is>
      </c>
      <c r="C2" s="2" t="inlineStr">
        <is>
          <t>30ZMD / 30ml amber dropper glass bottle, GL18</t>
        </is>
      </c>
      <c r="D2" s="2" t="inlineStr">
        <is>
          <t>Skleněná lékovka, vyrobeno z hnědého (amber) skla</t>
        </is>
      </c>
      <c r="E2" s="2" t="inlineStr">
        <is>
          <t>70109099</t>
        </is>
      </c>
      <c r="F2" s="2" t="inlineStr">
        <is>
          <t>Čína</t>
        </is>
      </c>
      <c r="G2" s="3" t="n">
        <v>26400</v>
      </c>
      <c r="H2" s="4" t="n">
        <v>1240</v>
      </c>
      <c r="I2" s="4" t="n">
        <v>1290</v>
      </c>
      <c r="J2" s="4" t="n">
        <v>2.71</v>
      </c>
      <c r="K2" s="2" t="n">
        <v>2</v>
      </c>
      <c r="L2" s="4" t="n">
        <v>924</v>
      </c>
    </row>
    <row r="3">
      <c r="A3" s="2" t="n">
        <v>2</v>
      </c>
      <c r="B3" s="2" t="inlineStr">
        <is>
          <t>GDBC0301S03</t>
        </is>
      </c>
      <c r="C3" s="2" t="inlineStr">
        <is>
          <t>30OQ / 30ml clear glass dropper bottle, GL18</t>
        </is>
      </c>
      <c r="D3" s="2" t="inlineStr">
        <is>
          <t>Skleněná lékovka, vyrobeno z čirého skla</t>
        </is>
      </c>
      <c r="E3" s="2" t="inlineStr">
        <is>
          <t>70109091</t>
        </is>
      </c>
      <c r="F3" s="2" t="inlineStr">
        <is>
          <t>Čína</t>
        </is>
      </c>
      <c r="G3" s="3" t="n">
        <v>13200</v>
      </c>
      <c r="H3" s="4" t="n">
        <v>620</v>
      </c>
      <c r="I3" s="4" t="n">
        <v>645</v>
      </c>
      <c r="J3" s="4" t="n">
        <v>1.36</v>
      </c>
      <c r="K3" s="2" t="n">
        <v>1</v>
      </c>
      <c r="L3" s="4" t="n">
        <v>492.36</v>
      </c>
    </row>
    <row r="4">
      <c r="A4" s="2" t="n">
        <v>3</v>
      </c>
      <c r="B4" s="2" t="inlineStr">
        <is>
          <t>GTJAF1201S03</t>
        </is>
      </c>
      <c r="C4" s="2" t="inlineStr">
        <is>
          <t>120PSSC / 120ml amber glass jar with frosted, 38-400</t>
        </is>
      </c>
      <c r="D4" s="2" t="inlineStr">
        <is>
          <t>Skleněná dóza, vyrobeno z hnědého (amber) skla, povrchová úprava (zmatnění)</t>
        </is>
      </c>
      <c r="E4" s="2" t="inlineStr">
        <is>
          <t>70109099</t>
        </is>
      </c>
      <c r="F4" s="2" t="inlineStr">
        <is>
          <t>Čína</t>
        </is>
      </c>
      <c r="G4" s="3" t="n">
        <v>10560</v>
      </c>
      <c r="H4" s="4" t="n">
        <v>1140</v>
      </c>
      <c r="I4" s="4" t="n">
        <v>1290</v>
      </c>
      <c r="J4" s="4" t="n">
        <v>4.36</v>
      </c>
      <c r="K4" s="2" t="n">
        <v>3</v>
      </c>
      <c r="L4" s="4" t="n">
        <v>1584</v>
      </c>
    </row>
    <row r="5">
      <c r="A5" s="2" t="n">
        <v>4</v>
      </c>
      <c r="B5" s="2" t="inlineStr">
        <is>
          <t>GTJA0751S03</t>
        </is>
      </c>
      <c r="C5" s="2" t="inlineStr">
        <is>
          <t>75PSSC / 75ml amber glass jar, 38-400</t>
        </is>
      </c>
      <c r="D5" s="2" t="inlineStr">
        <is>
          <t>Skleněná dóza, vyrobeno z hnědého (amber) skla</t>
        </is>
      </c>
      <c r="E5" s="2" t="inlineStr">
        <is>
          <t>70109099</t>
        </is>
      </c>
      <c r="F5" s="2" t="inlineStr">
        <is>
          <t>Čína</t>
        </is>
      </c>
      <c r="G5" s="3" t="n">
        <v>7488</v>
      </c>
      <c r="H5" s="4" t="n">
        <v>660</v>
      </c>
      <c r="I5" s="4" t="n">
        <v>690</v>
      </c>
      <c r="J5" s="4" t="n">
        <v>1.49</v>
      </c>
      <c r="K5" s="2" t="n">
        <v>1</v>
      </c>
      <c r="L5" s="4" t="n">
        <v>419.32</v>
      </c>
    </row>
    <row r="6">
      <c r="A6" s="2" t="n">
        <v>5</v>
      </c>
      <c r="B6" s="2" t="inlineStr">
        <is>
          <t>GTJA1501S03</t>
        </is>
      </c>
      <c r="C6" s="2" t="inlineStr">
        <is>
          <t>150PSSC / 150ml amber glass jar, 45-400</t>
        </is>
      </c>
      <c r="D6" s="2" t="inlineStr">
        <is>
          <t>Skleněná dóza, vyrobeno z hnědého (amber) skla</t>
        </is>
      </c>
      <c r="E6" s="2" t="inlineStr">
        <is>
          <t>70109099</t>
        </is>
      </c>
      <c r="F6" s="2" t="inlineStr">
        <is>
          <t>Čína</t>
        </is>
      </c>
      <c r="G6" s="3" t="n">
        <v>13464</v>
      </c>
      <c r="H6" s="4" t="n">
        <v>1591.2</v>
      </c>
      <c r="I6" s="4" t="n">
        <v>1668</v>
      </c>
      <c r="J6" s="4" t="n">
        <v>4.14</v>
      </c>
      <c r="K6" s="2" t="n">
        <v>3</v>
      </c>
      <c r="L6" s="4" t="n">
        <v>1055.57</v>
      </c>
    </row>
    <row r="7">
      <c r="A7" s="2" t="n">
        <v>6</v>
      </c>
      <c r="B7" s="2" t="inlineStr">
        <is>
          <t>GTJA1751S03</t>
        </is>
      </c>
      <c r="C7" s="2" t="inlineStr">
        <is>
          <t>175PSSC / 175ml amber glass jar, 45-400</t>
        </is>
      </c>
      <c r="D7" s="2" t="inlineStr">
        <is>
          <t>Skleněná dóza, vyrobeno z hnědého (amber) skla</t>
        </is>
      </c>
      <c r="E7" s="2" t="inlineStr">
        <is>
          <t>70109099</t>
        </is>
      </c>
      <c r="F7" s="2" t="inlineStr">
        <is>
          <t>Čína</t>
        </is>
      </c>
      <c r="G7" s="3" t="n">
        <v>47040</v>
      </c>
      <c r="H7" s="4" t="n">
        <v>6491.8</v>
      </c>
      <c r="I7" s="4" t="n">
        <v>6841.8</v>
      </c>
      <c r="J7" s="4" t="n">
        <v>21.08</v>
      </c>
      <c r="K7" s="2" t="n">
        <v>14</v>
      </c>
      <c r="L7" s="4" t="n">
        <v>3739.68</v>
      </c>
    </row>
    <row r="8">
      <c r="A8" s="2" t="n">
        <v>7</v>
      </c>
      <c r="B8" s="2" t="inlineStr">
        <is>
          <t>GTJA2001S03</t>
        </is>
      </c>
      <c r="C8" s="2" t="inlineStr">
        <is>
          <t>200PSSC / 200ml amber glass jar, 45-400</t>
        </is>
      </c>
      <c r="D8" s="2" t="inlineStr">
        <is>
          <t>Skleněná dóza, vyrobeno z hnědého (amber) skla</t>
        </is>
      </c>
      <c r="E8" s="2" t="inlineStr">
        <is>
          <t>70109099</t>
        </is>
      </c>
      <c r="F8" s="2" t="inlineStr">
        <is>
          <t>Čína</t>
        </is>
      </c>
      <c r="G8" s="3" t="n">
        <v>19440</v>
      </c>
      <c r="H8" s="4" t="n">
        <v>3028.8</v>
      </c>
      <c r="I8" s="4" t="n">
        <v>3180</v>
      </c>
      <c r="J8" s="4" t="n">
        <v>9.48</v>
      </c>
      <c r="K8" s="2" t="n">
        <v>6</v>
      </c>
      <c r="L8" s="4" t="n">
        <v>1772.92</v>
      </c>
    </row>
    <row r="9">
      <c r="A9" s="2" t="n">
        <v>8</v>
      </c>
      <c r="B9" s="2" t="inlineStr">
        <is>
          <t>GTJA2501S03</t>
        </is>
      </c>
      <c r="C9" s="2" t="inlineStr">
        <is>
          <t>250PSSC / 250ml amber glass jar, 45-400</t>
        </is>
      </c>
      <c r="D9" s="2" t="inlineStr">
        <is>
          <t>Skleněná dóza, vyrobeno z hnědého (amber) skla</t>
        </is>
      </c>
      <c r="E9" s="2" t="inlineStr">
        <is>
          <t>70109099</t>
        </is>
      </c>
      <c r="F9" s="2" t="inlineStr">
        <is>
          <t>Čína</t>
        </is>
      </c>
      <c r="G9" s="3" t="n">
        <v>30240</v>
      </c>
      <c r="H9" s="4" t="n">
        <v>5104.8</v>
      </c>
      <c r="I9" s="4" t="n">
        <v>5379.6</v>
      </c>
      <c r="J9" s="4" t="n">
        <v>17.28</v>
      </c>
      <c r="K9" s="2" t="n">
        <v>12</v>
      </c>
      <c r="L9" s="4" t="n">
        <v>3525.98</v>
      </c>
    </row>
    <row r="10">
      <c r="A10" s="6" t="inlineStr"/>
      <c r="B10" s="6" t="inlineStr"/>
      <c r="C10" s="6" t="inlineStr"/>
      <c r="D10" s="6" t="inlineStr">
        <is>
          <t>CELKEM</t>
        </is>
      </c>
      <c r="E10" s="6" t="inlineStr"/>
      <c r="F10" s="6" t="inlineStr"/>
      <c r="G10" s="7" t="n">
        <v>167832</v>
      </c>
      <c r="H10" s="8" t="n">
        <v>19876.6</v>
      </c>
      <c r="I10" s="8" t="n">
        <v>20984.4</v>
      </c>
      <c r="J10" s="8" t="n">
        <v>61.9</v>
      </c>
      <c r="K10" s="6" t="n">
        <v>42</v>
      </c>
      <c r="L10" s="8" t="n">
        <v>13513.83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1">
        <f>== ZÁSILKA ===</f>
        <v/>
      </c>
    </row>
    <row r="2">
      <c r="A2" t="inlineStr">
        <is>
          <t>Klient / příjemce (CZ): ALL2COVER, s.r.o., Dykova 397/26, 636 00 Brno – Židenice</t>
        </is>
      </c>
    </row>
    <row r="3">
      <c r="A3" t="inlineStr">
        <is>
          <t>IČO: 21020809 / DIČ-EORI: CZ21020809, tel. +420 731 229 933</t>
        </is>
      </c>
    </row>
    <row r="4">
      <c r="A4" t="inlineStr">
        <is>
          <t>Odesílatel: SHANGHAI KELEIMANG IMP &amp; EXP CO., LTD., 13-3002, Biguiyuan, 104 Gaoyunan Road, Tangxia, Dongguan Shi, Guangdong Sheng, CN</t>
        </is>
      </c>
    </row>
    <row r="5">
      <c r="A5" t="inlineStr">
        <is>
          <t>Faktura č. A2C202613 ze dne 30.7.2026, PO č. 2026077</t>
        </is>
      </c>
    </row>
    <row r="6">
      <c r="A6" t="inlineStr">
        <is>
          <t>Trasa: Qingdao (Čína) → Česká republika, 1× 40HQ, 42 palet, 61,90 m³</t>
        </is>
      </c>
    </row>
    <row r="7">
      <c r="A7" t="inlineStr">
        <is>
          <t>Platební podmínka: T/T 100 % předem. Dodací lhůta: do 30 dnů od platby.</t>
        </is>
      </c>
    </row>
    <row r="8">
      <c r="A8" t="inlineStr"/>
    </row>
    <row r="9">
      <c r="A9" s="11">
        <f>== INCOTERM (POVINNÉ) ===</f>
        <v/>
      </c>
    </row>
    <row r="10">
      <c r="A10" t="inlineStr">
        <is>
          <t>INCOTERM: FOB Qingdao – uvedeno na obchodní faktuře („Price based on: FOB Qingdao“).</t>
        </is>
      </c>
    </row>
    <row r="11">
      <c r="A11" t="inlineStr">
        <is>
          <t>Termín i město (named place) jsou doloženy dokladem.</t>
        </is>
      </c>
    </row>
    <row r="12">
      <c r="A12" t="inlineStr">
        <is>
          <t>POZOR: FOB nezahrnuje námořní přepravné ani pojištění. Do celní hodnoty (statistická hodnota / položka</t>
        </is>
      </c>
    </row>
    <row r="13">
      <c r="A13" t="inlineStr">
        <is>
          <t>přepravních nákladů v JSD) je nutno připočíst náklady na dopravu a pojištění do místa vstupu do EU.</t>
        </is>
      </c>
    </row>
    <row r="14">
      <c r="A14" t="inlineStr">
        <is>
          <t>→ Doplnit částku freight/insurance z přepravního dokladu před podáním JSD.</t>
        </is>
      </c>
    </row>
    <row r="15">
      <c r="A15" t="inlineStr"/>
    </row>
    <row r="16">
      <c r="A16" s="11">
        <f>== PREFERENČNÍ PŮVOD (COO) – KRITICKÉ ===</f>
        <v/>
      </c>
    </row>
    <row r="17">
      <c r="A17" s="12" t="inlineStr">
        <is>
          <t>!!! NA FAKTUŘE NENÍ UVEDENA PREFERENČNÍ VĚTA !!!</t>
        </is>
      </c>
    </row>
    <row r="18">
      <c r="A18" t="inlineStr">
        <is>
          <t>Faktura A2C202613 neobsahuje žádné prohlášení o preferenčním původu.</t>
        </is>
      </c>
    </row>
    <row r="19">
      <c r="A19" t="inlineStr">
        <is>
          <t>Země původu dle celního podkladu: ČÍNA (CN) u všech 8 položek.</t>
        </is>
      </c>
    </row>
    <row r="20">
      <c r="A20" t="inlineStr">
        <is>
          <t>EU nemá s ČLR dohodu o preferenčním zacházení → preferenční sazba se nemůže uplatnit ani teoreticky.</t>
        </is>
      </c>
    </row>
    <row r="21">
      <c r="A21" t="inlineStr">
        <is>
          <t>→ Uplatní se VŠEOBECNÁ (erga omnes) SAZBA CLA PRO TŘETÍ ZEMĚ pro KN 7010 90 91 a 7010 90 99.</t>
        </is>
      </c>
    </row>
    <row r="22">
      <c r="A22" t="inlineStr">
        <is>
          <t>→ Konkrétní sazbu ověřit v TARIC k datu podání celního prohlášení.</t>
        </is>
      </c>
    </row>
    <row r="23">
      <c r="A23" t="inlineStr"/>
    </row>
    <row r="24">
      <c r="A24" s="11">
        <f>== REX ČÍSLO – KRITICKÉ ===</f>
        <v/>
      </c>
    </row>
    <row r="25">
      <c r="A25" s="12" t="inlineStr">
        <is>
          <t>!!! NA FAKTUŘE NENÍ UVEDENO ŽÁDNÉ REX ČÍSLO !!!</t>
        </is>
      </c>
    </row>
    <row r="26">
      <c r="A26" t="inlineStr">
        <is>
          <t>Faktura neobsahuje číslo registrovaného vývozce (REX) ani číslo celního povolení vývozce.</t>
        </is>
      </c>
    </row>
    <row r="27">
      <c r="A27" t="inlineStr">
        <is>
          <t>Vzhledem k původu ČLR to nemá dopad na clo (preference stejně nepřipadá v úvahu), ale absence je</t>
        </is>
      </c>
    </row>
    <row r="28">
      <c r="A28" t="inlineStr">
        <is>
          <t>výslovně zaznamenána pro úplnost kontroly dokladů.</t>
        </is>
      </c>
    </row>
    <row r="29">
      <c r="A29" t="inlineStr"/>
    </row>
    <row r="30">
      <c r="A30" s="11">
        <f>== CBAM ===</f>
        <v/>
      </c>
    </row>
    <row r="31">
      <c r="A31" t="inlineStr">
        <is>
          <t>Zásilka NEOBSAHUJE zboží podléhající CBAM.</t>
        </is>
      </c>
    </row>
    <row r="32">
      <c r="A32" t="inlineStr">
        <is>
          <t>HS kódy v zásilce: 7010 90 91 a 7010 90 99 – SKLO. Sklo není uvedeno v příloze I nařízení (EU) 2023/956</t>
        </is>
      </c>
    </row>
    <row r="33">
      <c r="A33" t="inlineStr">
        <is>
          <t>(CBAM pokrývá cement, elektřinu, hnojiva, železo a ocel, hliník a vodík).</t>
        </is>
      </c>
    </row>
    <row r="34">
      <c r="A34" t="inlineStr">
        <is>
          <t>→ Do JSD se neuvádí žádný Y kód (Y128 / Y238 / Y137 / Y237).</t>
        </is>
      </c>
    </row>
    <row r="35">
      <c r="A35" t="inlineStr"/>
    </row>
    <row r="36">
      <c r="A36" t="inlineStr">
        <is>
          <t>POZNÁMKA K REGISTRU (pro doplnění): Příjemce ALL2COVER, s.r.o. (EORI CZ21020809) NENÍ uveden</t>
        </is>
      </c>
    </row>
    <row r="37">
      <c r="A37" t="inlineStr">
        <is>
          <t>v souboru reference/CBAM_receivers_CZ.xlsx (list List1) – ani podle názvu firmy, ani podle EORI.</t>
        </is>
      </c>
    </row>
    <row r="38">
      <c r="A38" t="inlineStr">
        <is>
          <t>Pro tuto zásilku to nevadí (žádné CBAM zboží), ale pokud klient bude v budoucnu dovážet CBAM zboží,</t>
        </is>
      </c>
    </row>
    <row r="39">
      <c r="A39" t="inlineStr">
        <is>
          <t>je nutné jeho CBAM status zjistit a do registru doplnit.</t>
        </is>
      </c>
    </row>
    <row r="40">
      <c r="A40" t="inlineStr"/>
    </row>
    <row r="41">
      <c r="A41" s="11">
        <f>== ANTIDUMPING ===</f>
        <v/>
      </c>
    </row>
    <row r="42">
      <c r="A42" t="inlineStr">
        <is>
          <t>Pro KN 7010 (skleněné nádoby pro dopravu a balení zboží) s původem ČLR není evidováno antidumpingové clo.</t>
        </is>
      </c>
    </row>
    <row r="43">
      <c r="A43" t="inlineStr">
        <is>
          <t>(Antidumpingová opatření na čínské sklo se týkají zejména KN 7013 – stolní a kuchyňské sklo – které</t>
        </is>
      </c>
    </row>
    <row r="44">
      <c r="A44" t="inlineStr">
        <is>
          <t>v této zásilce není.)</t>
        </is>
      </c>
    </row>
    <row r="45">
      <c r="A45" t="inlineStr">
        <is>
          <t>→ Doporučení: před podáním JSD ověřit aktuální stav opatření v TARIC pro obě položky.</t>
        </is>
      </c>
    </row>
    <row r="46">
      <c r="A46" t="inlineStr"/>
    </row>
    <row r="47">
      <c r="A47" s="11">
        <f>== SLEVA ===</f>
        <v/>
      </c>
    </row>
    <row r="48">
      <c r="A48" t="inlineStr">
        <is>
          <t>Na faktuře A2C202613 není uvedena žádná obchodní sleva. Proporcionální rozpočet slevy se neuplatňuje.</t>
        </is>
      </c>
    </row>
    <row r="49">
      <c r="A49" t="inlineStr">
        <is>
          <t>Celková fakturovaná hodnota 13 513,83 EUR odpovídá součtu položek (ověřeno).</t>
        </is>
      </c>
    </row>
    <row r="50">
      <c r="A50" t="inlineStr"/>
    </row>
    <row r="51">
      <c r="A51" s="11">
        <f>== PŘIJATÉ DOKUMENTY (stav 14.9.2026) ===</f>
        <v/>
      </c>
    </row>
    <row r="52">
      <c r="A52" t="inlineStr">
        <is>
          <t>✓ Obchodní faktura CI_PO2026077 (A2C202613, 30.7.2026)</t>
        </is>
      </c>
    </row>
    <row r="53">
      <c r="A53" t="inlineStr">
        <is>
          <t>✓ Balicí list PL_PO2026077 (A2C202613, 30.7.2026)</t>
        </is>
      </c>
    </row>
    <row r="54">
      <c r="A54" t="inlineStr">
        <is>
          <t>✓ Celní podklad A2C202613 ze dne 13.9.2026 (produktové kódy, popisy CZ, HS kódy, země původu, ks)</t>
        </is>
      </c>
    </row>
    <row r="55">
      <c r="A55" t="inlineStr">
        <is>
          <t>✓ Plná moc k PŘÍMÉMU zastupování – ALL2COVER, s.r.o. → Maurice Ward &amp; Co., s.r.o. (EORI CZ62908227),</t>
        </is>
      </c>
    </row>
    <row r="56">
      <c r="A56" t="inlineStr">
        <is>
          <t xml:space="preserve">   jednatel Štěpán Morávek, podepsáno v Brně 13.9.2026</t>
        </is>
      </c>
    </row>
    <row r="57">
      <c r="A57" t="inlineStr">
        <is>
          <t>✓ Plná moc k NEPŘÍMÉMU zastupování – ALL2COVER, s.r.o. → Maurice Ward &amp; Co., s.r.o. (EORI CZ62908227),</t>
        </is>
      </c>
    </row>
    <row r="58">
      <c r="A58" t="inlineStr">
        <is>
          <t xml:space="preserve">   jednatel Štěpán Morávek, podepsáno v Brně 13.9.2026</t>
        </is>
      </c>
    </row>
    <row r="59">
      <c r="A59" t="inlineStr">
        <is>
          <t>✓ Osvědčení EKO-KOM, a.s. – ALL2COVER, s.r.o. zapojena do systému sdruženého plnění pod klientským</t>
        </is>
      </c>
    </row>
    <row r="60">
      <c r="A60" t="inlineStr">
        <is>
          <t xml:space="preserve">   číslem F00250049 s účinností od 31.3.2025 (povinnosti dle § 10–12a zákona o obalech splněny)</t>
        </is>
      </c>
    </row>
    <row r="61">
      <c r="A61" t="inlineStr">
        <is>
          <t xml:space="preserve">   – relevantní, protože předmětem dovozu jsou právě obaly (skleněné lékovky a dózy).</t>
        </is>
      </c>
    </row>
    <row r="62">
      <c r="A62" t="inlineStr"/>
    </row>
    <row r="63">
      <c r="A63" s="11">
        <f>== KONTROLA ÚDAJŮ (křížové ověření CI × PL × celní podklad) ===</f>
        <v/>
      </c>
    </row>
    <row r="64">
      <c r="A64" t="inlineStr">
        <is>
          <t>Množství: 167 832 ks – souhlasí ve všech třech dokladech.</t>
        </is>
      </c>
    </row>
    <row r="65">
      <c r="A65" t="inlineStr">
        <is>
          <t>Čistá hmotnost: 19 876,60 kg (PL) – souhlasí se součtem položek.</t>
        </is>
      </c>
    </row>
    <row r="66">
      <c r="A66" t="inlineStr">
        <is>
          <t>Hrubá hmotnost: 20 984,40 kg (PL) – souhlasí se součtem položek.</t>
        </is>
      </c>
    </row>
    <row r="67">
      <c r="A67" t="inlineStr">
        <is>
          <t>Hodnota: 13 513,83 EUR (CI) – souhlasí se součtem položek (cena je uvedena za 10 000 ks).</t>
        </is>
      </c>
    </row>
    <row r="68">
      <c r="A68" t="inlineStr">
        <is>
          <t>Palety: 42 ks, objem 61,90 m³ – souhlasí s PL.</t>
        </is>
      </c>
    </row>
    <row r="69">
      <c r="A69" t="inlineStr">
        <is>
          <t>Párování CI/PL na celní podklad provedeno podle pořadí položek a shodných počtů kusů (1:1).</t>
        </is>
      </c>
    </row>
    <row r="70">
      <c r="A70" t="inlineStr"/>
    </row>
    <row r="71">
      <c r="A71" s="11">
        <f>== K DOŘEŠENÍ PŘED PODÁNÍM JSD ===</f>
        <v/>
      </c>
    </row>
    <row r="72">
      <c r="A72" t="inlineStr">
        <is>
          <t>1) Doplnit náklady na dopravu a pojištění do celní hodnoty (FOB → CIF do místa vstupu do EU).</t>
        </is>
      </c>
    </row>
    <row r="73">
      <c r="A73" t="inlineStr">
        <is>
          <t>2) Ověřit aktuální sazby cla a případná opatření pro 7010 90 91 a 7010 90 99 v TARIC.</t>
        </is>
      </c>
    </row>
    <row r="74">
      <c r="A74" t="inlineStr">
        <is>
          <t>3) Rozhodnout o formě zastoupení (přímé × nepřímé) – k dispozici jsou obě plné moci.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2026-09-14T12:27:10Z</dcterms:created>
  <dcterms:modified xsi:type="dcterms:W3CDTF">2026-09-14T12:27:10Z</dcterms:modified>
</cp:coreProperties>
</file>