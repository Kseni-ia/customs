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10" customWidth="1" min="3" max="3"/>
    <col width="13" customWidth="1" min="4" max="4"/>
    <col width="12" customWidth="1" min="5" max="5"/>
    <col width="12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USD (FOB)</t>
        </is>
      </c>
      <c r="H1" s="1" t="inlineStr">
        <is>
          <t>Příznak</t>
        </is>
      </c>
      <c r="I1" s="1" t="inlineStr">
        <is>
          <t>Poznámka</t>
        </is>
      </c>
    </row>
    <row r="2">
      <c r="A2" s="2" t="inlineStr">
        <is>
          <t>96039091</t>
        </is>
      </c>
      <c r="B2" s="3" t="inlineStr">
        <is>
          <t>Úklidové výrobky z plastu PP+PE – smetáček s lopatkou, smeták s násadou 120 cm, smetáček; WC sady (plastová miska + WC štětka), WC štětka (tyčka + hlava/kartáč); čisticí kartáč na nádobí</t>
        </is>
      </c>
      <c r="C2" s="2" t="inlineStr">
        <is>
          <t>CN</t>
        </is>
      </c>
      <c r="D2" s="2" t="n">
        <v>35832</v>
      </c>
      <c r="E2" s="2" t="n">
        <v>3760</v>
      </c>
      <c r="F2" s="2" t="n">
        <v>4456.9</v>
      </c>
      <c r="G2" s="2" t="n">
        <v>11817.36</v>
      </c>
      <c r="H2" s="2" t="n"/>
      <c r="I2" s="3" t="inlineStr">
        <is>
          <t>Dodavatel: Linhai Billy Commodity (faktura 26111). 948 ctns.</t>
        </is>
      </c>
    </row>
    <row r="3">
      <c r="A3" s="2" t="inlineStr">
        <is>
          <t>56090000</t>
        </is>
      </c>
      <c r="B3" s="3" t="inlineStr">
        <is>
          <t>Bavlněná šňůra na prádlo 15 m / 20 m (splétaná z prováků průměr 5 mm)</t>
        </is>
      </c>
      <c r="C3" s="2" t="inlineStr">
        <is>
          <t>CN</t>
        </is>
      </c>
      <c r="D3" s="2" t="n">
        <v>16000</v>
      </c>
      <c r="E3" s="2" t="n">
        <v>2160</v>
      </c>
      <c r="F3" s="2" t="n">
        <v>2290</v>
      </c>
      <c r="G3" s="2" t="n">
        <v>9322</v>
      </c>
      <c r="H3" s="2" t="n"/>
      <c r="I3" s="3" t="inlineStr">
        <is>
          <t>Dodavatel: Laizhou Lutong Plastics (faktura LTP260325L). 260 ctns.</t>
        </is>
      </c>
    </row>
    <row r="4">
      <c r="A4" s="2" t="inlineStr">
        <is>
          <t>39249000</t>
        </is>
      </c>
      <c r="B4" s="3" t="inlineStr">
        <is>
          <t>Protiskluzové podložky do vany či sprchy z PVC (různé barvy a rozměry, 100% PVC); houbová drátěnka 2 ks/sada (vnější polyester/polyethylen, vnitřní houbička polyuretan)</t>
        </is>
      </c>
      <c r="C4" s="2" t="inlineStr">
        <is>
          <t>CN</t>
        </is>
      </c>
      <c r="D4" s="2" t="n">
        <v>13248</v>
      </c>
      <c r="E4" s="2" t="n">
        <v>3121.2</v>
      </c>
      <c r="F4" s="2" t="n">
        <v>3415.2</v>
      </c>
      <c r="G4" s="2" t="n">
        <v>8100</v>
      </c>
      <c r="H4" s="2" t="n"/>
      <c r="I4" s="3" t="inlineStr">
        <is>
          <t>Sloučeno: Zhejiang Kelin Home – PVC bathmat (faktura KL260602, 6 048 ks, $6 804,00, 252 ctns) + Ningbo AIJE – soft sponge scour pads (faktura AJT2409035, 7 200 sad, $1 296,00, 60 ctns).</t>
        </is>
      </c>
    </row>
    <row r="5">
      <c r="A5" s="2" t="inlineStr">
        <is>
          <t>39211900</t>
        </is>
      </c>
      <c r="B5" s="3" t="inlineStr">
        <is>
          <t>Houbička melaminová NANO 4 ks/balení – čisticí houbička pro domácnost, materiál melamin</t>
        </is>
      </c>
      <c r="C5" s="2" t="inlineStr">
        <is>
          <t>CN</t>
        </is>
      </c>
      <c r="D5" s="2" t="n">
        <v>12024</v>
      </c>
      <c r="E5" s="2" t="n">
        <v>100.2</v>
      </c>
      <c r="F5" s="2" t="n">
        <v>200.4</v>
      </c>
      <c r="G5" s="2" t="n">
        <v>2164.32</v>
      </c>
      <c r="H5" s="2" t="n"/>
      <c r="I5" s="3" t="inlineStr">
        <is>
          <t>Dodavatel: Ningbo AIJE Home Products (faktura AJT2409035). Množství = balení po 4 ks (167 ctns).</t>
        </is>
      </c>
    </row>
    <row r="6">
      <c r="A6" s="4" t="inlineStr">
        <is>
          <t>CELKEM</t>
        </is>
      </c>
      <c r="B6" s="4" t="n"/>
      <c r="C6" s="4" t="n"/>
      <c r="D6" s="4" t="n">
        <v>77104</v>
      </c>
      <c r="E6" s="4" t="n">
        <v>9141.4</v>
      </c>
      <c r="F6" s="4" t="n">
        <v>10362.5</v>
      </c>
      <c r="G6" s="4" t="n">
        <v>31403.68</v>
      </c>
      <c r="H6" s="4" t="n"/>
      <c r="I6" s="4" t="n"/>
    </row>
    <row r="8">
      <c r="A8" s="5" t="inlineStr">
        <is>
          <t>POZOR – PREFERENČNÍ VĚTA:</t>
        </is>
      </c>
      <c r="B8" s="5" t="inlineStr">
        <is>
          <t>V žádném z dokladů NENÍ preferenční věta (prohlášení o preferenčním původu). Zboží Made in China – platí standardní sazba cla pro třetí země. Preferenční zacházení NELZE uplatnit.</t>
        </is>
      </c>
    </row>
    <row r="9">
      <c r="A9" t="inlineStr">
        <is>
          <t>CBAM:</t>
        </is>
      </c>
      <c r="B9" t="inlineStr">
        <is>
          <t>Žádná položka nespadá pod CBAM (plastové, kartáčnické a textilní zboží).</t>
        </is>
      </c>
    </row>
    <row r="10">
      <c r="A10" t="inlineStr">
        <is>
          <t>Antidumping:</t>
        </is>
      </c>
      <c r="B10" t="inlineStr">
        <is>
          <t>Na uvedené HS kódy (9603, 3924, 3921, 5609) z ČLR se antidumpingové clo nevztahuje.</t>
        </is>
      </c>
    </row>
    <row r="11">
      <c r="A11" t="inlineStr">
        <is>
          <t>Sleva:</t>
        </is>
      </c>
      <c r="B11" t="inlineStr">
        <is>
          <t>Žádná obchodní sleva na zásilce – hodnoty = fakturované částky FOB Ningbo.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>
        <f>== ZÁSILKA ===</f>
        <v/>
      </c>
    </row>
    <row r="2">
      <c r="A2" t="inlineStr">
        <is>
          <t>Klient: BARTON TRADING s.r.o., Hybešova 1225/26, 779 00 Olomouc, EORI:CZ43962432</t>
        </is>
      </c>
    </row>
    <row r="3">
      <c r="A3" t="inlineStr">
        <is>
          <t>Reference: JBA20260526001 | Kontejner: CAAU7856425 (1×40'HQ), pečeť CN3866360</t>
        </is>
      </c>
    </row>
    <row r="4">
      <c r="A4" t="inlineStr">
        <is>
          <t>Trasa: Ningbo, Čína → Bremerhaven → Melnik, CZ | Loď NEW YORK EXPRESS/623W, na palubě 05.06.2026</t>
        </is>
      </c>
    </row>
    <row r="5">
      <c r="A5" t="inlineStr">
        <is>
          <t>Master B/L Maersk 802113412 (waybill); 4 house B/L DK Sailing DK26060272CNNGBHAMFDA–FDD (surrendered, freight collect)</t>
        </is>
      </c>
    </row>
    <row r="6">
      <c r="A6" t="inlineStr">
        <is>
          <t>Celkem: 1 687 kartonů, GW 10 362,5 kg (souhlas s master B/L), 63,05 CBM</t>
        </is>
      </c>
    </row>
    <row r="7">
      <c r="A7" t="inlineStr">
        <is>
          <t>Doručení: Maurice Ward &amp; Co. / clení JSD (volný oběh); doručit ráno 08:00, kontakt Kučerová Věra 778 521 158</t>
        </is>
      </c>
    </row>
    <row r="8">
      <c r="A8" t="inlineStr"/>
    </row>
    <row r="9">
      <c r="A9">
        <f>== FAKTURY (4 dodavatelé, FOB NINGBO) ===</f>
        <v/>
      </c>
    </row>
    <row r="10">
      <c r="A10" t="inlineStr">
        <is>
          <t>1) Linhai Billy Commodity – č. 26111, 01.06.2026 – USD 11 817,36 – 948 ctns – HS 96039091</t>
        </is>
      </c>
    </row>
    <row r="11">
      <c r="A11" t="inlineStr">
        <is>
          <t>2) Zhejiang Kelin Home – č. KL260602, 02.06.2026 – USD 6 804,00 – 252 ctns – HS 39249000</t>
        </is>
      </c>
    </row>
    <row r="12">
      <c r="A12" t="inlineStr">
        <is>
          <t>3) Ningbo AIJE Home Products – č. AJT2409035, 30.05.2026 – USD 3 460,32 – 227 ctns – HS 39211900 + 39249000</t>
        </is>
      </c>
    </row>
    <row r="13">
      <c r="A13" t="inlineStr">
        <is>
          <t>4) Laizhou Lutong Plastics – č. LTP260325L, 06.05.2026 – USD 9 322,00 – 260 ctns – HS 56090000</t>
        </is>
      </c>
    </row>
    <row r="14">
      <c r="A14" t="inlineStr">
        <is>
          <t>Součet faktur: USD 31 403,68</t>
        </is>
      </c>
    </row>
    <row r="15">
      <c r="A15" t="inlineStr"/>
    </row>
    <row r="16">
      <c r="A16">
        <f>== PREFERENČNÍ VĚTA (COO) ===</f>
        <v/>
      </c>
    </row>
    <row r="17">
      <c r="A17" t="inlineStr">
        <is>
          <t>❌ ŽÁDNÁ preferenční věta v dokladech. Původ: CN (Made in China) u všech položek.</t>
        </is>
      </c>
    </row>
    <row r="18">
      <c r="A18" t="inlineStr">
        <is>
          <t>→ Platí standardní třetizemní clo dle TARIC; s ČLR neexistuje preferenční dohoda EU.</t>
        </is>
      </c>
    </row>
    <row r="19">
      <c r="A19" t="inlineStr"/>
    </row>
    <row r="20">
      <c r="A20">
        <f>== CBAM / ANTIDUMPING ===</f>
        <v/>
      </c>
    </row>
    <row r="21">
      <c r="A21" t="inlineStr">
        <is>
          <t>CBAM: nevztahuje se (žádné železo/ocel, hliník, cement, hnojiva, vodík, elektřina).</t>
        </is>
      </c>
    </row>
    <row r="22">
      <c r="A22" t="inlineStr">
        <is>
          <t>Antidumping: na dané HS kódy z ČLR se AD clo nevztahuje.</t>
        </is>
      </c>
    </row>
    <row r="23">
      <c r="A23" t="inlineStr"/>
    </row>
    <row r="24">
      <c r="A24">
        <f>== POZNÁMKY K MNOŽSTVÍ ===</f>
        <v/>
      </c>
    </row>
    <row r="25">
      <c r="A25" t="inlineStr">
        <is>
          <t>HS 39211900: množství = 12 024 balení (po 4 ks houbiček).</t>
        </is>
      </c>
    </row>
    <row r="26">
      <c r="A26" t="inlineStr">
        <is>
          <t>HS 39249000: 6 048 ks podložek + 7 200 sad drátěnek (2 ks/sada).</t>
        </is>
      </c>
    </row>
    <row r="27">
      <c r="A27" t="inlineStr">
        <is>
          <t>HS 56090000: 6 000 ks šňůry 15 m + 10 000 ks šňůry 20 m.</t>
        </is>
      </c>
    </row>
    <row r="28">
      <c r="A28" t="inlineStr">
        <is>
          <t>Kelin p. 1 instrukce: P.O.D. na faktuře 'Olomouc', na packing listu 'Melnik' – doručení dle instrukce na Olomouc.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2026-07-14T20:39:14Z</dcterms:created>
  <dcterms:modified xsi:type="dcterms:W3CDTF">2026-07-14T20:39:14Z</dcterms:modified>
</cp:coreProperties>
</file>