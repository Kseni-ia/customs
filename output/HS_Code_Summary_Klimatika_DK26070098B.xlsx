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Code Summary" sheetId="1" state="visible" r:id="rId3"/>
    <sheet name="Line items" sheetId="2" state="visible" r:id="rId4"/>
    <sheet name="F-gas" sheetId="3" state="visible" r:id="rId5"/>
    <sheet name="Kontroly &amp; poznámk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<sst xmlns="http://schemas.openxmlformats.org/spreadsheetml/2006/main" count="316" uniqueCount="194">
  <si>
    <t xml:space="preserve">SOUHRN HS KÓDŮ / HS CODE SUMMARY</t>
  </si>
  <si>
    <t xml:space="preserve">Klient / Client</t>
  </si>
  <si>
    <t xml:space="preserve">KLIMATIKA jknp s.r.o., Dolany 690, 783 16 Dolany, CZ — DIČ CZ06212697</t>
  </si>
  <si>
    <t xml:space="preserve">Odesílatel / Sender (exporter)</t>
  </si>
  <si>
    <t xml:space="preserve">GROUPE AIRWELL SA, 10 rue du Fort de Saint Cyr, 78180 Montigny le Bretonneux, France — EORI FR92044332200010</t>
  </si>
  <si>
    <t xml:space="preserve">Zásilka / Shipment (HBL)</t>
  </si>
  <si>
    <t xml:space="preserve">DK26070098CNWAYCZMNKFD  (HBL DK26070098-B)  •  1 × 40'HQ  •  kontejner MRSU2515573</t>
  </si>
  <si>
    <t xml:space="preserve">Faktury / Invoices</t>
  </si>
  <si>
    <t xml:space="preserve">FAD-1271-2026 (placené zboží)  •  FAD-1272-2026 (jednotky zdarma / FOC)  •  FAD-1273-2026 + FAD-1274-2026 (F-gas příspěvek)</t>
  </si>
  <si>
    <t xml:space="preserve">Objednávka / PO</t>
  </si>
  <si>
    <t xml:space="preserve">ORDER NO. 262000279  •  PO Airwell 28583  •  FOC: FOC UNITS 1% PO 28583 (28606)</t>
  </si>
  <si>
    <t xml:space="preserve">INCOTERM</t>
  </si>
  <si>
    <t xml:space="preserve">FOB  WAIYUN, ZHONGSHAN, CHINA   (Incoterms® ICC 2020)</t>
  </si>
  <si>
    <t xml:space="preserve">Trasa / Routing</t>
  </si>
  <si>
    <t xml:space="preserve">Waiyun, Zhongshan (CN) → Bremerhaven (DE) → Mělník (CZ)  •  plavidlo DA FENG 3025/6275  •  shipped on board 03/07/2026  •  freight COLLECT</t>
  </si>
  <si>
    <t xml:space="preserve">Země původu / Country of origin</t>
  </si>
  <si>
    <t xml:space="preserve">ČÍNA / CHINA (CN) — „MADE IN CHINA“, na všech řádcích faktur „Country of origin: CHINE“</t>
  </si>
  <si>
    <t xml:space="preserve">Měna / Currency</t>
  </si>
  <si>
    <t xml:space="preserve">EUR</t>
  </si>
  <si>
    <t xml:space="preserve">Kartony / Cartons</t>
  </si>
  <si>
    <t xml:space="preserve">Objem / Volume (CBM)</t>
  </si>
  <si>
    <t xml:space="preserve">Datum zpracování / Prepared</t>
  </si>
  <si>
    <t xml:space="preserve">31/07/2026</t>
  </si>
  <si>
    <t xml:space="preserve">FOB poplatek / FOB charge (EUR)</t>
  </si>
  <si>
    <t xml:space="preserve">Vstupní hodnota / input — manipulační a stuffing poplatek 470 EUR/kontejner účtovaný prodávajícím (FAD-1271-2026, VOP čl. 6.1). Rozpouští se poměrem k hodnotě do celní hodnoty.</t>
  </si>
  <si>
    <t xml:space="preserve">Odesílatel / Sender</t>
  </si>
  <si>
    <t xml:space="preserve">HS kód</t>
  </si>
  <si>
    <t xml:space="preserve">Popis zboží (CZ)</t>
  </si>
  <si>
    <t xml:space="preserve">Description (EN)</t>
  </si>
  <si>
    <t xml:space="preserve">Množství / Quantity (ks)</t>
  </si>
  <si>
    <t xml:space="preserve">Čistá hmotnost / Net weight (kg)</t>
  </si>
  <si>
    <t xml:space="preserve">Hrubá hmotnost / Gross weight (kg)</t>
  </si>
  <si>
    <t xml:space="preserve">Fakturovaná hodnota (EUR)</t>
  </si>
  <si>
    <t xml:space="preserve">Hodnota jednotek zdarma FOC (EUR)</t>
  </si>
  <si>
    <t xml:space="preserve">Podíl FOB poplatku (EUR)</t>
  </si>
  <si>
    <t xml:space="preserve">CELNÍ HODNOTA (EUR)</t>
  </si>
  <si>
    <t xml:space="preserve">Incoterm</t>
  </si>
  <si>
    <t xml:space="preserve">Země původu</t>
  </si>
  <si>
    <t xml:space="preserve">Preferenční původ (preferenční věta)</t>
  </si>
  <si>
    <t xml:space="preserve">CBAM</t>
  </si>
  <si>
    <t xml:space="preserve">Antidumping</t>
  </si>
  <si>
    <t xml:space="preserve">Poznámka / Note</t>
  </si>
  <si>
    <t xml:space="preserve">GROUPE AIRWELL SA (FR)</t>
  </si>
  <si>
    <t xml:space="preserve">84151090</t>
  </si>
  <si>
    <t xml:space="preserve">Klimatizační jednotky typu split – vnitřní jednotky bez obsahu chladícího média a venkovní jednotky s chladícím médiem R32, předplněné</t>
  </si>
  <si>
    <t xml:space="preserve">Split-system air conditioners – indoor units (no refrigerant) and outdoor units pre-charged with R32</t>
  </si>
  <si>
    <t xml:space="preserve">FOB WAIYUN, ZHONGSHAN, CHINA</t>
  </si>
  <si>
    <t xml:space="preserve">CN – Čína / China</t>
  </si>
  <si>
    <t xml:space="preserve">NE – preferenční věta v dokladech NENÍ</t>
  </si>
  <si>
    <t xml:space="preserve">NE / No</t>
  </si>
  <si>
    <t xml:space="preserve">Nezjištěno – ověřit v TARIC</t>
  </si>
  <si>
    <t xml:space="preserve">Obsahuje F-plyny (R32) – viz list „F-gas“. Kontrola kvót dle nař. (EU) 2024/573 nutná.</t>
  </si>
  <si>
    <t xml:space="preserve">84159000</t>
  </si>
  <si>
    <t xml:space="preserve">Wifi modul – části a součásti klimatizačních jednotek</t>
  </si>
  <si>
    <t xml:space="preserve">Wifi module – parts of air conditioning machines</t>
  </si>
  <si>
    <t xml:space="preserve">Bez F-plynů. 1 karton, 246 ks.</t>
  </si>
  <si>
    <t xml:space="preserve">CELKEM / TOTAL</t>
  </si>
  <si>
    <t xml:space="preserve">DOPLŇKOVÝ ROZPAD HS 84151090 (informativně – vnitřní vs. venkovní jednotky)</t>
  </si>
  <si>
    <t xml:space="preserve">Hlavní tabulka je dle pravidla sloučena na unikátní HS kódy v rámci odesílatele. Tento rozpad slouží pro kontrolu F-plynů – celní hodnota ani sazba se jím nemění.</t>
  </si>
  <si>
    <t xml:space="preserve">Typ / Type</t>
  </si>
  <si>
    <t xml:space="preserve">Popis (CZ)</t>
  </si>
  <si>
    <t xml:space="preserve">Množství (ks)</t>
  </si>
  <si>
    <t xml:space="preserve">Čistá hm. (kg)</t>
  </si>
  <si>
    <t xml:space="preserve">Hrubá hm. (kg)</t>
  </si>
  <si>
    <t xml:space="preserve">Hodnota zboží (EUR)</t>
  </si>
  <si>
    <t xml:space="preserve">F-plyny (t CO2e, dle rozpisu jednotek)</t>
  </si>
  <si>
    <t xml:space="preserve">Vnitřní / Indoor</t>
  </si>
  <si>
    <t xml:space="preserve">Vnitřní klimatizační jednotky bez obsahu chladícího média</t>
  </si>
  <si>
    <t xml:space="preserve">—</t>
  </si>
  <si>
    <t xml:space="preserve">Venkovní / Outdoor</t>
  </si>
  <si>
    <t xml:space="preserve">Venkovní klimatizační jednotky s chladícím médiem R32</t>
  </si>
  <si>
    <t xml:space="preserve">STAVBA CELNÍ HODNOTY / CUSTOMS VALUE BUILD-UP</t>
  </si>
  <si>
    <t xml:space="preserve">Fakturovaná hodnota zboží FAD-1271-2026 (Total Item Net Value)</t>
  </si>
  <si>
    <t xml:space="preserve">Placené zboží, EXW/FOB cena dle faktury.</t>
  </si>
  <si>
    <t xml:space="preserve">+ Jednotky zdarma FOC (FAD-1272-2026) v hodnotě dle faktury</t>
  </si>
  <si>
    <t xml:space="preserve">Sleva -100 % NEUPLATNĚNA pro celní účely – bezúplatné zboží nemá převodní hodnotu, oceňuje se dle čl. 74 UCC hodnotou stejného zboží (ceny z FAD-1271-2026 / FAD-1272-2026).</t>
  </si>
  <si>
    <t xml:space="preserve">+ FOB poplatek (manipulace/stuffing 470 EUR/kontejner)</t>
  </si>
  <si>
    <t xml:space="preserve">Součást ceny skutečně placené nebo která má být zaplacena.</t>
  </si>
  <si>
    <t xml:space="preserve">MEZISOUČET / SUBTOTAL (bez dopravného do EU)</t>
  </si>
  <si>
    <t xml:space="preserve">Odpovídá sloupci „CELNÍ HODNOTA“ v hlavní tabulce.</t>
  </si>
  <si>
    <t xml:space="preserve">+ Námořní přepravné, THC a pojištění do hranice EU</t>
  </si>
  <si>
    <t xml:space="preserve">DOPLNIT</t>
  </si>
  <si>
    <t xml:space="preserve">CHYBÍ V PODKLADECH – dodání je FOB Waiyun a přepravné je „FREIGHT COLLECT“. Nutno doplnit z faktury dopravce (náklady až po vstup do celního území EU) – bez toho nelze celní hodnotu uzavřít.</t>
  </si>
  <si>
    <t xml:space="preserve">+ F-gas příspěvek (FAD-1273-2026 2 117,00 EUR + FAD-1274-2026 0,00 EUR po slevě)</t>
  </si>
  <si>
    <t xml:space="preserve">K ROZHODNUTÍ: příspěvek za kvótu HFC účtovaný prodávajícím jako podmínka prodeje zboží obsahujícího R32 (vztahuje se jen k HS 84151090). Doporučuji zahrnout do celní hodnoty; potvrdit s klientem. Pokud by se – stejně jako u zboží zdarma – dopočetl i příspěvek k FOC jednotkám (18,20 EUR), byla by částka 2 135,20 EUR.</t>
  </si>
  <si>
    <t xml:space="preserve">CELNÍ HODNOTA VČETNĚ F-GAS PŘÍSPĚVKU (bez dopravného do EU)</t>
  </si>
  <si>
    <t xml:space="preserve">Nezahrnuje námořní přepravné/pojištění do hranice EU – viz řádek výše.</t>
  </si>
  <si>
    <t xml:space="preserve">ROZPIS POLOŽEK / LINE ITEM DETAIL</t>
  </si>
  <si>
    <t xml:space="preserve">Zdroj: Packing List PO 28583 (hmotnosti, kartony) + faktury FAD-1271-2026 (placené zboží) a FAD-1272-2026 (jednotky zdarma / FOC, sleva -100 %).</t>
  </si>
  <si>
    <t xml:space="preserve">Faktura / Invoice</t>
  </si>
  <si>
    <t xml:space="preserve">Kód / Product code</t>
  </si>
  <si>
    <t xml:space="preserve">Model (EN)</t>
  </si>
  <si>
    <t xml:space="preserve">Množství placené (ks)</t>
  </si>
  <si>
    <t xml:space="preserve">Množství zdarma FOC (ks)</t>
  </si>
  <si>
    <t xml:space="preserve">Množství celkem (ks)</t>
  </si>
  <si>
    <t xml:space="preserve">Čistá hmotnost (kg)</t>
  </si>
  <si>
    <t xml:space="preserve">Hrubá hmotnost (kg)</t>
  </si>
  <si>
    <t xml:space="preserve">Jedn. cena (EUR)</t>
  </si>
  <si>
    <t xml:space="preserve">Hodnota placená (EUR)</t>
  </si>
  <si>
    <t xml:space="preserve">Hodnota FOC (EUR)</t>
  </si>
  <si>
    <t xml:space="preserve">Hodnota zboží celkem (EUR)</t>
  </si>
  <si>
    <t xml:space="preserve">FAD-1271-2026</t>
  </si>
  <si>
    <t xml:space="preserve">7SP024140</t>
  </si>
  <si>
    <t xml:space="preserve">HDLS-025N-09M25-BK</t>
  </si>
  <si>
    <t xml:space="preserve">Vnitřní klimatizační jednotka bez obsahu chladícího média (split)</t>
  </si>
  <si>
    <t xml:space="preserve">FAD-1271-2026 + FAD-1272-2026</t>
  </si>
  <si>
    <t xml:space="preserve">7SP024141</t>
  </si>
  <si>
    <t xml:space="preserve">HDLS-035N-09M25-BK</t>
  </si>
  <si>
    <t xml:space="preserve">7SP024142</t>
  </si>
  <si>
    <t xml:space="preserve">HDLS-050N-09M25-BK</t>
  </si>
  <si>
    <t xml:space="preserve">7SP024143</t>
  </si>
  <si>
    <t xml:space="preserve">HDLS-070N-09M25-BK</t>
  </si>
  <si>
    <t xml:space="preserve">7SP024100</t>
  </si>
  <si>
    <t xml:space="preserve">HDLS-025N-09M25</t>
  </si>
  <si>
    <t xml:space="preserve">7SP024101</t>
  </si>
  <si>
    <t xml:space="preserve">HDLS-035N-09M25</t>
  </si>
  <si>
    <t xml:space="preserve">7SP024102</t>
  </si>
  <si>
    <t xml:space="preserve">HDLS-050N-09M25</t>
  </si>
  <si>
    <t xml:space="preserve">7SP024103</t>
  </si>
  <si>
    <t xml:space="preserve">HDLS-070N-09M25</t>
  </si>
  <si>
    <t xml:space="preserve">7SP063295</t>
  </si>
  <si>
    <t xml:space="preserve">YDAS-025R-09M25</t>
  </si>
  <si>
    <t xml:space="preserve">Venkovní klimatizační jednotka s chladícím médiem R32 (split)</t>
  </si>
  <si>
    <t xml:space="preserve">7SP063296</t>
  </si>
  <si>
    <t xml:space="preserve">YDAS-035R-09M25</t>
  </si>
  <si>
    <t xml:space="preserve">7SP063297</t>
  </si>
  <si>
    <t xml:space="preserve">YDAS-050R-09M25</t>
  </si>
  <si>
    <t xml:space="preserve">7SP063298</t>
  </si>
  <si>
    <t xml:space="preserve">YDAS-070R-09M25</t>
  </si>
  <si>
    <t xml:space="preserve">7ACEL1954</t>
  </si>
  <si>
    <t xml:space="preserve">Wifi HDLS ZDAS (wifi module)</t>
  </si>
  <si>
    <t xml:space="preserve">Díl / Part</t>
  </si>
  <si>
    <t xml:space="preserve">Kontrola / Cross-check: kartony 499 ks, čistá hm. 8 690,81 kg, hrubá hm. 9 748,44 kg, 65,16 CBM = Packing List a HBL DK26070098-B.</t>
  </si>
  <si>
    <t xml:space="preserve">Pozn.: 1 karton = 1 jednotka klimatizace; wifi moduly (7ACEL1954) – 246 ks v 1 kartonu. Hmotnosti z Packing Listu zahrnují i jednotky zdarma (FOC).</t>
  </si>
  <si>
    <t xml:space="preserve">Pozn.: hodnoty položek převzaty přesně z faktur (u některých řádků se součin ks × jedn. cena liší o pár centů kvůli zaokrouhlení na faktuře – rozhodující je fakturovaná hodnota).</t>
  </si>
  <si>
    <t xml:space="preserve">F-PLYNY / F-GAS – předplněná zařízení (HFC R32)</t>
  </si>
  <si>
    <t xml:space="preserve">Zdroj: FAD-1273-2026 (F-gas k placeným jednotkám) a FAD-1274-2026 (F-gas k jednotkám zdarma, sleva -100 %). Náplň R32, GWP 675 – odvozeno z t CO2e/jednotku.</t>
  </si>
  <si>
    <t xml:space="preserve">GWP R32 (AR4)</t>
  </si>
  <si>
    <t xml:space="preserve">Vstupní hodnota / input. Kontrola: 0,675 t CO2e ÷ 675 × 1000 = přesně 1,000 kg R32 → chladivo potvrzeno jako R32.</t>
  </si>
  <si>
    <t xml:space="preserve">Model</t>
  </si>
  <si>
    <t xml:space="preserve">Množství FOC (ks)</t>
  </si>
  <si>
    <t xml:space="preserve">t CO2e / jednotka</t>
  </si>
  <si>
    <t xml:space="preserve">t CO2e celkem</t>
  </si>
  <si>
    <t xml:space="preserve">Náplň R32 / unit (kg)</t>
  </si>
  <si>
    <t xml:space="preserve">Náplň R32 celkem (kg)</t>
  </si>
  <si>
    <t xml:space="preserve">EUR / jednotka</t>
  </si>
  <si>
    <t xml:space="preserve">F-gas příspěvek (EUR)</t>
  </si>
  <si>
    <t xml:space="preserve">F-plyny fakturované celkem: 105,85 t CO2e (FAD-1273) + 0,91 t CO2e (FAD-1274) = 106,76 t CO2e; příspěvek 2 117,00 EUR + 18,20 EUR = 2 135,20 EUR (u FOC sleva -100 % → 0,00 EUR).</t>
  </si>
  <si>
    <t xml:space="preserve">POZOR – drobný nesoulad na faktuře: rozpis po jednotkách dává 105,91 t CO2e / 2 117,70 EUR, faktura FAD-1273-2026 účtuje 105,85 t / 2 117,00 EUR (rozdíl 0,70 EUR). Pro celní účely nepodstatné, ale stojí za dotaz u odesílatele.</t>
  </si>
  <si>
    <t xml:space="preserve">Dovoz zařízení předplněného HFC podléhá nařízení (EU) 2024/573: dovozce musí být registrován v F-Gas Portálu, musí být kryt kvótou/oprávněním a k celnímu prohlášení se uvádí odkaz na prohlášení o shodě. Bez toho zásilku nelze propustit. NUTNO OVĚŘIT PŘED PODÁNÍM JSD.</t>
  </si>
  <si>
    <t xml:space="preserve">F-plyny se týkají výhradně venkovních jednotek YDAS-*R (HS 84151090). Vnitřní jednotky HDLS-*N jsou bez chladícího média.</t>
  </si>
  <si>
    <t xml:space="preserve">KONTROLY, RIZIKA A OTEVŘENÉ BODY / CHECKS, FLAGS &amp; OPEN ITEMS</t>
  </si>
  <si>
    <t xml:space="preserve">#</t>
  </si>
  <si>
    <t xml:space="preserve">Priorita</t>
  </si>
  <si>
    <t xml:space="preserve">Téma</t>
  </si>
  <si>
    <t xml:space="preserve">Zjištění / co je potřeba udělat</t>
  </si>
  <si>
    <t xml:space="preserve">KRITICKÉ</t>
  </si>
  <si>
    <t xml:space="preserve">COO / preferenční věta</t>
  </si>
  <si>
    <t xml:space="preserve">V žádném z dokladů (FAD-1271/1272/1273/1274-2026, Packing List, HBL, instrukce) NENÍ preferenční věta (prohlášení o preferenčním původu). Původ zboží je ČÍNA („MADE IN CHINA“, „Country of origin: CHINE“). S Čínou nemá EU preferenční dohodu, takže preferenční sazbu nelze uplatnit ani doložit – uplatní se STANDARDNÍ TŘETIZEMNÍ (erga omnes) CLO. Prodávající je sice francouzská firma, ale to na původ nemá vliv.</t>
  </si>
  <si>
    <t xml:space="preserve">F-plyny (HFC R32)</t>
  </si>
  <si>
    <t xml:space="preserve">Venkovní jednotky YDAS-*R jsou předplněny chladivem R32: celkem 106,76 t CO2e (105,85 t placené + 0,91 t FOC), tj. cca 158 kg R32. Dovoz zařízení předplněného HFC podléhá nař. (EU) 2024/573 – dovozce (KLIMATIKA) musí být registrován ve F-Gas Portálu, musí mít pokrytí kvótou/oprávněním a v celním prohlášení se uvádí odkaz na prohlášení o shodě. BEZ TOHO CELNÍ ÚŘAD ZBOŽÍ NEPROPUSTÍ. Ověřit u klienta před podáním JSD.</t>
  </si>
  <si>
    <t xml:space="preserve">Chybí přepravné do celní hodnoty</t>
  </si>
  <si>
    <t xml:space="preserve">Dodací doložka je FOB WAIYUN, ZHONGSHAN, CHINA a na HBL je „FREIGHT COLLECT“. Do celní hodnoty je proto nutné připočíst námořní přepravné, THC a případné pojištění až po místo vstupu do celního území EU. Tyto náklady v podkladech NEJSOU – nutno vyžádat fakturu dopravce. Bez ní nelze celní hodnotu uzavřít.</t>
  </si>
  <si>
    <t xml:space="preserve">VYSOKÁ</t>
  </si>
  <si>
    <t xml:space="preserve">Jednotky zdarma (FOC) – ocenění</t>
  </si>
  <si>
    <t xml:space="preserve">Faktura FAD-1272-2026 uvádí 6 ks jednotek zdarma se slevou -100 % (celkem 0,00 EUR, „NO COMMERCIAL VALUE – FOR CUSTOMS PURPOSE ONLY“). Pro celní účely tuto 100% slevu NEUPLATŇUJI: bezúplatné zboží není prodej, převodní hodnotu nemá a oceňuje se dle čl. 74 UCC hodnotou stejného/podobného zboží – použity ceny z faktur, tj. 581,74 EUR. Deklarovat nulu by bylo nesprávné. (Toto je jediná sleva v zásilce – jiný obchodní rabat, který by se rozpouštěl poměrem, v podkladech není.)</t>
  </si>
  <si>
    <t xml:space="preserve">F-gas příspěvek v celní hodnotě – k rozhodnutí</t>
  </si>
  <si>
    <t xml:space="preserve">FAD-1273-2026 účtuje 2 117,00 EUR jako „FGAS CONTRIBUTION“ (u FOC jednotek FAD-1274-2026 18,20 EUR se slevou -100 % → 0,00 EUR). Je fakturován jako služba (reverse charge), ale fakticky jde o platbu za kvótu HFC, která je podmínkou prodeje zboží. Doporučuji ZAHRNOUT do celní hodnoty HS 84151090. Prosím o potvrzení – list „HS Code Summary“ ukazuje součet s ním i bez něj.</t>
  </si>
  <si>
    <t xml:space="preserve">Instrukce – chybí JSD vs. T1</t>
  </si>
  <si>
    <t xml:space="preserve">V souboru INSTRUKCE je pole „Přejete si vystavit JCD (vyclení do volného oběhu) nebo T1 (tranzitní doklad)?“ PRÁZDNÉ, stejně jako „ADRESA VYCLENÍ (V PŘÍPADĚ T1)“ a kontakt na ní. Nutno doptat u klienta před zahájením.</t>
  </si>
  <si>
    <t xml:space="preserve">STŘEDNÍ</t>
  </si>
  <si>
    <t xml:space="preserve">Sazba cla</t>
  </si>
  <si>
    <t xml:space="preserve">Původ CN, bez preference → erga omnes sazba. Pro 8415 10 90 i 8415 90 00 se očekává 2,7 %, ale sazbu, případná ochranná/antidumpingová opatření a další podmínky OVĚŘIT V TARIC k datu podání JSD. Na 8415 z Číny nejsou známa antidumpingová opatření – potvrdit v TARIC.</t>
  </si>
  <si>
    <t xml:space="preserve">Klimatizační jednotky ani jejich díly (kap. 8415) nejsou v příloze I nařízení o CBAM (cement, železo a ocel, hliník, hnojiva, elektřina, vodík). CBAM se na tuto zásilku NEVZTAHUJE.</t>
  </si>
  <si>
    <t xml:space="preserve">Odesílatel – jediný</t>
  </si>
  <si>
    <t xml:space="preserve">Všechny čtyři faktury i HBL mají stejného odesílatele: GROUPE AIRWELL SA (FR). Zásilka má tedy jednoho odesílatele a HS kódy se slučují v rámci něj – dělení po odesílatelích není potřeba.</t>
  </si>
  <si>
    <t xml:space="preserve">NÍZKÁ</t>
  </si>
  <si>
    <t xml:space="preserve">Nesoulad ve výpočtu F-gas</t>
  </si>
  <si>
    <t xml:space="preserve">Rozpis po jednotkách na FAD-1273-2026 dává 105,91 t CO2e / 2 117,70 EUR, faktura účtuje 105,85 t / 2 117,00 EUR (rozdíl 0,70 EUR). Bez dopadu na clo, ale vhodné upozornit odesílatele.</t>
  </si>
  <si>
    <t xml:space="preserve">Zaokrouhlení na faktuře</t>
  </si>
  <si>
    <t xml:space="preserve">U řádků 50, 110, 120 a 130 na FAD-1271-2026 se součin množství × jednotková cena liší o několik centů od uvedené hodnoty řádku. V souhrnu jsou použity hodnoty tak, jak je uvádí faktura.</t>
  </si>
  <si>
    <t xml:space="preserve">Adresa dodání ≠ adresa na faktuře</t>
  </si>
  <si>
    <t xml:space="preserve">Faktury jsou na KLIMATIKA jknp s.r.o., Dolany 690, 783 16 Dolany. Instrukce ale žádá doručení na Bělkovice-Lašťany 800, 783 15 (bývalý areál zemědělského družstva), okno 08:00–12:00, kontakt Martin Jarka, +420 736 100 037. Vykládka: fixní rampa + VZV, kamionem NELZE – nutné avizovat dopravci.</t>
  </si>
  <si>
    <t xml:space="preserve">DPH na faktuře</t>
  </si>
  <si>
    <t xml:space="preserve">Faktury uvádějí „Exo TVA art 262 ter I / Exempt EU Sales – Goods“, tedy režim dodání uvnitř EU, ačkoli fakticky jde o dovoz zboží z Číny. Na celní hodnotu to nemá vliv, DPH se vyměří při propuštění do volného oběhu. Pouze pro informaci.</t>
  </si>
  <si>
    <t xml:space="preserve">POUŽITÉ PODKLADY / SOURCE DOCUMENTS</t>
  </si>
  <si>
    <t xml:space="preserve">•</t>
  </si>
  <si>
    <t xml:space="preserve">HBL DK26070098-B (DK26070098CNWAYCZMNKFD) – TR KLIMATIKA</t>
  </si>
  <si>
    <t xml:space="preserve">Faktura FAD-1271-2026 ze dne 03/07/2026 – placené zboží, 54 797,19 EUR</t>
  </si>
  <si>
    <t xml:space="preserve">Faktura FAD-1272-2026 – jednotky zdarma (FOC UNITS 1%), 581,74 EUR před slevou -100 %</t>
  </si>
  <si>
    <t xml:space="preserve">Faktura FAD-1273-2026 – F-gas příspěvek 2 117,00 EUR</t>
  </si>
  <si>
    <t xml:space="preserve">Faktura FAD-1274-2026 – F-gas příspěvek k FOC jednotkám 18,20 EUR před slevou -100 %</t>
  </si>
  <si>
    <t xml:space="preserve">Packing List PO 28583 / BL DK26070098CNWAYCZMNKFD</t>
  </si>
  <si>
    <t xml:space="preserve">INSTRUKCE k celnímu odbavení a doručení zboží (Maurice Ward &amp; Co., s.r.o.)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</si>
</sst>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9C65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FFE699"/>
      </patternFill>
    </fill>
    <fill>
      <patternFill patternType="solid">
        <fgColor rgb="FFC6EFCE"/>
        <bgColor rgb="FFD9E1F2"/>
      </patternFill>
    </fill>
    <fill>
      <patternFill patternType="solid">
        <fgColor rgb="FFFFF2CC"/>
        <bgColor rgb="FFFFE69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1"/>
    <col collapsed="false" customWidth="true" hidden="false" outlineLevel="0" max="16" min="16" style="0" width="20"/>
    <col collapsed="false" customWidth="true" hidden="false" outlineLevel="0" max="17" min="17" style="0" width="3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15" hidden="false" customHeight="false" outlineLevel="0" collapsed="false">
      <c r="A3" s="2" t="s">
        <v>1</v>
      </c>
      <c r="C3" s="3" t="s"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15" hidden="false" customHeight="false" outlineLevel="0" collapsed="false">
      <c r="A4" s="2" t="s">
        <v>3</v>
      </c>
      <c r="C4" s="3" t="s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5" hidden="false" customHeight="false" outlineLevel="0" collapsed="false">
      <c r="A5" s="2" t="s">
        <v>5</v>
      </c>
      <c r="C5" s="3" t="s">
        <v>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5" hidden="false" customHeight="false" outlineLevel="0" collapsed="false">
      <c r="A6" s="2" t="s">
        <v>7</v>
      </c>
      <c r="C6" s="3" t="s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customFormat="false" ht="15" hidden="false" customHeight="false" outlineLevel="0" collapsed="false">
      <c r="A7" s="2" t="s">
        <v>9</v>
      </c>
      <c r="C7" s="3" t="s">
        <v>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customFormat="false" ht="15" hidden="false" customHeight="false" outlineLevel="0" collapsed="false">
      <c r="A8" s="2" t="s">
        <v>11</v>
      </c>
      <c r="C8" s="4" t="s">
        <v>12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15" hidden="false" customHeight="false" outlineLevel="0" collapsed="false">
      <c r="A9" s="2" t="s">
        <v>13</v>
      </c>
      <c r="C9" s="3" t="s">
        <v>14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customFormat="false" ht="15" hidden="false" customHeight="false" outlineLevel="0" collapsed="false">
      <c r="A10" s="2" t="s">
        <v>15</v>
      </c>
      <c r="C10" s="3" t="s">
        <v>16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customFormat="false" ht="15" hidden="false" customHeight="false" outlineLevel="0" collapsed="false">
      <c r="A11" s="2" t="s">
        <v>17</v>
      </c>
      <c r="C11" s="3" t="s">
        <v>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customFormat="false" ht="15" hidden="false" customHeight="false" outlineLevel="0" collapsed="false">
      <c r="A12" s="2" t="s">
        <v>19</v>
      </c>
      <c r="C12" s="3" t="n">
        <v>499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customFormat="false" ht="15" hidden="false" customHeight="false" outlineLevel="0" collapsed="false">
      <c r="A13" s="2" t="s">
        <v>20</v>
      </c>
      <c r="C13" s="3" t="n">
        <v>65.16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customFormat="false" ht="15" hidden="false" customHeight="false" outlineLevel="0" collapsed="false">
      <c r="A14" s="2" t="s">
        <v>21</v>
      </c>
      <c r="C14" s="3" t="s">
        <v>22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customFormat="false" ht="15" hidden="false" customHeight="false" outlineLevel="0" collapsed="false">
      <c r="A15" s="2" t="s">
        <v>23</v>
      </c>
      <c r="C15" s="5" t="n">
        <v>470</v>
      </c>
      <c r="D15" s="6" t="s">
        <v>24</v>
      </c>
    </row>
    <row r="17" customFormat="false" ht="61.5" hidden="false" customHeight="true" outlineLevel="0" collapsed="false">
      <c r="A17" s="7" t="s">
        <v>25</v>
      </c>
      <c r="B17" s="7" t="s">
        <v>26</v>
      </c>
      <c r="C17" s="7" t="s">
        <v>27</v>
      </c>
      <c r="D17" s="7" t="s">
        <v>28</v>
      </c>
      <c r="E17" s="7" t="s">
        <v>29</v>
      </c>
      <c r="F17" s="7" t="s">
        <v>30</v>
      </c>
      <c r="G17" s="7" t="s">
        <v>31</v>
      </c>
      <c r="H17" s="7" t="s">
        <v>32</v>
      </c>
      <c r="I17" s="7" t="s">
        <v>33</v>
      </c>
      <c r="J17" s="7" t="s">
        <v>34</v>
      </c>
      <c r="K17" s="7" t="s">
        <v>35</v>
      </c>
      <c r="L17" s="7" t="s">
        <v>36</v>
      </c>
      <c r="M17" s="7" t="s">
        <v>37</v>
      </c>
      <c r="N17" s="7" t="s">
        <v>38</v>
      </c>
      <c r="O17" s="7" t="s">
        <v>39</v>
      </c>
      <c r="P17" s="7" t="s">
        <v>40</v>
      </c>
      <c r="Q17" s="7" t="s">
        <v>41</v>
      </c>
    </row>
    <row r="18" customFormat="false" ht="57.75" hidden="false" customHeight="true" outlineLevel="0" collapsed="false">
      <c r="A18" s="8" t="s">
        <v>42</v>
      </c>
      <c r="B18" s="9" t="s">
        <v>43</v>
      </c>
      <c r="C18" s="8" t="s">
        <v>44</v>
      </c>
      <c r="D18" s="8" t="s">
        <v>45</v>
      </c>
      <c r="E18" s="10" t="n">
        <f aca="false">SUMIFS('Line items'!$L$5:$L$17,'Line items'!$G$5:$G$17,$B18)</f>
        <v>498</v>
      </c>
      <c r="F18" s="11" t="n">
        <f aca="false">SUMIFS('Line items'!$M$5:$M$17,'Line items'!$G$5:$G$17,$B18)</f>
        <v>8686.81</v>
      </c>
      <c r="G18" s="11" t="n">
        <f aca="false">SUMIFS('Line items'!$N$5:$N$17,'Line items'!$G$5:$G$17,$B18)</f>
        <v>9743.84</v>
      </c>
      <c r="H18" s="11" t="n">
        <f aca="false">SUMIFS('Line items'!$P$5:$P$17,'Line items'!$G$5:$G$17,$B18)</f>
        <v>52260.79</v>
      </c>
      <c r="I18" s="11" t="n">
        <f aca="false">SUMIFS('Line items'!$Q$5:$Q$17,'Line items'!$G$5:$G$17,$B18)</f>
        <v>581.74</v>
      </c>
      <c r="J18" s="11" t="n">
        <f aca="false">ROUND($C$15*H18/'Line items'!$P$18,2)</f>
        <v>452.12</v>
      </c>
      <c r="K18" s="12" t="n">
        <f aca="false">H18+I18+J18</f>
        <v>53294.65</v>
      </c>
      <c r="L18" s="8" t="s">
        <v>46</v>
      </c>
      <c r="M18" s="8" t="s">
        <v>47</v>
      </c>
      <c r="N18" s="13" t="s">
        <v>48</v>
      </c>
      <c r="O18" s="14" t="s">
        <v>49</v>
      </c>
      <c r="P18" s="8" t="s">
        <v>50</v>
      </c>
      <c r="Q18" s="8" t="s">
        <v>51</v>
      </c>
    </row>
    <row r="19" customFormat="false" ht="57.75" hidden="false" customHeight="true" outlineLevel="0" collapsed="false">
      <c r="A19" s="8" t="s">
        <v>42</v>
      </c>
      <c r="B19" s="9" t="s">
        <v>52</v>
      </c>
      <c r="C19" s="8" t="s">
        <v>53</v>
      </c>
      <c r="D19" s="8" t="s">
        <v>54</v>
      </c>
      <c r="E19" s="10" t="n">
        <f aca="false">SUMIFS('Line items'!$L$5:$L$17,'Line items'!$G$5:$G$17,$B19)</f>
        <v>246</v>
      </c>
      <c r="F19" s="11" t="n">
        <f aca="false">SUMIFS('Line items'!$M$5:$M$17,'Line items'!$G$5:$G$17,$B19)</f>
        <v>4</v>
      </c>
      <c r="G19" s="11" t="n">
        <f aca="false">SUMIFS('Line items'!$N$5:$N$17,'Line items'!$G$5:$G$17,$B19)</f>
        <v>4.6</v>
      </c>
      <c r="H19" s="11" t="n">
        <f aca="false">SUMIFS('Line items'!$P$5:$P$17,'Line items'!$G$5:$G$17,$B19)</f>
        <v>2066.4</v>
      </c>
      <c r="I19" s="11" t="n">
        <f aca="false">SUMIFS('Line items'!$Q$5:$Q$17,'Line items'!$G$5:$G$17,$B19)</f>
        <v>0</v>
      </c>
      <c r="J19" s="11" t="n">
        <f aca="false">ROUND($C$15*H19/'Line items'!$P$18,2)</f>
        <v>17.88</v>
      </c>
      <c r="K19" s="12" t="n">
        <f aca="false">H19+I19+J19</f>
        <v>2084.28</v>
      </c>
      <c r="L19" s="8" t="s">
        <v>46</v>
      </c>
      <c r="M19" s="8" t="s">
        <v>47</v>
      </c>
      <c r="N19" s="13" t="s">
        <v>48</v>
      </c>
      <c r="O19" s="14" t="s">
        <v>49</v>
      </c>
      <c r="P19" s="8" t="s">
        <v>50</v>
      </c>
      <c r="Q19" s="8" t="s">
        <v>55</v>
      </c>
    </row>
    <row r="20" customFormat="false" ht="15" hidden="false" customHeight="false" outlineLevel="0" collapsed="false">
      <c r="A20" s="15" t="s">
        <v>56</v>
      </c>
      <c r="B20" s="15"/>
      <c r="C20" s="15"/>
      <c r="D20" s="15"/>
      <c r="E20" s="16" t="n">
        <f aca="false">SUM(E18:E19)</f>
        <v>744</v>
      </c>
      <c r="F20" s="17" t="n">
        <f aca="false">SUM(F18:F19)</f>
        <v>8690.81</v>
      </c>
      <c r="G20" s="17" t="n">
        <f aca="false">SUM(G18:G19)</f>
        <v>9748.44</v>
      </c>
      <c r="H20" s="17" t="n">
        <f aca="false">SUM(H18:H19)</f>
        <v>54327.19</v>
      </c>
      <c r="I20" s="17" t="n">
        <f aca="false">SUM(I18:I19)</f>
        <v>581.74</v>
      </c>
      <c r="J20" s="17" t="n">
        <f aca="false">SUM(J18:J19)</f>
        <v>470</v>
      </c>
      <c r="K20" s="17" t="n">
        <f aca="false">SUM(K18:K19)</f>
        <v>55378.93</v>
      </c>
      <c r="L20" s="15"/>
      <c r="M20" s="15"/>
      <c r="N20" s="15"/>
      <c r="O20" s="15"/>
      <c r="P20" s="15"/>
      <c r="Q20" s="15"/>
    </row>
    <row r="22" customFormat="false" ht="15" hidden="false" customHeight="false" outlineLevel="0" collapsed="false">
      <c r="A22" s="18" t="s">
        <v>57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false" outlineLevel="0" collapsed="false">
      <c r="A23" s="19" t="s">
        <v>58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</row>
    <row r="24" customFormat="false" ht="23.85" hidden="false" customHeight="false" outlineLevel="0" collapsed="false">
      <c r="A24" s="20" t="s">
        <v>59</v>
      </c>
      <c r="B24" s="20" t="s">
        <v>26</v>
      </c>
      <c r="C24" s="20" t="s">
        <v>60</v>
      </c>
      <c r="D24" s="20" t="s">
        <v>61</v>
      </c>
      <c r="E24" s="20" t="s">
        <v>62</v>
      </c>
      <c r="F24" s="20" t="s">
        <v>63</v>
      </c>
      <c r="G24" s="20" t="s">
        <v>64</v>
      </c>
      <c r="H24" s="20" t="s">
        <v>65</v>
      </c>
    </row>
    <row r="25" customFormat="false" ht="15" hidden="false" customHeight="false" outlineLevel="0" collapsed="false">
      <c r="A25" s="8" t="s">
        <v>66</v>
      </c>
      <c r="B25" s="8" t="s">
        <v>43</v>
      </c>
      <c r="C25" s="8" t="s">
        <v>67</v>
      </c>
      <c r="D25" s="10" t="n">
        <f aca="false">SUMIFS('Line items'!$L$5:$L$17,'Line items'!$F$5:$F$17,$A25)</f>
        <v>250</v>
      </c>
      <c r="E25" s="21" t="n">
        <f aca="false">SUMIFS('Line items'!$M$5:$M$17,'Line items'!$F$5:$F$17,$A25)</f>
        <v>2383.55</v>
      </c>
      <c r="F25" s="21" t="n">
        <f aca="false">SUMIFS('Line items'!$N$5:$N$17,'Line items'!$F$5:$F$17,$A25)</f>
        <v>2836.44</v>
      </c>
      <c r="G25" s="21" t="n">
        <f aca="false">SUMIFS('Line items'!$R$5:$R$17,'Line items'!$F$5:$F$17,$A25)</f>
        <v>18933.21</v>
      </c>
      <c r="H25" s="22" t="s">
        <v>68</v>
      </c>
    </row>
    <row r="26" customFormat="false" ht="15" hidden="false" customHeight="false" outlineLevel="0" collapsed="false">
      <c r="A26" s="8" t="s">
        <v>69</v>
      </c>
      <c r="B26" s="8" t="s">
        <v>43</v>
      </c>
      <c r="C26" s="8" t="s">
        <v>70</v>
      </c>
      <c r="D26" s="10" t="n">
        <f aca="false">SUMIFS('Line items'!$L$5:$L$17,'Line items'!$F$5:$F$17,$A26)</f>
        <v>248</v>
      </c>
      <c r="E26" s="21" t="n">
        <f aca="false">SUMIFS('Line items'!$M$5:$M$17,'Line items'!$F$5:$F$17,$A26)</f>
        <v>6303.26</v>
      </c>
      <c r="F26" s="21" t="n">
        <f aca="false">SUMIFS('Line items'!$N$5:$N$17,'Line items'!$F$5:$F$17,$A26)</f>
        <v>6907.4</v>
      </c>
      <c r="G26" s="21" t="n">
        <f aca="false">SUMIFS('Line items'!$R$5:$R$17,'Line items'!$F$5:$F$17,$A26)</f>
        <v>33909.32</v>
      </c>
      <c r="H26" s="22" t="n">
        <f aca="false">'F-gas'!$H$9</f>
        <v>106.822</v>
      </c>
    </row>
    <row r="28" customFormat="false" ht="15" hidden="false" customHeight="false" outlineLevel="0" collapsed="false">
      <c r="A28" s="18" t="s">
        <v>71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30" hidden="false" customHeight="true" outlineLevel="0" collapsed="false">
      <c r="A29" s="23" t="s">
        <v>72</v>
      </c>
      <c r="B29" s="23"/>
      <c r="C29" s="23"/>
      <c r="D29" s="23"/>
      <c r="E29" s="23"/>
      <c r="F29" s="23"/>
      <c r="G29" s="24" t="n">
        <f aca="false">H20</f>
        <v>54327.19</v>
      </c>
      <c r="H29" s="25" t="s">
        <v>73</v>
      </c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30" hidden="false" customHeight="true" outlineLevel="0" collapsed="false">
      <c r="A30" s="23" t="s">
        <v>74</v>
      </c>
      <c r="B30" s="23"/>
      <c r="C30" s="23"/>
      <c r="D30" s="23"/>
      <c r="E30" s="23"/>
      <c r="F30" s="23"/>
      <c r="G30" s="24" t="n">
        <f aca="false">I20</f>
        <v>581.74</v>
      </c>
      <c r="H30" s="25" t="s">
        <v>75</v>
      </c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30" hidden="false" customHeight="true" outlineLevel="0" collapsed="false">
      <c r="A31" s="23" t="s">
        <v>76</v>
      </c>
      <c r="B31" s="23"/>
      <c r="C31" s="23"/>
      <c r="D31" s="23"/>
      <c r="E31" s="23"/>
      <c r="F31" s="23"/>
      <c r="G31" s="24" t="n">
        <f aca="false">J20</f>
        <v>470</v>
      </c>
      <c r="H31" s="25" t="s">
        <v>77</v>
      </c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30" hidden="false" customHeight="true" outlineLevel="0" collapsed="false">
      <c r="A32" s="15" t="s">
        <v>78</v>
      </c>
      <c r="B32" s="15"/>
      <c r="C32" s="15"/>
      <c r="D32" s="15"/>
      <c r="E32" s="15"/>
      <c r="F32" s="15"/>
      <c r="G32" s="17" t="n">
        <f aca="false">K20</f>
        <v>55378.93</v>
      </c>
      <c r="H32" s="26" t="s">
        <v>79</v>
      </c>
      <c r="I32" s="26"/>
      <c r="J32" s="26"/>
      <c r="K32" s="26"/>
      <c r="L32" s="26"/>
      <c r="M32" s="26"/>
      <c r="N32" s="26"/>
      <c r="O32" s="26"/>
      <c r="P32" s="26"/>
      <c r="Q32" s="26"/>
    </row>
    <row r="33" customFormat="false" ht="30" hidden="false" customHeight="true" outlineLevel="0" collapsed="false">
      <c r="A33" s="27" t="s">
        <v>80</v>
      </c>
      <c r="B33" s="27"/>
      <c r="C33" s="27"/>
      <c r="D33" s="27"/>
      <c r="E33" s="27"/>
      <c r="F33" s="27"/>
      <c r="G33" s="28" t="s">
        <v>81</v>
      </c>
      <c r="H33" s="29" t="s">
        <v>82</v>
      </c>
      <c r="I33" s="29"/>
      <c r="J33" s="29"/>
      <c r="K33" s="29"/>
      <c r="L33" s="29"/>
      <c r="M33" s="29"/>
      <c r="N33" s="29"/>
      <c r="O33" s="29"/>
      <c r="P33" s="29"/>
      <c r="Q33" s="29"/>
    </row>
    <row r="34" customFormat="false" ht="30" hidden="false" customHeight="true" outlineLevel="0" collapsed="false">
      <c r="A34" s="23" t="s">
        <v>83</v>
      </c>
      <c r="B34" s="23"/>
      <c r="C34" s="23"/>
      <c r="D34" s="23"/>
      <c r="E34" s="23"/>
      <c r="F34" s="23"/>
      <c r="G34" s="24" t="n">
        <v>2117</v>
      </c>
      <c r="H34" s="25" t="s">
        <v>84</v>
      </c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15" t="s">
        <v>85</v>
      </c>
      <c r="B35" s="15"/>
      <c r="C35" s="15"/>
      <c r="D35" s="15"/>
      <c r="E35" s="15"/>
      <c r="F35" s="15"/>
      <c r="G35" s="30" t="n">
        <f aca="false">G32+G34</f>
        <v>57495.93</v>
      </c>
      <c r="H35" s="31" t="s">
        <v>86</v>
      </c>
      <c r="I35" s="31"/>
      <c r="J35" s="31"/>
      <c r="K35" s="31"/>
      <c r="L35" s="31"/>
      <c r="M35" s="31"/>
      <c r="N35" s="31"/>
      <c r="O35" s="31"/>
      <c r="P35" s="31"/>
      <c r="Q35" s="31"/>
    </row>
  </sheetData>
  <mergeCells count="30">
    <mergeCell ref="A1:Q1"/>
    <mergeCell ref="C3:Q3"/>
    <mergeCell ref="C4:Q4"/>
    <mergeCell ref="C5:Q5"/>
    <mergeCell ref="C6:Q6"/>
    <mergeCell ref="C7:Q7"/>
    <mergeCell ref="C8:Q8"/>
    <mergeCell ref="C9:Q9"/>
    <mergeCell ref="C10:Q10"/>
    <mergeCell ref="C11:Q11"/>
    <mergeCell ref="C12:Q12"/>
    <mergeCell ref="C13:Q13"/>
    <mergeCell ref="C14:Q14"/>
    <mergeCell ref="A22:Q22"/>
    <mergeCell ref="A23:Q23"/>
    <mergeCell ref="A28:Q28"/>
    <mergeCell ref="A29:F29"/>
    <mergeCell ref="H29:Q29"/>
    <mergeCell ref="A30:F30"/>
    <mergeCell ref="H30:Q30"/>
    <mergeCell ref="A31:F31"/>
    <mergeCell ref="H31:Q31"/>
    <mergeCell ref="A32:F32"/>
    <mergeCell ref="H32:Q32"/>
    <mergeCell ref="A33:F33"/>
    <mergeCell ref="H33:Q33"/>
    <mergeCell ref="A34:F34"/>
    <mergeCell ref="H34:Q34"/>
    <mergeCell ref="A35:F35"/>
    <mergeCell ref="H35: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5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4"/>
    <col collapsed="false" customWidth="true" hidden="false" outlineLevel="0" max="18" min="18" style="0" width="18"/>
  </cols>
  <sheetData>
    <row r="1" customFormat="false" ht="17.35" hidden="false" customHeight="false" outlineLevel="0" collapsed="false">
      <c r="A1" s="32" t="s">
        <v>87</v>
      </c>
    </row>
    <row r="2" customFormat="false" ht="15" hidden="false" customHeight="false" outlineLevel="0" collapsed="false">
      <c r="A2" s="6" t="s">
        <v>88</v>
      </c>
    </row>
    <row r="4" customFormat="false" ht="45.75" hidden="false" customHeight="true" outlineLevel="0" collapsed="false">
      <c r="A4" s="7" t="s">
        <v>25</v>
      </c>
      <c r="B4" s="7" t="s">
        <v>89</v>
      </c>
      <c r="C4" s="7" t="s">
        <v>90</v>
      </c>
      <c r="D4" s="7" t="s">
        <v>91</v>
      </c>
      <c r="E4" s="7" t="s">
        <v>27</v>
      </c>
      <c r="F4" s="7" t="s">
        <v>59</v>
      </c>
      <c r="G4" s="7" t="s">
        <v>26</v>
      </c>
      <c r="H4" s="7" t="s">
        <v>37</v>
      </c>
      <c r="I4" s="7" t="s">
        <v>19</v>
      </c>
      <c r="J4" s="7" t="s">
        <v>92</v>
      </c>
      <c r="K4" s="7" t="s">
        <v>93</v>
      </c>
      <c r="L4" s="7" t="s">
        <v>94</v>
      </c>
      <c r="M4" s="7" t="s">
        <v>95</v>
      </c>
      <c r="N4" s="7" t="s">
        <v>96</v>
      </c>
      <c r="O4" s="7" t="s">
        <v>97</v>
      </c>
      <c r="P4" s="7" t="s">
        <v>98</v>
      </c>
      <c r="Q4" s="7" t="s">
        <v>99</v>
      </c>
      <c r="R4" s="7" t="s">
        <v>100</v>
      </c>
    </row>
    <row r="5" customFormat="false" ht="15" hidden="false" customHeight="false" outlineLevel="0" collapsed="false">
      <c r="A5" s="8" t="s">
        <v>42</v>
      </c>
      <c r="B5" s="8" t="s">
        <v>101</v>
      </c>
      <c r="C5" s="8" t="s">
        <v>102</v>
      </c>
      <c r="D5" s="8" t="s">
        <v>103</v>
      </c>
      <c r="E5" s="8" t="s">
        <v>104</v>
      </c>
      <c r="F5" s="8" t="s">
        <v>66</v>
      </c>
      <c r="G5" s="33" t="s">
        <v>43</v>
      </c>
      <c r="H5" s="8" t="s">
        <v>47</v>
      </c>
      <c r="I5" s="34" t="n">
        <v>25</v>
      </c>
      <c r="J5" s="34" t="n">
        <v>25</v>
      </c>
      <c r="K5" s="34" t="n">
        <v>0</v>
      </c>
      <c r="L5" s="34" t="n">
        <f aca="false">J5+K5</f>
        <v>25</v>
      </c>
      <c r="M5" s="35" t="n">
        <v>211.25</v>
      </c>
      <c r="N5" s="35" t="n">
        <v>251.25</v>
      </c>
      <c r="O5" s="35" t="n">
        <v>57.6</v>
      </c>
      <c r="P5" s="35" t="n">
        <v>1440</v>
      </c>
      <c r="Q5" s="35" t="n">
        <v>0</v>
      </c>
      <c r="R5" s="35" t="n">
        <f aca="false">P5+Q5</f>
        <v>1440</v>
      </c>
    </row>
    <row r="6" customFormat="false" ht="15" hidden="false" customHeight="false" outlineLevel="0" collapsed="false">
      <c r="A6" s="8" t="s">
        <v>42</v>
      </c>
      <c r="B6" s="8" t="s">
        <v>105</v>
      </c>
      <c r="C6" s="8" t="s">
        <v>106</v>
      </c>
      <c r="D6" s="8" t="s">
        <v>107</v>
      </c>
      <c r="E6" s="8" t="s">
        <v>104</v>
      </c>
      <c r="F6" s="8" t="s">
        <v>66</v>
      </c>
      <c r="G6" s="33" t="s">
        <v>43</v>
      </c>
      <c r="H6" s="8" t="s">
        <v>47</v>
      </c>
      <c r="I6" s="34" t="n">
        <v>64</v>
      </c>
      <c r="J6" s="34" t="n">
        <v>63</v>
      </c>
      <c r="K6" s="34" t="n">
        <v>1</v>
      </c>
      <c r="L6" s="34" t="n">
        <f aca="false">J6+K6</f>
        <v>64</v>
      </c>
      <c r="M6" s="35" t="n">
        <v>629.12</v>
      </c>
      <c r="N6" s="35" t="n">
        <v>750.72</v>
      </c>
      <c r="O6" s="35" t="n">
        <v>63.24</v>
      </c>
      <c r="P6" s="35" t="n">
        <v>3984.12</v>
      </c>
      <c r="Q6" s="35" t="n">
        <v>63.24</v>
      </c>
      <c r="R6" s="35" t="n">
        <f aca="false">P6+Q6</f>
        <v>4047.36</v>
      </c>
    </row>
    <row r="7" customFormat="false" ht="15" hidden="false" customHeight="false" outlineLevel="0" collapsed="false">
      <c r="A7" s="8" t="s">
        <v>42</v>
      </c>
      <c r="B7" s="8" t="s">
        <v>101</v>
      </c>
      <c r="C7" s="8" t="s">
        <v>108</v>
      </c>
      <c r="D7" s="8" t="s">
        <v>109</v>
      </c>
      <c r="E7" s="8" t="s">
        <v>104</v>
      </c>
      <c r="F7" s="8" t="s">
        <v>66</v>
      </c>
      <c r="G7" s="33" t="s">
        <v>43</v>
      </c>
      <c r="H7" s="8" t="s">
        <v>47</v>
      </c>
      <c r="I7" s="34" t="n">
        <v>25</v>
      </c>
      <c r="J7" s="34" t="n">
        <v>25</v>
      </c>
      <c r="K7" s="34" t="n">
        <v>0</v>
      </c>
      <c r="L7" s="34" t="n">
        <f aca="false">J7+K7</f>
        <v>25</v>
      </c>
      <c r="M7" s="35" t="n">
        <v>260</v>
      </c>
      <c r="N7" s="35" t="n">
        <v>288.75</v>
      </c>
      <c r="O7" s="35" t="n">
        <v>104.27</v>
      </c>
      <c r="P7" s="35" t="n">
        <v>2606.8</v>
      </c>
      <c r="Q7" s="35" t="n">
        <v>0</v>
      </c>
      <c r="R7" s="35" t="n">
        <f aca="false">P7+Q7</f>
        <v>2606.8</v>
      </c>
    </row>
    <row r="8" customFormat="false" ht="15" hidden="false" customHeight="false" outlineLevel="0" collapsed="false">
      <c r="A8" s="8" t="s">
        <v>42</v>
      </c>
      <c r="B8" s="8" t="s">
        <v>101</v>
      </c>
      <c r="C8" s="8" t="s">
        <v>110</v>
      </c>
      <c r="D8" s="8" t="s">
        <v>111</v>
      </c>
      <c r="E8" s="8" t="s">
        <v>104</v>
      </c>
      <c r="F8" s="8" t="s">
        <v>66</v>
      </c>
      <c r="G8" s="33" t="s">
        <v>43</v>
      </c>
      <c r="H8" s="8" t="s">
        <v>47</v>
      </c>
      <c r="I8" s="34" t="n">
        <v>10</v>
      </c>
      <c r="J8" s="34" t="n">
        <v>10</v>
      </c>
      <c r="K8" s="34" t="n">
        <v>0</v>
      </c>
      <c r="L8" s="34" t="n">
        <f aca="false">J8+K8</f>
        <v>10</v>
      </c>
      <c r="M8" s="35" t="n">
        <v>133</v>
      </c>
      <c r="N8" s="35" t="n">
        <v>157</v>
      </c>
      <c r="O8" s="35" t="n">
        <v>136.8</v>
      </c>
      <c r="P8" s="35" t="n">
        <v>1368</v>
      </c>
      <c r="Q8" s="35" t="n">
        <v>0</v>
      </c>
      <c r="R8" s="35" t="n">
        <f aca="false">P8+Q8</f>
        <v>1368</v>
      </c>
    </row>
    <row r="9" customFormat="false" ht="15" hidden="false" customHeight="false" outlineLevel="0" collapsed="false">
      <c r="A9" s="8" t="s">
        <v>42</v>
      </c>
      <c r="B9" s="8" t="s">
        <v>105</v>
      </c>
      <c r="C9" s="8" t="s">
        <v>112</v>
      </c>
      <c r="D9" s="8" t="s">
        <v>113</v>
      </c>
      <c r="E9" s="8" t="s">
        <v>104</v>
      </c>
      <c r="F9" s="8" t="s">
        <v>66</v>
      </c>
      <c r="G9" s="33" t="s">
        <v>43</v>
      </c>
      <c r="H9" s="8" t="s">
        <v>47</v>
      </c>
      <c r="I9" s="34" t="n">
        <v>26</v>
      </c>
      <c r="J9" s="34" t="n">
        <v>25</v>
      </c>
      <c r="K9" s="34" t="n">
        <v>1</v>
      </c>
      <c r="L9" s="34" t="n">
        <f aca="false">J9+K9</f>
        <v>26</v>
      </c>
      <c r="M9" s="35" t="n">
        <v>200.72</v>
      </c>
      <c r="N9" s="35" t="n">
        <v>242.32</v>
      </c>
      <c r="O9" s="35" t="n">
        <v>57.08</v>
      </c>
      <c r="P9" s="35" t="n">
        <v>1426.94</v>
      </c>
      <c r="Q9" s="35" t="n">
        <v>57.08</v>
      </c>
      <c r="R9" s="35" t="n">
        <f aca="false">P9+Q9</f>
        <v>1484.02</v>
      </c>
    </row>
    <row r="10" customFormat="false" ht="15" hidden="false" customHeight="false" outlineLevel="0" collapsed="false">
      <c r="A10" s="8" t="s">
        <v>42</v>
      </c>
      <c r="B10" s="8" t="s">
        <v>105</v>
      </c>
      <c r="C10" s="8" t="s">
        <v>114</v>
      </c>
      <c r="D10" s="8" t="s">
        <v>115</v>
      </c>
      <c r="E10" s="8" t="s">
        <v>104</v>
      </c>
      <c r="F10" s="8" t="s">
        <v>66</v>
      </c>
      <c r="G10" s="33" t="s">
        <v>43</v>
      </c>
      <c r="H10" s="8" t="s">
        <v>47</v>
      </c>
      <c r="I10" s="34" t="n">
        <v>64</v>
      </c>
      <c r="J10" s="34" t="n">
        <v>63</v>
      </c>
      <c r="K10" s="34" t="n">
        <v>1</v>
      </c>
      <c r="L10" s="34" t="n">
        <f aca="false">J10+K10</f>
        <v>64</v>
      </c>
      <c r="M10" s="35" t="n">
        <v>579.84</v>
      </c>
      <c r="N10" s="35" t="n">
        <v>700.16</v>
      </c>
      <c r="O10" s="35" t="n">
        <v>62.21</v>
      </c>
      <c r="P10" s="35" t="n">
        <v>3919.44</v>
      </c>
      <c r="Q10" s="35" t="n">
        <v>62.21</v>
      </c>
      <c r="R10" s="35" t="n">
        <f aca="false">P10+Q10</f>
        <v>3981.65</v>
      </c>
    </row>
    <row r="11" customFormat="false" ht="15" hidden="false" customHeight="false" outlineLevel="0" collapsed="false">
      <c r="A11" s="8" t="s">
        <v>42</v>
      </c>
      <c r="B11" s="8" t="s">
        <v>105</v>
      </c>
      <c r="C11" s="8" t="s">
        <v>116</v>
      </c>
      <c r="D11" s="8" t="s">
        <v>117</v>
      </c>
      <c r="E11" s="8" t="s">
        <v>104</v>
      </c>
      <c r="F11" s="8" t="s">
        <v>66</v>
      </c>
      <c r="G11" s="33" t="s">
        <v>43</v>
      </c>
      <c r="H11" s="8" t="s">
        <v>47</v>
      </c>
      <c r="I11" s="34" t="n">
        <v>26</v>
      </c>
      <c r="J11" s="34" t="n">
        <v>25</v>
      </c>
      <c r="K11" s="34" t="n">
        <v>1</v>
      </c>
      <c r="L11" s="34" t="n">
        <f aca="false">J11+K11</f>
        <v>26</v>
      </c>
      <c r="M11" s="35" t="n">
        <v>247.52</v>
      </c>
      <c r="N11" s="35" t="n">
        <v>300.04</v>
      </c>
      <c r="O11" s="35" t="n">
        <v>101.36</v>
      </c>
      <c r="P11" s="35" t="n">
        <v>2533.89</v>
      </c>
      <c r="Q11" s="35" t="n">
        <v>103.49</v>
      </c>
      <c r="R11" s="35" t="n">
        <f aca="false">P11+Q11</f>
        <v>2637.38</v>
      </c>
    </row>
    <row r="12" customFormat="false" ht="15" hidden="false" customHeight="false" outlineLevel="0" collapsed="false">
      <c r="A12" s="8" t="s">
        <v>42</v>
      </c>
      <c r="B12" s="8" t="s">
        <v>101</v>
      </c>
      <c r="C12" s="8" t="s">
        <v>118</v>
      </c>
      <c r="D12" s="8" t="s">
        <v>119</v>
      </c>
      <c r="E12" s="8" t="s">
        <v>104</v>
      </c>
      <c r="F12" s="8" t="s">
        <v>66</v>
      </c>
      <c r="G12" s="33" t="s">
        <v>43</v>
      </c>
      <c r="H12" s="8" t="s">
        <v>47</v>
      </c>
      <c r="I12" s="34" t="n">
        <v>10</v>
      </c>
      <c r="J12" s="34" t="n">
        <v>10</v>
      </c>
      <c r="K12" s="34" t="n">
        <v>0</v>
      </c>
      <c r="L12" s="34" t="n">
        <f aca="false">J12+K12</f>
        <v>10</v>
      </c>
      <c r="M12" s="35" t="n">
        <v>122.1</v>
      </c>
      <c r="N12" s="35" t="n">
        <v>146.2</v>
      </c>
      <c r="O12" s="35" t="n">
        <v>136.8</v>
      </c>
      <c r="P12" s="35" t="n">
        <v>1368</v>
      </c>
      <c r="Q12" s="35" t="n">
        <v>0</v>
      </c>
      <c r="R12" s="35" t="n">
        <f aca="false">P12+Q12</f>
        <v>1368</v>
      </c>
    </row>
    <row r="13" customFormat="false" ht="15" hidden="false" customHeight="false" outlineLevel="0" collapsed="false">
      <c r="A13" s="8" t="s">
        <v>42</v>
      </c>
      <c r="B13" s="8" t="s">
        <v>101</v>
      </c>
      <c r="C13" s="8" t="s">
        <v>120</v>
      </c>
      <c r="D13" s="8" t="s">
        <v>121</v>
      </c>
      <c r="E13" s="8" t="s">
        <v>122</v>
      </c>
      <c r="F13" s="8" t="s">
        <v>69</v>
      </c>
      <c r="G13" s="33" t="s">
        <v>43</v>
      </c>
      <c r="H13" s="8" t="s">
        <v>47</v>
      </c>
      <c r="I13" s="34" t="n">
        <v>50</v>
      </c>
      <c r="J13" s="34" t="n">
        <v>50</v>
      </c>
      <c r="K13" s="34" t="n">
        <v>0</v>
      </c>
      <c r="L13" s="34" t="n">
        <f aca="false">J13+K13</f>
        <v>50</v>
      </c>
      <c r="M13" s="35" t="n">
        <v>1019</v>
      </c>
      <c r="N13" s="35" t="n">
        <v>1114</v>
      </c>
      <c r="O13" s="35" t="n">
        <v>109.98</v>
      </c>
      <c r="P13" s="35" t="n">
        <v>5499</v>
      </c>
      <c r="Q13" s="35" t="n">
        <v>0</v>
      </c>
      <c r="R13" s="35" t="n">
        <f aca="false">P13+Q13</f>
        <v>5499</v>
      </c>
    </row>
    <row r="14" customFormat="false" ht="15" hidden="false" customHeight="false" outlineLevel="0" collapsed="false">
      <c r="A14" s="8" t="s">
        <v>42</v>
      </c>
      <c r="B14" s="8" t="s">
        <v>105</v>
      </c>
      <c r="C14" s="8" t="s">
        <v>123</v>
      </c>
      <c r="D14" s="8" t="s">
        <v>124</v>
      </c>
      <c r="E14" s="8" t="s">
        <v>122</v>
      </c>
      <c r="F14" s="8" t="s">
        <v>69</v>
      </c>
      <c r="G14" s="33" t="s">
        <v>43</v>
      </c>
      <c r="H14" s="8" t="s">
        <v>47</v>
      </c>
      <c r="I14" s="34" t="n">
        <v>127</v>
      </c>
      <c r="J14" s="34" t="n">
        <v>126</v>
      </c>
      <c r="K14" s="34" t="n">
        <v>1</v>
      </c>
      <c r="L14" s="34" t="n">
        <f aca="false">J14+K14</f>
        <v>127</v>
      </c>
      <c r="M14" s="35" t="n">
        <v>2961.64</v>
      </c>
      <c r="N14" s="35" t="n">
        <v>3253.74</v>
      </c>
      <c r="O14" s="35" t="n">
        <v>113.1</v>
      </c>
      <c r="P14" s="35" t="n">
        <v>14250.6</v>
      </c>
      <c r="Q14" s="35" t="n">
        <v>113.1</v>
      </c>
      <c r="R14" s="35" t="n">
        <f aca="false">P14+Q14</f>
        <v>14363.7</v>
      </c>
    </row>
    <row r="15" customFormat="false" ht="15" hidden="false" customHeight="false" outlineLevel="0" collapsed="false">
      <c r="A15" s="8" t="s">
        <v>42</v>
      </c>
      <c r="B15" s="8" t="s">
        <v>105</v>
      </c>
      <c r="C15" s="8" t="s">
        <v>125</v>
      </c>
      <c r="D15" s="8" t="s">
        <v>126</v>
      </c>
      <c r="E15" s="8" t="s">
        <v>122</v>
      </c>
      <c r="F15" s="8" t="s">
        <v>69</v>
      </c>
      <c r="G15" s="33" t="s">
        <v>43</v>
      </c>
      <c r="H15" s="8" t="s">
        <v>47</v>
      </c>
      <c r="I15" s="34" t="n">
        <v>51</v>
      </c>
      <c r="J15" s="34" t="n">
        <v>50</v>
      </c>
      <c r="K15" s="34" t="n">
        <v>1</v>
      </c>
      <c r="L15" s="34" t="n">
        <f aca="false">J15+K15</f>
        <v>51</v>
      </c>
      <c r="M15" s="35" t="n">
        <v>1541.22</v>
      </c>
      <c r="N15" s="35" t="n">
        <v>1686.06</v>
      </c>
      <c r="O15" s="35" t="n">
        <v>182.62</v>
      </c>
      <c r="P15" s="35" t="n">
        <v>9131</v>
      </c>
      <c r="Q15" s="35" t="n">
        <v>182.62</v>
      </c>
      <c r="R15" s="35" t="n">
        <f aca="false">P15+Q15</f>
        <v>9313.62</v>
      </c>
    </row>
    <row r="16" customFormat="false" ht="15" hidden="false" customHeight="false" outlineLevel="0" collapsed="false">
      <c r="A16" s="8" t="s">
        <v>42</v>
      </c>
      <c r="B16" s="8" t="s">
        <v>101</v>
      </c>
      <c r="C16" s="8" t="s">
        <v>127</v>
      </c>
      <c r="D16" s="8" t="s">
        <v>128</v>
      </c>
      <c r="E16" s="8" t="s">
        <v>122</v>
      </c>
      <c r="F16" s="8" t="s">
        <v>69</v>
      </c>
      <c r="G16" s="33" t="s">
        <v>43</v>
      </c>
      <c r="H16" s="8" t="s">
        <v>47</v>
      </c>
      <c r="I16" s="34" t="n">
        <v>20</v>
      </c>
      <c r="J16" s="34" t="n">
        <v>20</v>
      </c>
      <c r="K16" s="34" t="n">
        <v>0</v>
      </c>
      <c r="L16" s="34" t="n">
        <f aca="false">J16+K16</f>
        <v>20</v>
      </c>
      <c r="M16" s="35" t="n">
        <v>781.4</v>
      </c>
      <c r="N16" s="35" t="n">
        <v>853.6</v>
      </c>
      <c r="O16" s="35" t="n">
        <v>236.65</v>
      </c>
      <c r="P16" s="35" t="n">
        <v>4733</v>
      </c>
      <c r="Q16" s="35" t="n">
        <v>0</v>
      </c>
      <c r="R16" s="35" t="n">
        <f aca="false">P16+Q16</f>
        <v>4733</v>
      </c>
    </row>
    <row r="17" customFormat="false" ht="15" hidden="false" customHeight="false" outlineLevel="0" collapsed="false">
      <c r="A17" s="8" t="s">
        <v>42</v>
      </c>
      <c r="B17" s="8" t="s">
        <v>101</v>
      </c>
      <c r="C17" s="8" t="s">
        <v>129</v>
      </c>
      <c r="D17" s="8" t="s">
        <v>130</v>
      </c>
      <c r="E17" s="8" t="s">
        <v>53</v>
      </c>
      <c r="F17" s="8" t="s">
        <v>131</v>
      </c>
      <c r="G17" s="33" t="s">
        <v>52</v>
      </c>
      <c r="H17" s="8" t="s">
        <v>47</v>
      </c>
      <c r="I17" s="34" t="n">
        <v>1</v>
      </c>
      <c r="J17" s="34" t="n">
        <v>246</v>
      </c>
      <c r="K17" s="34" t="n">
        <v>0</v>
      </c>
      <c r="L17" s="34" t="n">
        <f aca="false">J17+K17</f>
        <v>246</v>
      </c>
      <c r="M17" s="35" t="n">
        <v>4</v>
      </c>
      <c r="N17" s="35" t="n">
        <v>4.6</v>
      </c>
      <c r="O17" s="35" t="n">
        <v>8.4</v>
      </c>
      <c r="P17" s="35" t="n">
        <v>2066.4</v>
      </c>
      <c r="Q17" s="35" t="n">
        <v>0</v>
      </c>
      <c r="R17" s="35" t="n">
        <f aca="false">P17+Q17</f>
        <v>2066.4</v>
      </c>
    </row>
    <row r="18" customFormat="false" ht="15" hidden="false" customHeight="false" outlineLevel="0" collapsed="false">
      <c r="A18" s="15" t="s">
        <v>56</v>
      </c>
      <c r="B18" s="15"/>
      <c r="C18" s="15"/>
      <c r="D18" s="15"/>
      <c r="E18" s="15"/>
      <c r="F18" s="15"/>
      <c r="G18" s="15"/>
      <c r="H18" s="15"/>
      <c r="I18" s="36" t="n">
        <f aca="false">SUM(I5:I17)</f>
        <v>499</v>
      </c>
      <c r="J18" s="36" t="n">
        <f aca="false">SUM(J5:J17)</f>
        <v>738</v>
      </c>
      <c r="K18" s="36" t="n">
        <f aca="false">SUM(K5:K17)</f>
        <v>6</v>
      </c>
      <c r="L18" s="36" t="n">
        <f aca="false">SUM(L5:L17)</f>
        <v>744</v>
      </c>
      <c r="M18" s="17" t="n">
        <f aca="false">SUM(M5:M17)</f>
        <v>8690.81</v>
      </c>
      <c r="N18" s="17" t="n">
        <f aca="false">SUM(N5:N17)</f>
        <v>9748.44</v>
      </c>
      <c r="O18" s="15"/>
      <c r="P18" s="17" t="n">
        <f aca="false">SUM(P5:P17)</f>
        <v>54327.19</v>
      </c>
      <c r="Q18" s="17" t="n">
        <f aca="false">SUM(Q5:Q17)</f>
        <v>581.74</v>
      </c>
      <c r="R18" s="17" t="n">
        <f aca="false">SUM(R5:R17)</f>
        <v>54908.93</v>
      </c>
    </row>
    <row r="20" customFormat="false" ht="15" hidden="false" customHeight="false" outlineLevel="0" collapsed="false">
      <c r="A20" s="6" t="s">
        <v>132</v>
      </c>
    </row>
    <row r="21" customFormat="false" ht="15" hidden="false" customHeight="false" outlineLevel="0" collapsed="false">
      <c r="A21" s="6" t="s">
        <v>133</v>
      </c>
    </row>
    <row r="22" customFormat="false" ht="15" hidden="false" customHeight="false" outlineLevel="0" collapsed="false">
      <c r="A22" s="6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8" min="6" style="0" width="14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7"/>
  </cols>
  <sheetData>
    <row r="1" customFormat="false" ht="17.35" hidden="false" customHeight="false" outlineLevel="0" collapsed="false">
      <c r="A1" s="32" t="s">
        <v>135</v>
      </c>
    </row>
    <row r="2" customFormat="false" ht="15" hidden="false" customHeight="false" outlineLevel="0" collapsed="false">
      <c r="A2" s="6" t="s">
        <v>136</v>
      </c>
    </row>
    <row r="3" customFormat="false" ht="15" hidden="false" customHeight="false" outlineLevel="0" collapsed="false">
      <c r="A3" s="2" t="s">
        <v>137</v>
      </c>
      <c r="B3" s="37" t="n">
        <v>675</v>
      </c>
      <c r="C3" s="6" t="s">
        <v>138</v>
      </c>
    </row>
    <row r="4" customFormat="false" ht="45.75" hidden="false" customHeight="true" outlineLevel="0" collapsed="false">
      <c r="A4" s="7" t="s">
        <v>90</v>
      </c>
      <c r="B4" s="7" t="s">
        <v>139</v>
      </c>
      <c r="C4" s="7" t="s">
        <v>26</v>
      </c>
      <c r="D4" s="7" t="s">
        <v>92</v>
      </c>
      <c r="E4" s="7" t="s">
        <v>140</v>
      </c>
      <c r="F4" s="7" t="s">
        <v>94</v>
      </c>
      <c r="G4" s="7" t="s">
        <v>141</v>
      </c>
      <c r="H4" s="7" t="s">
        <v>142</v>
      </c>
      <c r="I4" s="7" t="s">
        <v>143</v>
      </c>
      <c r="J4" s="7" t="s">
        <v>144</v>
      </c>
      <c r="K4" s="7" t="s">
        <v>145</v>
      </c>
      <c r="L4" s="7" t="s">
        <v>146</v>
      </c>
    </row>
    <row r="5" customFormat="false" ht="15" hidden="false" customHeight="false" outlineLevel="0" collapsed="false">
      <c r="A5" s="23" t="s">
        <v>120</v>
      </c>
      <c r="B5" s="23" t="s">
        <v>121</v>
      </c>
      <c r="C5" s="23" t="s">
        <v>43</v>
      </c>
      <c r="D5" s="38" t="n">
        <v>50</v>
      </c>
      <c r="E5" s="38" t="n">
        <v>0</v>
      </c>
      <c r="F5" s="38" t="n">
        <f aca="false">D5+E5</f>
        <v>50</v>
      </c>
      <c r="G5" s="39" t="n">
        <v>0.351</v>
      </c>
      <c r="H5" s="39" t="n">
        <f aca="false">F5*G5</f>
        <v>17.55</v>
      </c>
      <c r="I5" s="39" t="n">
        <f aca="false">G5/$B$3*1000</f>
        <v>0.52</v>
      </c>
      <c r="J5" s="39" t="n">
        <f aca="false">F5*I5</f>
        <v>26</v>
      </c>
      <c r="K5" s="40" t="n">
        <v>7.02</v>
      </c>
      <c r="L5" s="40" t="n">
        <f aca="false">F5*K5</f>
        <v>351</v>
      </c>
    </row>
    <row r="6" customFormat="false" ht="15" hidden="false" customHeight="false" outlineLevel="0" collapsed="false">
      <c r="A6" s="23" t="s">
        <v>123</v>
      </c>
      <c r="B6" s="23" t="s">
        <v>124</v>
      </c>
      <c r="C6" s="23" t="s">
        <v>43</v>
      </c>
      <c r="D6" s="38" t="n">
        <v>126</v>
      </c>
      <c r="E6" s="38" t="n">
        <v>1</v>
      </c>
      <c r="F6" s="38" t="n">
        <f aca="false">D6+E6</f>
        <v>127</v>
      </c>
      <c r="G6" s="39" t="n">
        <v>0.385</v>
      </c>
      <c r="H6" s="39" t="n">
        <f aca="false">F6*G6</f>
        <v>48.895</v>
      </c>
      <c r="I6" s="39" t="n">
        <f aca="false">G6/$B$3*1000</f>
        <v>0.57037037037037</v>
      </c>
      <c r="J6" s="39" t="n">
        <f aca="false">F6*I6</f>
        <v>72.437037037037</v>
      </c>
      <c r="K6" s="40" t="n">
        <v>7.7</v>
      </c>
      <c r="L6" s="40" t="n">
        <f aca="false">F6*K6</f>
        <v>977.9</v>
      </c>
    </row>
    <row r="7" customFormat="false" ht="15" hidden="false" customHeight="false" outlineLevel="0" collapsed="false">
      <c r="A7" s="23" t="s">
        <v>125</v>
      </c>
      <c r="B7" s="23" t="s">
        <v>126</v>
      </c>
      <c r="C7" s="23" t="s">
        <v>43</v>
      </c>
      <c r="D7" s="38" t="n">
        <v>50</v>
      </c>
      <c r="E7" s="38" t="n">
        <v>1</v>
      </c>
      <c r="F7" s="38" t="n">
        <f aca="false">D7+E7</f>
        <v>51</v>
      </c>
      <c r="G7" s="39" t="n">
        <v>0.527</v>
      </c>
      <c r="H7" s="39" t="n">
        <f aca="false">F7*G7</f>
        <v>26.877</v>
      </c>
      <c r="I7" s="39" t="n">
        <f aca="false">G7/$B$3*1000</f>
        <v>0.780740740740741</v>
      </c>
      <c r="J7" s="39" t="n">
        <f aca="false">F7*I7</f>
        <v>39.8177777777778</v>
      </c>
      <c r="K7" s="40" t="n">
        <v>10.53</v>
      </c>
      <c r="L7" s="40" t="n">
        <f aca="false">F7*K7</f>
        <v>537.03</v>
      </c>
    </row>
    <row r="8" customFormat="false" ht="15" hidden="false" customHeight="false" outlineLevel="0" collapsed="false">
      <c r="A8" s="23" t="s">
        <v>127</v>
      </c>
      <c r="B8" s="23" t="s">
        <v>128</v>
      </c>
      <c r="C8" s="23" t="s">
        <v>43</v>
      </c>
      <c r="D8" s="38" t="n">
        <v>20</v>
      </c>
      <c r="E8" s="38" t="n">
        <v>0</v>
      </c>
      <c r="F8" s="38" t="n">
        <f aca="false">D8+E8</f>
        <v>20</v>
      </c>
      <c r="G8" s="39" t="n">
        <v>0.675</v>
      </c>
      <c r="H8" s="39" t="n">
        <f aca="false">F8*G8</f>
        <v>13.5</v>
      </c>
      <c r="I8" s="39" t="n">
        <f aca="false">G8/$B$3*1000</f>
        <v>1</v>
      </c>
      <c r="J8" s="39" t="n">
        <f aca="false">F8*I8</f>
        <v>20</v>
      </c>
      <c r="K8" s="40" t="n">
        <v>13.5</v>
      </c>
      <c r="L8" s="40" t="n">
        <f aca="false">F8*K8</f>
        <v>270</v>
      </c>
    </row>
    <row r="9" customFormat="false" ht="15" hidden="false" customHeight="false" outlineLevel="0" collapsed="false">
      <c r="A9" s="15" t="s">
        <v>56</v>
      </c>
      <c r="B9" s="15"/>
      <c r="C9" s="15"/>
      <c r="D9" s="16" t="n">
        <f aca="false">SUM(D5:D8)</f>
        <v>246</v>
      </c>
      <c r="E9" s="16" t="n">
        <f aca="false">SUM(E5:E8)</f>
        <v>2</v>
      </c>
      <c r="F9" s="16" t="n">
        <f aca="false">SUM(F5:F8)</f>
        <v>248</v>
      </c>
      <c r="G9" s="15"/>
      <c r="H9" s="41" t="n">
        <f aca="false">SUM(H5:H8)</f>
        <v>106.822</v>
      </c>
      <c r="I9" s="15"/>
      <c r="J9" s="41" t="n">
        <f aca="false">SUM(J5:J8)</f>
        <v>158.254814814815</v>
      </c>
      <c r="K9" s="15"/>
      <c r="L9" s="42" t="n">
        <f aca="false">SUM(L5:L8)</f>
        <v>2135.93</v>
      </c>
    </row>
    <row r="11" customFormat="false" ht="30" hidden="false" customHeight="true" outlineLevel="0" collapsed="false">
      <c r="A11" s="43" t="s">
        <v>147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</row>
    <row r="12" customFormat="false" ht="30" hidden="false" customHeight="true" outlineLevel="0" collapsed="false">
      <c r="A12" s="44" t="s">
        <v>148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</row>
    <row r="13" customFormat="false" ht="30" hidden="false" customHeight="true" outlineLevel="0" collapsed="false">
      <c r="A13" s="44" t="s">
        <v>149</v>
      </c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</row>
    <row r="14" customFormat="false" ht="30" hidden="false" customHeight="true" outlineLevel="0" collapsed="false">
      <c r="A14" s="43" t="s">
        <v>150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</row>
  </sheetData>
  <mergeCells count="4">
    <mergeCell ref="A11:L11"/>
    <mergeCell ref="A12:L12"/>
    <mergeCell ref="A13:L13"/>
    <mergeCell ref="A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108"/>
  </cols>
  <sheetData>
    <row r="1" customFormat="false" ht="17.35" hidden="false" customHeight="false" outlineLevel="0" collapsed="false">
      <c r="A1" s="1" t="s">
        <v>151</v>
      </c>
      <c r="B1" s="1"/>
      <c r="C1" s="1"/>
      <c r="D1" s="1"/>
    </row>
    <row r="3" customFormat="false" ht="15" hidden="false" customHeight="false" outlineLevel="0" collapsed="false">
      <c r="A3" s="45" t="s">
        <v>152</v>
      </c>
      <c r="B3" s="45" t="s">
        <v>153</v>
      </c>
      <c r="C3" s="45" t="s">
        <v>154</v>
      </c>
      <c r="D3" s="45" t="s">
        <v>155</v>
      </c>
    </row>
    <row r="4" customFormat="false" ht="64.5" hidden="false" customHeight="true" outlineLevel="0" collapsed="false">
      <c r="A4" s="46" t="n">
        <v>1</v>
      </c>
      <c r="B4" s="13" t="s">
        <v>156</v>
      </c>
      <c r="C4" s="47" t="s">
        <v>157</v>
      </c>
      <c r="D4" s="8" t="s">
        <v>158</v>
      </c>
    </row>
    <row r="5" customFormat="false" ht="64.5" hidden="false" customHeight="true" outlineLevel="0" collapsed="false">
      <c r="A5" s="46" t="n">
        <v>2</v>
      </c>
      <c r="B5" s="13" t="s">
        <v>156</v>
      </c>
      <c r="C5" s="47" t="s">
        <v>159</v>
      </c>
      <c r="D5" s="8" t="s">
        <v>160</v>
      </c>
    </row>
    <row r="6" customFormat="false" ht="51.75" hidden="false" customHeight="true" outlineLevel="0" collapsed="false">
      <c r="A6" s="46" t="n">
        <v>3</v>
      </c>
      <c r="B6" s="13" t="s">
        <v>156</v>
      </c>
      <c r="C6" s="47" t="s">
        <v>161</v>
      </c>
      <c r="D6" s="8" t="s">
        <v>162</v>
      </c>
    </row>
    <row r="7" customFormat="false" ht="78" hidden="false" customHeight="true" outlineLevel="0" collapsed="false">
      <c r="A7" s="46" t="n">
        <v>4</v>
      </c>
      <c r="B7" s="48" t="s">
        <v>163</v>
      </c>
      <c r="C7" s="47" t="s">
        <v>164</v>
      </c>
      <c r="D7" s="8" t="s">
        <v>165</v>
      </c>
    </row>
    <row r="8" customFormat="false" ht="51.75" hidden="false" customHeight="true" outlineLevel="0" collapsed="false">
      <c r="A8" s="46" t="n">
        <v>5</v>
      </c>
      <c r="B8" s="48" t="s">
        <v>163</v>
      </c>
      <c r="C8" s="47" t="s">
        <v>166</v>
      </c>
      <c r="D8" s="8" t="s">
        <v>167</v>
      </c>
    </row>
    <row r="9" customFormat="false" ht="39" hidden="false" customHeight="true" outlineLevel="0" collapsed="false">
      <c r="A9" s="46" t="n">
        <v>6</v>
      </c>
      <c r="B9" s="48" t="s">
        <v>163</v>
      </c>
      <c r="C9" s="47" t="s">
        <v>168</v>
      </c>
      <c r="D9" s="8" t="s">
        <v>169</v>
      </c>
    </row>
    <row r="10" customFormat="false" ht="39" hidden="false" customHeight="true" outlineLevel="0" collapsed="false">
      <c r="A10" s="46" t="n">
        <v>7</v>
      </c>
      <c r="B10" s="49" t="s">
        <v>170</v>
      </c>
      <c r="C10" s="8" t="s">
        <v>171</v>
      </c>
      <c r="D10" s="8" t="s">
        <v>172</v>
      </c>
    </row>
    <row r="11" customFormat="false" ht="30" hidden="false" customHeight="true" outlineLevel="0" collapsed="false">
      <c r="A11" s="46" t="n">
        <v>8</v>
      </c>
      <c r="B11" s="49" t="s">
        <v>170</v>
      </c>
      <c r="C11" s="8" t="s">
        <v>39</v>
      </c>
      <c r="D11" s="8" t="s">
        <v>173</v>
      </c>
    </row>
    <row r="12" customFormat="false" ht="30" hidden="false" customHeight="true" outlineLevel="0" collapsed="false">
      <c r="A12" s="46" t="n">
        <v>9</v>
      </c>
      <c r="B12" s="49" t="s">
        <v>170</v>
      </c>
      <c r="C12" s="8" t="s">
        <v>174</v>
      </c>
      <c r="D12" s="8" t="s">
        <v>175</v>
      </c>
    </row>
    <row r="13" customFormat="false" ht="30" hidden="false" customHeight="true" outlineLevel="0" collapsed="false">
      <c r="A13" s="46" t="n">
        <v>10</v>
      </c>
      <c r="B13" s="49" t="s">
        <v>176</v>
      </c>
      <c r="C13" s="8" t="s">
        <v>177</v>
      </c>
      <c r="D13" s="8" t="s">
        <v>178</v>
      </c>
    </row>
    <row r="14" customFormat="false" ht="30" hidden="false" customHeight="true" outlineLevel="0" collapsed="false">
      <c r="A14" s="46" t="n">
        <v>11</v>
      </c>
      <c r="B14" s="49" t="s">
        <v>176</v>
      </c>
      <c r="C14" s="8" t="s">
        <v>179</v>
      </c>
      <c r="D14" s="8" t="s">
        <v>180</v>
      </c>
    </row>
    <row r="15" customFormat="false" ht="51.75" hidden="false" customHeight="true" outlineLevel="0" collapsed="false">
      <c r="A15" s="46" t="n">
        <v>12</v>
      </c>
      <c r="B15" s="49" t="s">
        <v>176</v>
      </c>
      <c r="C15" s="8" t="s">
        <v>181</v>
      </c>
      <c r="D15" s="8" t="s">
        <v>182</v>
      </c>
    </row>
    <row r="16" customFormat="false" ht="39" hidden="false" customHeight="true" outlineLevel="0" collapsed="false">
      <c r="A16" s="46" t="n">
        <v>13</v>
      </c>
      <c r="B16" s="49" t="s">
        <v>176</v>
      </c>
      <c r="C16" s="8" t="s">
        <v>183</v>
      </c>
      <c r="D16" s="8" t="s">
        <v>184</v>
      </c>
    </row>
    <row r="18" customFormat="false" ht="15" hidden="false" customHeight="false" outlineLevel="0" collapsed="false">
      <c r="A18" s="50" t="s">
        <v>185</v>
      </c>
    </row>
    <row r="19" customFormat="false" ht="15" hidden="false" customHeight="false" outlineLevel="0" collapsed="false">
      <c r="A19" s="51" t="s">
        <v>186</v>
      </c>
      <c r="B19" s="52" t="s">
        <v>187</v>
      </c>
      <c r="C19" s="52"/>
      <c r="D19" s="52"/>
    </row>
    <row r="20" customFormat="false" ht="15" hidden="false" customHeight="false" outlineLevel="0" collapsed="false">
      <c r="A20" s="51" t="s">
        <v>186</v>
      </c>
      <c r="B20" s="52" t="s">
        <v>188</v>
      </c>
      <c r="C20" s="52"/>
      <c r="D20" s="52"/>
    </row>
    <row r="21" customFormat="false" ht="15" hidden="false" customHeight="false" outlineLevel="0" collapsed="false">
      <c r="A21" s="51" t="s">
        <v>186</v>
      </c>
      <c r="B21" s="52" t="s">
        <v>189</v>
      </c>
      <c r="C21" s="52"/>
      <c r="D21" s="52"/>
    </row>
    <row r="22" customFormat="false" ht="15" hidden="false" customHeight="false" outlineLevel="0" collapsed="false">
      <c r="A22" s="51" t="s">
        <v>186</v>
      </c>
      <c r="B22" s="52" t="s">
        <v>190</v>
      </c>
      <c r="C22" s="52"/>
      <c r="D22" s="52"/>
    </row>
    <row r="23" customFormat="false" ht="15" hidden="false" customHeight="false" outlineLevel="0" collapsed="false">
      <c r="A23" s="51" t="s">
        <v>186</v>
      </c>
      <c r="B23" s="52" t="s">
        <v>191</v>
      </c>
      <c r="C23" s="52"/>
      <c r="D23" s="52"/>
    </row>
    <row r="24" customFormat="false" ht="15" hidden="false" customHeight="false" outlineLevel="0" collapsed="false">
      <c r="A24" s="51" t="s">
        <v>186</v>
      </c>
      <c r="B24" s="52" t="s">
        <v>192</v>
      </c>
      <c r="C24" s="52"/>
      <c r="D24" s="52"/>
    </row>
    <row r="25" customFormat="false" ht="15" hidden="false" customHeight="false" outlineLevel="0" collapsed="false">
      <c r="A25" s="51" t="s">
        <v>186</v>
      </c>
      <c r="B25" s="52" t="s">
        <v>193</v>
      </c>
      <c r="C25" s="52"/>
      <c r="D25" s="52"/>
    </row>
  </sheetData>
  <mergeCells count="8">
    <mergeCell ref="A1:D1"/>
    <mergeCell ref="B19:D19"/>
    <mergeCell ref="B20:D20"/>
    <mergeCell ref="B21:D21"/>
    <mergeCell ref="B22:D22"/>
    <mergeCell ref="B23:D23"/>
    <mergeCell ref="B24:D24"/>
    <mergeCell ref="B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2026-07-31T11:33:39Z</dcterms:created>
  <dc:creator>openpyxl</dc:creator>
  <dc:description/>
  <dc:language>en-US</dc:language>
  <cp:lastModifiedBy/>
  <dcterms:modified xsi:type="dcterms:W3CDTF">2026-07-31T11:33:39Z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