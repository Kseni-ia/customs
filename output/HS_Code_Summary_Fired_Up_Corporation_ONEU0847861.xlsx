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3" fontId="1" fillId="5" borderId="1" applyAlignment="1" pivotButton="0" quotePrefix="0" xfId="0">
      <alignment vertical="top" wrapText="1"/>
    </xf>
    <xf numFmtId="4" fontId="1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1" pivotButton="0" quotePrefix="0" xfId="0"/>
    <xf numFmtId="0" fontId="0" fillId="7" borderId="1" pivotButton="0" quotePrefix="0" xfId="0"/>
    <xf numFmtId="3" fontId="1" fillId="7" borderId="1" pivotButton="0" quotePrefix="0" xfId="0"/>
    <xf numFmtId="4" fontId="1" fillId="7" borderId="1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48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  <col width="15" customWidth="1" min="9" max="9"/>
    <col width="16" customWidth="1" min="10" max="10"/>
    <col width="70" customWidth="1" min="11" max="11"/>
  </cols>
  <sheetData>
    <row r="1">
      <c r="A1" s="1" t="inlineStr">
        <is>
          <t>Klient / příjemce (CZ)</t>
        </is>
      </c>
      <c r="B1" t="inlineStr">
        <is>
          <t>Fired Up Corporation, organizační složka, Na Záhonech 1467, 686 04 Kunovice – IČO 28486714, DIČ CZ28486714</t>
        </is>
      </c>
    </row>
    <row r="2">
      <c r="A2" s="1" t="inlineStr">
        <is>
          <t>Odesílatel</t>
        </is>
      </c>
      <c r="B2" t="inlineStr">
        <is>
          <t>FIRED UP GROUP LTD, Room 2511, 25/F, North Tower, Concordia Plaza, Kowloon, Hong Kong (prodávající dle faktury); expedováno: Fired Up Trading Co Ltd, Zhongshan, CN</t>
        </is>
      </c>
    </row>
    <row r="3">
      <c r="A3" s="1" t="inlineStr">
        <is>
          <t>Zásilka</t>
        </is>
      </c>
      <c r="B3" t="inlineStr">
        <is>
          <t>Kontejner ONEU0847861 · Faktura INV0067 (PI 0067) ze 14.8.2026 · Seal CNDS53397 · S/O HKGGE2946500 · Loading port HK</t>
        </is>
      </c>
    </row>
    <row r="4">
      <c r="A4" s="1" t="inlineStr">
        <is>
          <t>Incoterm</t>
        </is>
      </c>
      <c r="B4" t="inlineStr">
        <is>
          <t>DAP Kunovice (dle Prohlášení o dodací podmínce ze 22.10.2026; na faktuře incoterm uveden není)</t>
        </is>
      </c>
    </row>
    <row r="5">
      <c r="A5" s="1" t="inlineStr">
        <is>
          <t>Měna / Total</t>
        </is>
      </c>
      <c r="B5" t="inlineStr">
        <is>
          <t>CNY (RMB) – TOTAL dle faktury: 272 492,00 (sleva 0)</t>
        </is>
      </c>
    </row>
    <row r="6">
      <c r="A6" s="1" t="inlineStr">
        <is>
          <t>Původ / preference</t>
        </is>
      </c>
      <c r="B6" t="inlineStr">
        <is>
          <t>COO: Čína (CN) · preferenční věta: NE · REX: NE → plné clo pro třetí země</t>
        </is>
      </c>
    </row>
    <row r="8">
      <c r="A8" s="2" t="inlineStr">
        <is>
          <t>Odesílatel</t>
        </is>
      </c>
      <c r="B8" s="2" t="inlineStr">
        <is>
          <t>HS kód</t>
        </is>
      </c>
      <c r="C8" s="2" t="inlineStr">
        <is>
          <t>Popis zboží (CZ – dle klienta)</t>
        </is>
      </c>
      <c r="D8" s="2" t="inlineStr">
        <is>
          <t>Země původu (COO)</t>
        </is>
      </c>
      <c r="E8" s="2" t="inlineStr">
        <is>
          <t>Množství (ks)</t>
        </is>
      </c>
      <c r="F8" s="2" t="inlineStr">
        <is>
          <t>Počet kartonů</t>
        </is>
      </c>
      <c r="G8" s="2" t="inlineStr">
        <is>
          <t>Čistá hmotnost (kg)</t>
        </is>
      </c>
      <c r="H8" s="2" t="inlineStr">
        <is>
          <t>Hrubá hmotnost (kg)</t>
        </is>
      </c>
      <c r="I8" s="2" t="inlineStr">
        <is>
          <t>Hodnota CNY – Total</t>
        </is>
      </c>
      <c r="J8" s="2" t="inlineStr">
        <is>
          <t>Příznak</t>
        </is>
      </c>
      <c r="K8" s="2" t="inlineStr">
        <is>
          <t>TARIC / poznámka / CBAM / Antidumping / Melt &amp; pour</t>
        </is>
      </c>
    </row>
    <row r="9">
      <c r="A9" s="3" t="inlineStr">
        <is>
          <t>FIRED UP GROUP LTD (HK)</t>
        </is>
      </c>
      <c r="B9" s="3" t="inlineStr">
        <is>
          <t>4419900000</t>
        </is>
      </c>
      <c r="C9" s="3" t="inlineStr">
        <is>
          <t>Uvítací tác/podnos</t>
        </is>
      </c>
      <c r="D9" s="3" t="inlineStr">
        <is>
          <t>CN</t>
        </is>
      </c>
      <c r="E9" s="4" t="n">
        <v>1290</v>
      </c>
      <c r="F9" s="4" t="n">
        <v>215</v>
      </c>
      <c r="G9" s="5" t="n">
        <v>898</v>
      </c>
      <c r="H9" s="5" t="n">
        <v>995.5</v>
      </c>
      <c r="I9" s="5" t="n">
        <v>49270</v>
      </c>
      <c r="J9" s="6" t="inlineStr">
        <is>
          <t>KONTROLA HS</t>
        </is>
      </c>
      <c r="K9" s="3" t="inlineStr">
        <is>
          <t>Pol. 4209 je dle faktury „Injection moulded … ABS“ = PLAST, ne dřevo → spíše 3924 10 00 / 3924 90 00. Materiál pol. 3381 není uveden. Ověřit s klientem. Pol. (China code): 3381, 4209</t>
        </is>
      </c>
    </row>
    <row r="10">
      <c r="A10" s="7" t="inlineStr">
        <is>
          <t>FIRED UP GROUP LTD (HK)</t>
        </is>
      </c>
      <c r="B10" s="7" t="inlineStr">
        <is>
          <t>7323990010</t>
        </is>
      </c>
      <c r="C10" s="7" t="inlineStr">
        <is>
          <t>Žehlící prkno</t>
        </is>
      </c>
      <c r="D10" s="7" t="inlineStr">
        <is>
          <t>CN</t>
        </is>
      </c>
      <c r="E10" s="8" t="n">
        <v>684</v>
      </c>
      <c r="F10" s="8" t="n">
        <v>148</v>
      </c>
      <c r="G10" s="9" t="n">
        <v>2412</v>
      </c>
      <c r="H10" s="9" t="n">
        <v>2596.4</v>
      </c>
      <c r="I10" s="9" t="n">
        <v>46296</v>
      </c>
      <c r="J10" s="7" t="inlineStr">
        <is>
          <t>ANTIDUMPING, MELT &amp; POUR</t>
        </is>
      </c>
      <c r="K10" s="7" t="inlineStr">
        <is>
          <t>Antidumpingové clo na žehlicí prkna z ČLR (TARIC 7323 99 00 10) – opatření prodlouženo prov. nař. (EU) 2025/2386 (28.11.2025). Sazbu / doplňkový kód TARIC ověřit při podání JSD (výrobce Fired Up Trading Co Ltd, Zhongshan → pravděpodobně zbytková sazba). Ocel → chybí země tavby a odlití + hutní atest. Pol. (China code): 4443, 4445</t>
        </is>
      </c>
    </row>
    <row r="11">
      <c r="A11" s="3" t="inlineStr">
        <is>
          <t>FIRED UP GROUP LTD (HK)</t>
        </is>
      </c>
      <c r="B11" s="3" t="inlineStr">
        <is>
          <t>8516310000</t>
        </is>
      </c>
      <c r="C11" s="3" t="inlineStr">
        <is>
          <t>Fén na vlasy</t>
        </is>
      </c>
      <c r="D11" s="3" t="inlineStr">
        <is>
          <t>CN</t>
        </is>
      </c>
      <c r="E11" s="4" t="n">
        <v>744</v>
      </c>
      <c r="F11" s="4" t="n">
        <v>62</v>
      </c>
      <c r="G11" s="5" t="n">
        <v>558</v>
      </c>
      <c r="H11" s="5" t="n">
        <v>638.6</v>
      </c>
      <c r="I11" s="5" t="n">
        <v>43896</v>
      </c>
      <c r="J11" s="3" t="inlineStr"/>
      <c r="K11" s="3" t="inlineStr">
        <is>
          <t>Pol. (China code): 4692</t>
        </is>
      </c>
    </row>
    <row r="12">
      <c r="A12" s="3" t="inlineStr">
        <is>
          <t>FIRED UP GROUP LTD (HK)</t>
        </is>
      </c>
      <c r="B12" s="3" t="inlineStr">
        <is>
          <t>4421100000</t>
        </is>
      </c>
      <c r="C12" s="3" t="inlineStr">
        <is>
          <t>Věšák, ramínko na oděv</t>
        </is>
      </c>
      <c r="D12" s="3" t="inlineStr">
        <is>
          <t>CN</t>
        </is>
      </c>
      <c r="E12" s="4" t="n">
        <v>8836</v>
      </c>
      <c r="F12" s="4" t="n">
        <v>175</v>
      </c>
      <c r="G12" s="5" t="n">
        <v>1389.8</v>
      </c>
      <c r="H12" s="5" t="n">
        <v>1502.8</v>
      </c>
      <c r="I12" s="5" t="n">
        <v>40700</v>
      </c>
      <c r="J12" s="3" t="inlineStr"/>
      <c r="K12" s="3" t="inlineStr">
        <is>
          <t>Pol. (China code): 3721, 4545, 3753, 4743, 4747</t>
        </is>
      </c>
    </row>
    <row r="13">
      <c r="A13" s="3" t="inlineStr">
        <is>
          <t>FIRED UP GROUP LTD (HK)</t>
        </is>
      </c>
      <c r="B13" s="3" t="inlineStr">
        <is>
          <t>7324900090</t>
        </is>
      </c>
      <c r="C13" s="3" t="inlineStr">
        <is>
          <t>Držák toaletního papíru; Madlo do vany/Sprchy; Držák na ručníky</t>
        </is>
      </c>
      <c r="D13" s="3" t="inlineStr">
        <is>
          <t>CN</t>
        </is>
      </c>
      <c r="E13" s="4" t="n">
        <v>450</v>
      </c>
      <c r="F13" s="4" t="n">
        <v>18</v>
      </c>
      <c r="G13" s="5" t="n">
        <v>299</v>
      </c>
      <c r="H13" s="5" t="n">
        <v>335.2</v>
      </c>
      <c r="I13" s="5" t="n">
        <v>36070</v>
      </c>
      <c r="J13" s="10" t="inlineStr">
        <is>
          <t>MELT &amp; POUR</t>
        </is>
      </c>
      <c r="K13" s="3" t="inlineStr">
        <is>
          <t>Výrobky z oceli (leštěná ocel) → chybí země tavby a odlití + hutní atest. Není CBAM (7324 není v příloze I CBAM). Pol. (China code): 4827, 4839, 4835</t>
        </is>
      </c>
    </row>
    <row r="14">
      <c r="A14" s="3" t="inlineStr">
        <is>
          <t>FIRED UP GROUP LTD (HK)</t>
        </is>
      </c>
      <c r="B14" s="3" t="inlineStr">
        <is>
          <t>9403500000</t>
        </is>
      </c>
      <c r="C14" s="3" t="inlineStr">
        <is>
          <t>Držák na zavazadla - dřevěný</t>
        </is>
      </c>
      <c r="D14" s="3" t="inlineStr">
        <is>
          <t>CN</t>
        </is>
      </c>
      <c r="E14" s="4" t="n">
        <v>120</v>
      </c>
      <c r="F14" s="4" t="n">
        <v>40</v>
      </c>
      <c r="G14" s="5" t="n">
        <v>360</v>
      </c>
      <c r="H14" s="5" t="n">
        <v>380</v>
      </c>
      <c r="I14" s="5" t="n">
        <v>16080</v>
      </c>
      <c r="J14" s="6" t="inlineStr">
        <is>
          <t>KONTROLA HS</t>
        </is>
      </c>
      <c r="K14" s="3" t="inlineStr">
        <is>
          <t>Pol. 4799 je z BAMBUSU → nábytek z bambusu má vlastní podpoložku 9403 82 00. Ověřit materiál. Pol. (China code): 4799</t>
        </is>
      </c>
    </row>
    <row r="15">
      <c r="A15" s="3" t="inlineStr">
        <is>
          <t>FIRED UP GROUP LTD (HK)</t>
        </is>
      </c>
      <c r="B15" s="3" t="inlineStr">
        <is>
          <t>9403208080</t>
        </is>
      </c>
      <c r="C15" s="3" t="inlineStr">
        <is>
          <t>Držák na zavazadla - kovový</t>
        </is>
      </c>
      <c r="D15" s="3" t="inlineStr">
        <is>
          <t>CN</t>
        </is>
      </c>
      <c r="E15" s="4" t="n">
        <v>258</v>
      </c>
      <c r="F15" s="4" t="n">
        <v>258</v>
      </c>
      <c r="G15" s="5" t="n">
        <v>811.5</v>
      </c>
      <c r="H15" s="5" t="n">
        <v>884.2</v>
      </c>
      <c r="I15" s="5" t="n">
        <v>14920</v>
      </c>
      <c r="J15" s="10" t="inlineStr">
        <is>
          <t>MELT &amp; POUR</t>
        </is>
      </c>
      <c r="K15" s="3" t="inlineStr">
        <is>
          <t>Kovový nábytek (ocel) → chybí země tavby a odlití + hutní atest. Pol. (China code): 4471, 2552</t>
        </is>
      </c>
    </row>
    <row r="16">
      <c r="A16" s="3" t="inlineStr">
        <is>
          <t>FIRED UP GROUP LTD (HK)</t>
        </is>
      </c>
      <c r="B16" s="3" t="inlineStr">
        <is>
          <t>9403601000</t>
        </is>
      </c>
      <c r="C16" s="3" t="inlineStr">
        <is>
          <t>Držák na kávové kapsle s povrchovou úpravou Bambus</t>
        </is>
      </c>
      <c r="D16" s="3" t="inlineStr">
        <is>
          <t>CN</t>
        </is>
      </c>
      <c r="E16" s="4" t="n">
        <v>300</v>
      </c>
      <c r="F16" s="4" t="n">
        <v>50</v>
      </c>
      <c r="G16" s="5" t="n">
        <v>120</v>
      </c>
      <c r="H16" s="5" t="n">
        <v>135</v>
      </c>
      <c r="I16" s="5" t="n">
        <v>14700</v>
      </c>
      <c r="J16" s="6" t="inlineStr">
        <is>
          <t>KONTROLA HS</t>
        </is>
      </c>
      <c r="K16" s="3" t="inlineStr">
        <is>
          <t>Držák na kávové kapsle (bambus) není nábytek → spíše 4419 1x / 4421 91 (výrobky z bambusu). Ověřit. Pol. (China code): 4797</t>
        </is>
      </c>
    </row>
    <row r="17">
      <c r="A17" s="3" t="inlineStr">
        <is>
          <t>FIRED UP GROUP LTD (HK)</t>
        </is>
      </c>
      <c r="B17" s="3" t="inlineStr">
        <is>
          <t>3924900090</t>
        </is>
      </c>
      <c r="C17" s="3" t="inlineStr">
        <is>
          <t>Obal na kapesníčky s povrchovou úpravou kůže; Držák na kávové kapsle s povrchovou úpravou kůže</t>
        </is>
      </c>
      <c r="D17" s="3" t="inlineStr">
        <is>
          <t>CN</t>
        </is>
      </c>
      <c r="E17" s="4" t="n">
        <v>192</v>
      </c>
      <c r="F17" s="4" t="n">
        <v>24</v>
      </c>
      <c r="G17" s="5" t="n">
        <v>192</v>
      </c>
      <c r="H17" s="5" t="n">
        <v>206.4</v>
      </c>
      <c r="I17" s="5" t="n">
        <v>10560</v>
      </c>
      <c r="J17" s="3" t="inlineStr"/>
      <c r="K17" s="3" t="inlineStr">
        <is>
          <t>Pol. (China code): 4660, 4706</t>
        </is>
      </c>
    </row>
    <row r="18">
      <c r="A18" s="11" t="inlineStr">
        <is>
          <t>CELKEM</t>
        </is>
      </c>
      <c r="B18" s="12" t="n"/>
      <c r="C18" s="12" t="n"/>
      <c r="D18" s="12" t="n"/>
      <c r="E18" s="13" t="n">
        <v>12874</v>
      </c>
      <c r="F18" s="13" t="n">
        <v>990</v>
      </c>
      <c r="G18" s="14" t="n">
        <v>7040.3</v>
      </c>
      <c r="H18" s="14" t="n">
        <v>7674.1</v>
      </c>
      <c r="I18" s="14" t="n">
        <v>272492</v>
      </c>
      <c r="J18" s="12" t="n"/>
      <c r="K18" s="12" t="n"/>
    </row>
    <row r="20">
      <c r="A20" s="1" t="inlineStr">
        <is>
          <t>Legenda:</t>
        </is>
      </c>
    </row>
    <row r="21">
      <c r="A21" s="15" t="inlineStr">
        <is>
          <t>🔴 ČERVENÁ</t>
        </is>
      </c>
      <c r="B21" t="inlineStr">
        <is>
          <t>Antidumpingové clo – nutno zkontrolovat a uvést v JSD</t>
        </is>
      </c>
    </row>
    <row r="22">
      <c r="A22" s="16" t="inlineStr">
        <is>
          <t>🟠 MELT &amp; POUR</t>
        </is>
      </c>
      <c r="B22" t="inlineStr">
        <is>
          <t>Ocel/železo – chybí země tavby a odlití + hutní atest (mill test certificate) → vyžádat před proclením</t>
        </is>
      </c>
    </row>
    <row r="23">
      <c r="A23" s="17" t="inlineStr">
        <is>
          <t>🟡 KONTROLA HS</t>
        </is>
      </c>
      <c r="B23" t="inlineStr">
        <is>
          <t>HS kód od klienta pravděpodobně neodpovídá materiálu – ponecháno dle podkladů, ověřit</t>
        </is>
      </c>
    </row>
    <row r="24">
      <c r="A24" s="1" t="inlineStr">
        <is>
          <t>Množství</t>
        </is>
      </c>
      <c r="B24" t="inlineStr">
        <is>
          <t>Kusy/sety dle packing listu (sloupec QTY). Ramínka a tácy jsou na faktuře v krabicích (箱) – přepočteno dle PL.</t>
        </is>
      </c>
    </row>
    <row r="25">
      <c r="A25" s="1" t="inlineStr">
        <is>
          <t>Hmotnosti</t>
        </is>
      </c>
      <c r="B25" t="inlineStr">
        <is>
          <t>Čistá i hrubá hmotnost přímo z packing listu po položkách (NW 7 040,3 kg / GW 7 674,1 kg) – žádný poměrový výpočet.</t>
        </is>
      </c>
    </row>
    <row r="26">
      <c r="A26" s="1" t="inlineStr">
        <is>
          <t>Hodnota</t>
        </is>
      </c>
      <c r="B26" t="inlineStr">
        <is>
          <t>Částky z faktury INV0067; součet = TOTAL 272 492,00 CNY (sleva 0, nic se nerozpočítává).</t>
        </is>
      </c>
    </row>
  </sheetData>
  <mergeCells count="12">
    <mergeCell ref="B23:K23"/>
    <mergeCell ref="B1:K1"/>
    <mergeCell ref="B22:K22"/>
    <mergeCell ref="B4:K4"/>
    <mergeCell ref="B26:K26"/>
    <mergeCell ref="B21:K21"/>
    <mergeCell ref="B25:K25"/>
    <mergeCell ref="B6:K6"/>
    <mergeCell ref="B24:K24"/>
    <mergeCell ref="B2:K2"/>
    <mergeCell ref="B3:K3"/>
    <mergeCell ref="B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>
        <f>== PŘIJATÉ DOKUMENTY (stav 22.10.2026) ===</f>
        <v/>
      </c>
    </row>
    <row r="2">
      <c r="A2" s="18" t="inlineStr">
        <is>
          <t>✓ Obchodní faktura INV0067 (PI 0067) ze 14.8.2026 – FIRED UP GROUP LTD (HK) → Fired Up Corporation, Kunovice; 26 řádků, HS kódy a CZ popisy dodány klientem</t>
        </is>
      </c>
    </row>
    <row r="3">
      <c r="A3" s="18" t="inlineStr">
        <is>
          <t>✓ Packing list k CI 0067 – FIRED UP TRADING CO LTD (Zhongshan) – 990 ktn, 12 874 ks, NW 7 040,3 kg, GW 7 674,1 kg, 62,24 CBM</t>
        </is>
      </c>
    </row>
    <row r="4">
      <c r="A4" s="18" t="inlineStr">
        <is>
          <t>✓ Prohlášení o dodací podmínce ze 22.10.2026 – DAP Kunovice (podepsáno Fired Up Corporation o.s.)</t>
        </is>
      </c>
    </row>
    <row r="5">
      <c r="A5" s="18" t="inlineStr">
        <is>
          <t>✓ Declaration of conformity (Rusko, kap. 72/73) ze 22.10.2026 – zboží nepochází z Ruska ani z ruské oceli (čl. 3g nař. 833/2014), podepsal Stuart Davies</t>
        </is>
      </c>
    </row>
    <row r="6">
      <c r="A6" s="18" t="inlineStr"/>
    </row>
    <row r="7">
      <c r="A7" s="1">
        <f>== INCOTERM ===</f>
        <v/>
      </c>
    </row>
    <row r="8">
      <c r="A8" s="18" t="inlineStr">
        <is>
          <t>DAP Kunovice – pouze ze samostatného prohlášení, na faktuře incoterm chybí.</t>
        </is>
      </c>
    </row>
    <row r="9">
      <c r="A9" s="18" t="inlineStr">
        <is>
          <t>Pozn.: u DAP lze z celní hodnoty odečíst náklady na dopravu po vstupu do EU, jen pokud jsou známé a doložené odděleně.</t>
        </is>
      </c>
    </row>
    <row r="10">
      <c r="A10" s="18" t="inlineStr"/>
    </row>
    <row r="11">
      <c r="A11" s="1">
        <f>== PŮVOD / PREFERENČNÍ VĚTA / REX ===</f>
        <v/>
      </c>
    </row>
    <row r="12">
      <c r="A12" s="18" t="inlineStr">
        <is>
          <t>Země původu: ČÍNA (dle faktury „COUNTRY OF ORIGIN: CHINA“).</t>
        </is>
      </c>
    </row>
    <row r="13">
      <c r="A13" s="18" t="inlineStr">
        <is>
          <t>Preferenční věta: NENÍ v žádném dokumentu → platí běžné clo pro třetí země.</t>
        </is>
      </c>
    </row>
    <row r="14">
      <c r="A14" s="18" t="inlineStr">
        <is>
          <t>REX číslo: NENÍ na faktuře.</t>
        </is>
      </c>
    </row>
    <row r="15">
      <c r="A15" s="18" t="inlineStr"/>
    </row>
    <row r="16">
      <c r="A16" s="1">
        <f>== ANTIDUMPING – 7323990010 (žehlicí prkna, CN) ===</f>
        <v/>
      </c>
    </row>
    <row r="17">
      <c r="A17" s="18" t="inlineStr">
        <is>
          <t>Antidumpingové clo na žehlicí prkna z ČLR platí – prodlouženo prováděcím nařízením Komise (EU) 2025/2386 ze 27.11.2025 (expiry review).</t>
        </is>
      </c>
    </row>
    <row r="18">
      <c r="A18" s="18" t="inlineStr">
        <is>
          <t>Dotčené pol.: 4443 Compact Berkshire (480 ks) + 4445 Oxford (204 ks) = 684 ks, NW 2 412 kg, hodnota 46 296 CNY.</t>
        </is>
      </c>
    </row>
    <row r="19">
      <c r="A19" s="18" t="inlineStr">
        <is>
          <t>Výrobce dle PL: Fired Up Trading Co Ltd, Zhongshan – sazbu a doplňkový kód TARIC ověřit v TARIC při podání JSD (v minulých obdobích zbytková sazba 42,3 %).</t>
        </is>
      </c>
    </row>
    <row r="20">
      <c r="A20" s="18" t="inlineStr">
        <is>
          <t>Ostatní položky: antidumping nezjištěn.</t>
        </is>
      </c>
    </row>
    <row r="21">
      <c r="A21" s="18" t="inlineStr"/>
    </row>
    <row r="22">
      <c r="A22" s="1">
        <f>== CBAM ===</f>
        <v/>
      </c>
    </row>
    <row r="23">
      <c r="A23" s="18" t="inlineStr">
        <is>
          <t>V zásilce NENÍ žádný CBAM HS kód (7323, 7324 a 9403 nejsou v příloze I CBAM) → Y kód se neuvádí.</t>
        </is>
      </c>
    </row>
    <row r="24">
      <c r="A24" s="18" t="inlineStr">
        <is>
          <t>Příjemce Fired Up Corporation o.s. (CZ28486714) NENÍ ve sloupci „Firma“ registru CBAM_receivers_CZ.xlsx.</t>
        </is>
      </c>
    </row>
    <row r="25">
      <c r="A25" s="18" t="inlineStr">
        <is>
          <t>Pro info: „FIRED UP CORPORATION“ (EORI IE9745731B) je v registru mezi firmami mimo EU, které používají sdílený účet CBAM-CZ-2025-QGM67089385721 – relevantní při budoucí CBAM zásilce.</t>
        </is>
      </c>
    </row>
    <row r="26">
      <c r="A26" s="18" t="inlineStr"/>
    </row>
    <row r="27">
      <c r="A27" s="1">
        <f>== MELT AND POUR (ocel/železo) ===</f>
        <v/>
      </c>
    </row>
    <row r="28">
      <c r="A28" s="18" t="inlineStr">
        <is>
          <t>Dotčené HS: 7323990010 (žehlicí prkna), 7324900090 (držáky/madla z leštěné oceli), 9403208080 (kovové stojany na zavazadla).</t>
        </is>
      </c>
    </row>
    <row r="29">
      <c r="A29" s="18" t="inlineStr">
        <is>
          <t>Země tavby a odlití NENÍ uvedena a hutní atest (mill test certificate) CHYBÍ → vyžádat od odesílatele před proclením.</t>
        </is>
      </c>
    </row>
    <row r="30">
      <c r="A30" s="18" t="inlineStr">
        <is>
          <t>Ruská deklarace (Declaration of conformity) melt-and-pour NENAHRAZUJE – pouze potvrzuje, že ocel není ruského původu.</t>
        </is>
      </c>
    </row>
    <row r="31">
      <c r="A31" s="18" t="inlineStr"/>
    </row>
    <row r="32">
      <c r="A32" s="1">
        <f>== KLASIFIKACE – K OVĚŘENÍ (kódy ponechány dle klienta) ===</f>
        <v/>
      </c>
    </row>
    <row r="33">
      <c r="A33" s="18" t="inlineStr">
        <is>
          <t>4419900000: pol. 4209 „Injection moulded … ABS“ je plast → spíše kap. 39 (3924 10 00 / 3924 90 00). U pol. 3381 materiál neuveden.</t>
        </is>
      </c>
    </row>
    <row r="34">
      <c r="A34" s="18" t="inlineStr">
        <is>
          <t>9403500000: pol. 4799 Compact Luggage Rack – BUSA Bamboo → nábytek z bambusu = 9403 82 00.</t>
        </is>
      </c>
    </row>
    <row r="35">
      <c r="A35" s="18" t="inlineStr">
        <is>
          <t>9403601000: pol. 4797 Coffee Pod Holder – bambus → nejde o nábytek; spíše 4419 11–19 nebo 4421 91.</t>
        </is>
      </c>
    </row>
    <row r="36">
      <c r="A36" s="18" t="inlineStr">
        <is>
          <t>V případě pochybností lze konzultovat tarifní oddělení (customs.tariff@mauriceward.com).</t>
        </is>
      </c>
    </row>
    <row r="37">
      <c r="A37" s="18" t="inlineStr"/>
    </row>
    <row r="38">
      <c r="A38" s="1">
        <f>== DROBNÉ ROZDÍLY FAKTURA × PL ===</f>
        <v/>
      </c>
    </row>
    <row r="39">
      <c r="A39" s="18" t="inlineStr">
        <is>
          <t>Pol. 3721/3753: faktura „Beech“, PL „Light Wood“. Pol. 4445: faktura „Premium Oxford“, PL „Oxford“. Množství a kódy sedí.</t>
        </is>
      </c>
    </row>
    <row r="40">
      <c r="A40" s="18" t="inlineStr">
        <is>
          <t>Prodávající na faktuře: Fired Up Group Ltd (HK); odesílatel na PL: Fired Up Trading Co Ltd (CN) – jedna faktura, posuzováno jako jeden odesílatel.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2026-10-22T11:52:52Z</dcterms:created>
  <dcterms:modified xmlns:dcterms="http://purl.org/dc/terms/" xmlns:xsi="http://www.w3.org/2001/XMLSchema-instance" xsi:type="dcterms:W3CDTF">2026-10-22T11:52:52Z</dcterms:modified>
</cp:coreProperties>
</file>