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S Summary" sheetId="1" state="visible" r:id="rId1"/>
    <sheet name="Dokumenty a poznámky"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3">
    <font>
      <name val="Calibri"/>
      <family val="2"/>
      <color theme="1"/>
      <sz val="11"/>
      <scheme val="minor"/>
    </font>
    <font>
      <b val="1"/>
      <color rgb="00FFFFFF"/>
    </font>
    <font>
      <b val="1"/>
    </font>
  </fonts>
  <fills count="5">
    <fill>
      <patternFill/>
    </fill>
    <fill>
      <patternFill patternType="gray125"/>
    </fill>
    <fill>
      <patternFill patternType="solid">
        <fgColor rgb="001F4E78"/>
      </patternFill>
    </fill>
    <fill>
      <patternFill patternType="solid">
        <fgColor rgb="00D9E1F2"/>
      </patternFill>
    </fill>
    <fill>
      <patternFill patternType="solid">
        <fgColor rgb="00E2EFDA"/>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5">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xf numFmtId="3" fontId="0" fillId="0" borderId="1" applyAlignment="1" pivotButton="0" quotePrefix="0" xfId="0">
      <alignment vertical="top" wrapText="1"/>
    </xf>
    <xf numFmtId="164" fontId="0" fillId="0" borderId="1" applyAlignment="1" pivotButton="0" quotePrefix="0" xfId="0">
      <alignment vertical="top" wrapText="1"/>
    </xf>
    <xf numFmtId="4" fontId="0" fillId="0" borderId="1" applyAlignment="1" pivotButton="0" quotePrefix="0" xfId="0">
      <alignment vertical="top" wrapText="1"/>
    </xf>
    <xf numFmtId="0" fontId="0" fillId="4" borderId="1" applyAlignment="1" pivotButton="0" quotePrefix="0" xfId="0">
      <alignment vertical="top" wrapText="1"/>
    </xf>
    <xf numFmtId="0" fontId="2" fillId="3" borderId="1" applyAlignment="1" pivotButton="0" quotePrefix="0" xfId="0">
      <alignment vertical="top" wrapText="1"/>
    </xf>
    <xf numFmtId="3" fontId="2" fillId="3" borderId="1" applyAlignment="1" pivotButton="0" quotePrefix="0" xfId="0">
      <alignment vertical="top" wrapText="1"/>
    </xf>
    <xf numFmtId="164" fontId="2" fillId="3" borderId="1" applyAlignment="1" pivotButton="0" quotePrefix="0" xfId="0">
      <alignment vertical="top" wrapText="1"/>
    </xf>
    <xf numFmtId="4" fontId="2" fillId="3" borderId="1" applyAlignment="1" pivotButton="0" quotePrefix="0" xfId="0">
      <alignment vertical="top" wrapText="1"/>
    </xf>
    <xf numFmtId="0" fontId="2" fillId="0" borderId="0" pivotButton="0" quotePrefix="0" xfId="0"/>
    <xf numFmtId="0" fontId="0" fillId="0" borderId="0" applyAlignment="1" pivotButton="0" quotePrefix="0" xfId="0">
      <alignment vertical="top" wrapText="1"/>
    </xf>
    <xf numFmtId="0" fontId="2" fillId="0" borderId="0" applyAlignment="1" pivotButton="0" quotePrefix="0" xfId="0">
      <alignment wrapText="1"/>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26" customWidth="1" min="1" max="1"/>
    <col width="13" customWidth="1" min="2" max="2"/>
    <col width="36" customWidth="1" min="3" max="3"/>
    <col width="11" customWidth="1" min="4" max="4"/>
    <col width="13" customWidth="1" min="5" max="5"/>
    <col width="13" customWidth="1" min="6" max="6"/>
    <col width="13" customWidth="1" min="7" max="7"/>
    <col width="15" customWidth="1" min="8" max="8"/>
    <col width="13" customWidth="1" min="9" max="9"/>
    <col width="60" customWidth="1" min="10" max="10"/>
  </cols>
  <sheetData>
    <row r="1">
      <c r="A1" s="1" t="inlineStr">
        <is>
          <t>Odesílatel</t>
        </is>
      </c>
      <c r="B1" s="1" t="inlineStr">
        <is>
          <t>HS kód</t>
        </is>
      </c>
      <c r="C1" s="1" t="inlineStr">
        <is>
          <t>Popis zboží (CZ – dle klienta)</t>
        </is>
      </c>
      <c r="D1" s="1" t="inlineStr">
        <is>
          <t>Země původu (COO)</t>
        </is>
      </c>
      <c r="E1" s="1" t="inlineStr">
        <is>
          <t>Celkové množství (ks)</t>
        </is>
      </c>
      <c r="F1" s="1" t="inlineStr">
        <is>
          <t>Čistá hmotnost (kg)</t>
        </is>
      </c>
      <c r="G1" s="1" t="inlineStr">
        <is>
          <t>Hrubá hmotnost (kg)</t>
        </is>
      </c>
      <c r="H1" s="1" t="inlineStr">
        <is>
          <t>Hodnota USD – Total (FOB)</t>
        </is>
      </c>
      <c r="I1" s="1" t="inlineStr">
        <is>
          <t>Příznak</t>
        </is>
      </c>
      <c r="J1" s="1" t="inlineStr">
        <is>
          <t>Položky faktury / poznámka</t>
        </is>
      </c>
    </row>
    <row r="2">
      <c r="A2" s="2" t="inlineStr">
        <is>
          <t>FLAIR WRITING INDUSTRIES LIMITED, Valsad, IN</t>
        </is>
      </c>
      <c r="B2" s="2" t="inlineStr">
        <is>
          <t>9608109200</t>
        </is>
      </c>
      <c r="C2" s="2" t="inlineStr">
        <is>
          <t>Kuličková pera s vyměnitelnou náplní</t>
        </is>
      </c>
      <c r="D2" s="2" t="inlineStr">
        <is>
          <t>IN</t>
        </is>
      </c>
      <c r="E2" s="3" t="n">
        <v>118032</v>
      </c>
      <c r="F2" s="4" t="n">
        <v>850.8</v>
      </c>
      <c r="G2" s="4" t="n">
        <v>1178.88</v>
      </c>
      <c r="H2" s="5" t="n">
        <v>9838.559999999999</v>
      </c>
      <c r="I2" s="6" t="inlineStr">
        <is>
          <t>PREF. (GSP)</t>
        </is>
      </c>
      <c r="J2" s="2" t="inlineStr">
        <is>
          <t>Pol. 1,2,3,6,8 (A59114, A59935, A59931, A59945, A59939). Pol. 8 = 2 160 SET × 3 ks = 6 480 ks. Pozn.: B/L uvádí 96081019 (indický exportní kód) – pro EU platí KN 96081092 dle klienta.</t>
        </is>
      </c>
    </row>
    <row r="3">
      <c r="A3" s="2" t="inlineStr">
        <is>
          <t>FLAIR WRITING INDUSTRIES LIMITED, Valsad, IN</t>
        </is>
      </c>
      <c r="B3" s="2" t="inlineStr">
        <is>
          <t>9608600000</t>
        </is>
      </c>
      <c r="C3" s="2" t="inlineStr">
        <is>
          <t>Náplně do kuličkových per</t>
        </is>
      </c>
      <c r="D3" s="2" t="inlineStr">
        <is>
          <t>IN</t>
        </is>
      </c>
      <c r="E3" s="3" t="n">
        <v>12096</v>
      </c>
      <c r="F3" s="4" t="n">
        <v>20.4</v>
      </c>
      <c r="G3" s="4" t="n">
        <v>24.6</v>
      </c>
      <c r="H3" s="5" t="n">
        <v>332.64</v>
      </c>
      <c r="I3" s="6" t="inlineStr">
        <is>
          <t>PREF. (GSP)</t>
        </is>
      </c>
      <c r="J3" s="2" t="inlineStr">
        <is>
          <t>Pol. 4 (A59936) – náplně Ezee Click / Passion.</t>
        </is>
      </c>
    </row>
    <row r="4">
      <c r="A4" s="2" t="inlineStr">
        <is>
          <t>FLAIR WRITING INDUSTRIES LIMITED, Valsad, IN</t>
        </is>
      </c>
      <c r="B4" s="2" t="inlineStr">
        <is>
          <t>9608400000</t>
        </is>
      </c>
      <c r="C4" s="2" t="inlineStr">
        <is>
          <t>Patentní tužky</t>
        </is>
      </c>
      <c r="D4" s="2" t="inlineStr">
        <is>
          <t>IN</t>
        </is>
      </c>
      <c r="E4" s="3" t="n">
        <v>31200</v>
      </c>
      <c r="F4" s="4" t="n">
        <v>209.053</v>
      </c>
      <c r="G4" s="4" t="n">
        <v>359.84</v>
      </c>
      <c r="H4" s="5" t="n">
        <v>2418</v>
      </c>
      <c r="I4" s="6" t="inlineStr">
        <is>
          <t>PREF. (GSP)</t>
        </is>
      </c>
      <c r="J4" s="2" t="inlineStr">
        <is>
          <t>Pol. 5, 7 (A59991 Move 2.0 mm, A59995 Artigraff 2.0 mm s ořezávátkem).</t>
        </is>
      </c>
    </row>
    <row r="5">
      <c r="A5" s="7" t="inlineStr">
        <is>
          <t>CELKEM</t>
        </is>
      </c>
      <c r="B5" s="7" t="inlineStr"/>
      <c r="C5" s="7" t="inlineStr"/>
      <c r="D5" s="7" t="inlineStr"/>
      <c r="E5" s="8" t="n">
        <v>161328</v>
      </c>
      <c r="F5" s="9" t="n">
        <v>1080.253</v>
      </c>
      <c r="G5" s="9" t="n">
        <v>1563.32</v>
      </c>
      <c r="H5" s="10" t="n">
        <v>12589.2</v>
      </c>
      <c r="I5" s="7" t="inlineStr"/>
      <c r="J5" s="7" t="inlineStr">
        <is>
          <t>Faktura: NW 1080.253 ✓, množství 161 328 ✓, Total FOB USD 12 589.20 ✓. GW: součet položek 1563.32 kg vs. celkem na faktuře/PL/B/L 1563.38 kg (rozdíl 0.06 kg).</t>
        </is>
      </c>
    </row>
    <row r="7">
      <c r="A7" s="11" t="inlineStr">
        <is>
          <t>Shrnutí zásilky</t>
        </is>
      </c>
    </row>
    <row r="8">
      <c r="A8" s="11" t="inlineStr">
        <is>
          <t>Incoterm</t>
        </is>
      </c>
      <c r="B8" s="12" t="inlineStr">
        <is>
          <t>FOB Nhava Sheva (JNPT), India – dle faktury ("Amount Total FOB USD") a e-mailu klienta. Dopravné doplní klient (nutno přičíst do celní hodnoty).</t>
        </is>
      </c>
    </row>
    <row r="9">
      <c r="A9" s="11" t="inlineStr">
        <is>
          <t>Měna / Total</t>
        </is>
      </c>
      <c r="B9" s="12" t="inlineStr">
        <is>
          <t>USD 12 589,20 – částka u "Amount Total FOB USD" (faktura IV116100024 str. 5). Žádná sleva.</t>
        </is>
      </c>
    </row>
    <row r="10">
      <c r="A10" s="11" t="inlineStr">
        <is>
          <t>🟢 Preferenční věta</t>
        </is>
      </c>
      <c r="B10" s="12" t="inlineStr">
        <is>
          <t>ANO – GSP (REX) prohlášení o původu na faktuře str. 4: preferenční původ INDIA, kritérium "P".</t>
        </is>
      </c>
    </row>
    <row r="11">
      <c r="A11" s="11" t="inlineStr">
        <is>
          <t>REX</t>
        </is>
      </c>
      <c r="B11" s="12" t="inlineStr">
        <is>
          <t>ANO – INREX0388052899EC001</t>
        </is>
      </c>
    </row>
    <row r="12">
      <c r="A12" s="11" t="inlineStr">
        <is>
          <t>CBAM</t>
        </is>
      </c>
      <c r="B12" s="12" t="inlineStr">
        <is>
          <t>Není – kap. 96 nepodléhá CBAM.</t>
        </is>
      </c>
    </row>
    <row r="13">
      <c r="A13" s="11" t="inlineStr">
        <is>
          <t>Antidumping</t>
        </is>
      </c>
      <c r="B13" s="12" t="inlineStr">
        <is>
          <t>Není – na KN 9608 z Indie není známo AD opatření (ověřit v TARIC při podání).</t>
        </is>
      </c>
    </row>
    <row r="14">
      <c r="A14" s="11" t="inlineStr">
        <is>
          <t>Melt &amp; pour</t>
        </is>
      </c>
      <c r="B14" s="12" t="inlineStr">
        <is>
          <t>Nepoužije se – nejde o ocel/železo.</t>
        </is>
      </c>
    </row>
    <row r="15">
      <c r="A15" s="11" t="inlineStr">
        <is>
          <t>Odhad / CCT/VPV KN</t>
        </is>
      </c>
      <c r="B15" s="12" t="inlineStr">
        <is>
          <t>Nepoužito – všechny HS kódy dodal klient.</t>
        </is>
      </c>
    </row>
  </sheetData>
  <mergeCells count="8">
    <mergeCell ref="B15:J15"/>
    <mergeCell ref="B11:J11"/>
    <mergeCell ref="B10:J10"/>
    <mergeCell ref="B14:J14"/>
    <mergeCell ref="B9:J9"/>
    <mergeCell ref="B8:J8"/>
    <mergeCell ref="B12:J12"/>
    <mergeCell ref="B13:J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30" customWidth="1" min="1" max="1"/>
  </cols>
  <sheetData>
    <row r="1">
      <c r="A1" s="13">
        <f>== ZÁSILKA ===</f>
        <v/>
      </c>
    </row>
    <row r="2">
      <c r="A2" s="14" t="inlineStr">
        <is>
          <t>Klient / příjemce: VOLF kancelářské potřeby spol. s r.o., Dubenská 512/1, 370 05 České Budějovice (na dokladech zkomolené "VOLF KANCELARSKE PORTREBY S.R.O., Dubenska 1").</t>
        </is>
      </c>
    </row>
    <row r="3">
      <c r="A3" s="14" t="inlineStr">
        <is>
          <t>Reference klienta: CZ26012119 | B/L (MTD): GNSAPRG260802164 (Globelink WW India, Express BL / telex release) | Kontejner MSMU5793536 / 5933834 / 40HC, plomba LG00305469, LCL</t>
        </is>
      </c>
    </row>
    <row r="4">
      <c r="A4" s="14" t="inlineStr">
        <is>
          <t>Požadavek: JSD (propuštění do volného oběhu), FOB – dopravné doplní klient. Předpokládaný příjezd A1 (Praha) 19.10.2026.</t>
        </is>
      </c>
    </row>
    <row r="5">
      <c r="A5" s="14" t="inlineStr">
        <is>
          <t>Faktura: IV116100024 z 17.08.2026 (Flair Writing Industries Ltd.), Shipping bill 6059316 z 19.08.2026, naloženo 29.08.2026 Nhava Sheva.</t>
        </is>
      </c>
    </row>
    <row r="6">
      <c r="A6" s="14" t="inlineStr">
        <is>
          <t>125 kartonů | NW 1 080,253 kg | GW 1 563,38 kg | 7,473 m³</t>
        </is>
      </c>
    </row>
    <row r="7">
      <c r="A7" s="14" t="inlineStr"/>
    </row>
    <row r="8">
      <c r="A8" s="13">
        <f>== PREFERENČNÍ PŮVOD (COO) – DŮLEŽITÉ ===</f>
        <v/>
      </c>
    </row>
    <row r="9">
      <c r="A9" s="14" t="inlineStr">
        <is>
          <t>Faktura str. 4 obsahuje prohlášení o původu (GSP EU): "The Exporter Number of Registered Exporter (REX REGISTRATION NO. INREX0388052899EC001) of the products covered by this document declares that, except where otherwise clearly indicated, these products are of preferential origin INDIA according to rules of origin of the Generalized System of Preference of the European Union and that the origin criterion met is P".</t>
        </is>
      </c>
    </row>
    <row r="10">
      <c r="A10" s="14" t="inlineStr">
        <is>
          <t>REX: INREX0388052899EC001 – PŘÍTOMNO.</t>
        </is>
      </c>
    </row>
    <row r="11">
      <c r="A11" s="14" t="inlineStr">
        <is>
          <t>→ Uplatnit preferenci GSP (nutno ověřit v TARIC, zda KN 9608 z Indie není vyňata z GSP – graduace; a platnost REX v databázi REX).</t>
        </is>
      </c>
    </row>
    <row r="12">
      <c r="A12" s="14" t="inlineStr"/>
    </row>
    <row r="13">
      <c r="A13" s="13">
        <f>== HS KÓDY ===</f>
        <v/>
      </c>
    </row>
    <row r="14">
      <c r="A14" s="14" t="inlineStr">
        <is>
          <t>Všechny 3 HS kódy a české popisy dodal klient (e-mail + Instrukce.xlsx) – použity doslovně.</t>
        </is>
      </c>
    </row>
    <row r="15">
      <c r="A15" s="14" t="inlineStr">
        <is>
          <t>B/L uvádí 96081019 (indický národní kód) – pro EU se použije KN 96081092 (kuličková pera s vyměnitelnou náplní) dle klienta; odpovídá popisu "ALL WITH BLUE INK REFILL".</t>
        </is>
      </c>
    </row>
    <row r="16">
      <c r="A16" s="14" t="inlineStr"/>
    </row>
    <row r="17">
      <c r="A17" s="13">
        <f>== HMOTNOSTI ===</f>
        <v/>
      </c>
    </row>
    <row r="18">
      <c r="A18" s="14" t="inlineStr">
        <is>
          <t>Čistá hmotnost per položka z packing listu, hrubá hmotnost z "GROSS WT." u každé položky faktury/PL.</t>
        </is>
      </c>
    </row>
    <row r="19">
      <c r="A19" s="14" t="inlineStr">
        <is>
          <t>Součet hrubých hmotností položek = 1 563,32 kg, celkem na dokladech 1 563,38 kg → rozdíl 0,06 kg (pro JSD použít celkovou GW 1 563,38 kg dle B/L).</t>
        </is>
      </c>
    </row>
    <row r="20">
      <c r="A20" s="14" t="inlineStr"/>
    </row>
    <row r="21">
      <c r="A21" s="13">
        <f>== DORUČENÍ (Instrukce.xlsx) ===</f>
        <v/>
      </c>
    </row>
    <row r="22">
      <c r="A22" s="14" t="inlineStr">
        <is>
          <t>Kontakt: Věra Koutenská, tel. 385 102 232, 8:00–14:30. Kamion NE, VZV ANO, fixní rampa ANO, hydraulické čelo + paletový vozík ANO.</t>
        </is>
      </c>
    </row>
    <row r="23">
      <c r="A23" s="14" t="inlineStr">
        <is>
          <t>Speciální požadavek: jednocestné palety 120×80 cm, max. výška 170 cm.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2026-09-30T11:38:15Z</dcterms:created>
  <dcterms:modified xsi:type="dcterms:W3CDTF">2026-09-30T11:38:15Z</dcterms:modified>
</cp:coreProperties>
</file>