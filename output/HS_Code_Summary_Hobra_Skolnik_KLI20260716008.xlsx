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6" customWidth="1" min="3" max="3"/>
    <col width="12" customWidth="1" min="4" max="4"/>
    <col width="20" customWidth="1" min="5" max="5"/>
    <col width="15" customWidth="1" min="6" max="6"/>
    <col width="15" customWidth="1" min="7" max="7"/>
    <col width="16" customWidth="1" min="8" max="8"/>
    <col width="14" customWidth="1" min="9" max="9"/>
    <col width="10" customWidth="1" min="10" max="10"/>
    <col width="60" customWidth="1" min="11" max="11"/>
  </cols>
  <sheetData>
    <row r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Celkové množství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USD – Total</t>
        </is>
      </c>
      <c r="I1" s="1" t="inlineStr">
        <is>
          <t>Incoterm</t>
        </is>
      </c>
      <c r="J1" s="1" t="inlineStr">
        <is>
          <t>Příznak</t>
        </is>
      </c>
      <c r="K1" s="1" t="inlineStr">
        <is>
          <t>TARIC / poznámka / CBAM / Antidumping</t>
        </is>
      </c>
    </row>
    <row r="2">
      <c r="A2" t="inlineStr">
        <is>
          <t>Luyang Unifrax Trading Company Limited (Zibo, CN)</t>
        </is>
      </c>
      <c r="B2" t="inlineStr">
        <is>
          <t>6806100000</t>
        </is>
      </c>
      <c r="C2" t="inlineStr">
        <is>
          <t>Kermamické vlákno pro výrobu izolací</t>
        </is>
      </c>
      <c r="D2" t="inlineStr">
        <is>
          <t>CN</t>
        </is>
      </c>
      <c r="E2" t="inlineStr">
        <is>
          <t>650 pytlů (13 000 kg)</t>
        </is>
      </c>
      <c r="F2" s="2" t="n">
        <v>13000</v>
      </c>
      <c r="G2" s="2" t="n">
        <v>13650</v>
      </c>
      <c r="H2" s="3" t="n">
        <v>12350</v>
      </c>
      <c r="I2" t="inlineStr">
        <is>
          <t>FOB Qingdao</t>
        </is>
      </c>
      <c r="K2" s="4" t="inlineStr">
        <is>
          <t>Popis převzat doslovně od klienta (instrukce). Není CBAM, antidumping nenalezen – ověřit v TARIC. Bez CHED (minerální zboží).</t>
        </is>
      </c>
    </row>
    <row r="3">
      <c r="A3" s="5" t="inlineStr">
        <is>
          <t>CELKEM</t>
        </is>
      </c>
      <c r="B3" s="5" t="n"/>
      <c r="C3" s="5" t="n"/>
      <c r="D3" s="5" t="n"/>
      <c r="E3" s="5" t="inlineStr">
        <is>
          <t>650 pytlů</t>
        </is>
      </c>
      <c r="F3" s="6" t="n">
        <v>13000</v>
      </c>
      <c r="G3" s="6" t="n">
        <v>13650</v>
      </c>
      <c r="H3" s="7" t="n">
        <v>12350</v>
      </c>
      <c r="I3" s="5" t="n"/>
      <c r="J3" s="5" t="n"/>
      <c r="K3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>
        <f>== ZÁSILKA ===</f>
        <v/>
      </c>
    </row>
    <row r="2">
      <c r="A2" t="inlineStr">
        <is>
          <t>Klient / příjemce: Hobra Školník s.r.o., Smetanova 348, Broumov 550 01 (IČ 08747016, DIČ CZ08747016)</t>
        </is>
      </c>
    </row>
    <row r="3">
      <c r="A3" t="inlineStr">
        <is>
          <t>Ref.: KLI20260716008 / CZ26011489 / HBL F202616637</t>
        </is>
      </c>
    </row>
    <row r="4">
      <c r="A4" t="inlineStr">
        <is>
          <t>Faktura SD2607008-HSK ze 5.8.2026, P/O SU-275/2026, platba 100 % T/T předem</t>
        </is>
      </c>
    </row>
    <row r="5">
      <c r="A5" t="inlineStr">
        <is>
          <t>Kontejner 1x40HC MRKU5585817, plomba ML-CN6602186, EMMA MAERSK 632W, Qingdao → Bremerhaven → Mělník, naloženo 9.8.2026</t>
        </is>
      </c>
    </row>
    <row r="6">
      <c r="A6" t="inlineStr">
        <is>
          <t>Vyclení: JCD (volný oběh) – nově u nás (Maurice Ward), dle e-mailu L. Jirkovského</t>
        </is>
      </c>
    </row>
    <row r="7">
      <c r="A7" s="5">
        <f>== INCOTERM ===</f>
        <v/>
      </c>
    </row>
    <row r="8">
      <c r="A8" t="inlineStr">
        <is>
          <t>FOB Qingdao. Freight COLLECT → do celní hodnoty nutno připočíst dopravu (+ pojištění) Qingdao → hranice EU (Bremerhaven). Vyžádat fakturu za námořní přepravu.</t>
        </is>
      </c>
    </row>
    <row r="9">
      <c r="A9" s="5">
        <f>== HODNOTA ===</f>
        <v/>
      </c>
    </row>
    <row r="10">
      <c r="A10" t="inlineStr">
        <is>
          <t>Použita částka "Total": USD 12 350,00 (13 000 kg × 0,95 USD/kg). Žádná sleva.</t>
        </is>
      </c>
    </row>
    <row r="11">
      <c r="A11" s="5">
        <f>== POPIS ===</f>
        <v/>
      </c>
    </row>
    <row r="12">
      <c r="A12" t="inlineStr">
        <is>
          <t>Popis doslovně dle klienta: "Kermamické vlákno pro výrobu izolací" – pozor, v instrukci je překlep (správně "Keramické"). Opravit v JCD? → potvrdit.</t>
        </is>
      </c>
    </row>
    <row r="13">
      <c r="A13" s="5">
        <f>== CBAM ===</f>
        <v/>
      </c>
    </row>
    <row r="14">
      <c r="A14" t="inlineStr">
        <is>
          <t>HS 6806 NENÍ CBAM zboží (CBAM: cement, železo/ocel, hliník, hnojiva, vodík, elektřina). Lookup v registru není potřeba.</t>
        </is>
      </c>
    </row>
    <row r="15">
      <c r="A15" s="5">
        <f>== ANTIDUMPING ===</f>
        <v/>
      </c>
    </row>
    <row r="16">
      <c r="A16" t="inlineStr">
        <is>
          <t>Žádné antidumpingové opatření na 6806 10 00 z CN mi není známo – ověřit v TARIC před podáním.</t>
        </is>
      </c>
    </row>
    <row r="17">
      <c r="A17" s="5">
        <f>== PREFERENČNÍ PŮVOD / REX ===</f>
        <v/>
      </c>
    </row>
    <row r="18">
      <c r="A18" t="inlineStr">
        <is>
          <t>Preferenční věta: NENÍ. Faktura uvádí pouze "materials are origin of China" (nepreferenční). ČLR nemá s EU preferenční dohodu → běžné smluvní clo.</t>
        </is>
      </c>
    </row>
    <row r="19">
      <c r="A19" t="inlineStr">
        <is>
          <t>REX číslo: NENÍ uvedeno na faktuře.</t>
        </is>
      </c>
    </row>
    <row r="20">
      <c r="A20" s="5">
        <f>== CHED ===</f>
        <v/>
      </c>
    </row>
    <row r="21">
      <c r="A21" t="inlineStr">
        <is>
          <t>CHED NENÍ potřeba – zboží je minerální (keramické vlákno), ne živočišného ani rostlinného původu, nepodléhá veterinární/fytosanitární kontrole na hranici.</t>
        </is>
      </c>
    </row>
    <row r="22">
      <c r="A22" t="inlineStr">
        <is>
          <t>Pozn.: pokud jsou pytle na dřevěných paletách, musí mít značku ISPM 15 (to není CHED).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2026-09-24T13:00:45Z</dcterms:created>
  <dcterms:modified xsi:type="dcterms:W3CDTF">2026-09-24T13:00:45Z</dcterms:modified>
</cp:coreProperties>
</file>