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Položky – detail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b val="1"/>
      <color rgb="009C0006"/>
    </font>
    <font>
      <b val="1"/>
    </font>
    <font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3" fontId="4" fillId="7" borderId="1" applyAlignment="1" pivotButton="0" quotePrefix="0" xfId="0">
      <alignment vertical="top" wrapText="1"/>
    </xf>
    <xf numFmtId="4" fontId="4" fillId="7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4" fillId="7" borderId="1" pivotButton="0" quotePrefix="0" xfId="0"/>
    <xf numFmtId="4" fontId="4" fillId="7" borderId="1" pivotButton="0" quotePrefix="0" xfId="0"/>
    <xf numFmtId="164" fontId="4" fillId="7" borderId="1" pivotButton="0" quotePrefix="0" xfId="0"/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26" customWidth="1" min="4" max="4"/>
    <col width="9" customWidth="1" min="5" max="5"/>
    <col width="11" customWidth="1" min="6" max="6"/>
    <col width="13" customWidth="1" min="7" max="7"/>
    <col width="13" customWidth="1" min="8" max="8"/>
    <col width="14" customWidth="1" min="9" max="9"/>
    <col width="24" customWidth="1" min="10" max="10"/>
    <col width="18" customWidth="1" min="11" max="11"/>
    <col width="21" customWidth="1" min="12" max="12"/>
    <col width="13" customWidth="1" min="13" max="13"/>
    <col width="13" customWidth="1" min="14" max="14"/>
    <col width="18" customWidth="1" min="15" max="15"/>
    <col width="46" customWidth="1" min="16" max="16"/>
  </cols>
  <sheetData>
    <row r="1" ht="42" customHeight="1">
      <c r="A1" s="1" t="inlineStr">
        <is>
          <t>Odesílatel (sender)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Popis (EN)</t>
        </is>
      </c>
      <c r="E1" s="1" t="inlineStr">
        <is>
          <t>Země původu (COO)</t>
        </is>
      </c>
      <c r="F1" s="1" t="inlineStr">
        <is>
          <t>Množství (ks)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Celní hodnota (USD)</t>
        </is>
      </c>
      <c r="J1" s="1" t="inlineStr">
        <is>
          <t>Incoterm + město</t>
        </is>
      </c>
      <c r="K1" s="1" t="inlineStr">
        <is>
          <t>Faktura / zásilka</t>
        </is>
      </c>
      <c r="L1" s="1" t="inlineStr">
        <is>
          <t>MRN vývoz (EXA)</t>
        </is>
      </c>
      <c r="M1" s="1" t="inlineStr">
        <is>
          <t>CBAM</t>
        </is>
      </c>
      <c r="N1" s="1" t="inlineStr">
        <is>
          <t>Antidumping</t>
        </is>
      </c>
      <c r="O1" s="1" t="inlineStr">
        <is>
          <t>Preferenční věta (COO)</t>
        </is>
      </c>
      <c r="P1" s="1" t="inlineStr">
        <is>
          <t>Poznámka</t>
        </is>
      </c>
    </row>
    <row r="2" ht="62" customHeight="1">
      <c r="A2" s="2" t="inlineStr">
        <is>
          <t>SHENYANG COMEBOARD TECHNOLOGY CO., LTD.
No.11 Tawan Street, Huanggu District, Shenyang, Liaoning, CHINA</t>
        </is>
      </c>
      <c r="B2" s="3" t="inlineStr">
        <is>
          <t>9507900000</t>
        </is>
      </c>
      <c r="C2" s="3" t="inlineStr">
        <is>
          <t>Trubice (latexová trubička) – rybářské potřeby</t>
        </is>
      </c>
      <c r="D2" s="3" t="inlineStr">
        <is>
          <t>LATEX TUBE</t>
        </is>
      </c>
      <c r="E2" s="3" t="inlineStr">
        <is>
          <t>CN</t>
        </is>
      </c>
      <c r="F2" s="4" t="n">
        <v>4500</v>
      </c>
      <c r="G2" s="5" t="n">
        <v>177.75</v>
      </c>
      <c r="H2" s="5" t="n">
        <v>192.75</v>
      </c>
      <c r="I2" s="5" t="n">
        <v>11155</v>
      </c>
      <c r="J2" s="6" t="inlineStr">
        <is>
          <t>FOB Čína – MĚSTO/PŘÍSTAV NEUVEDEN</t>
        </is>
      </c>
      <c r="K2" s="3" t="inlineStr">
        <is>
          <t>L2026003 / SK13025</t>
        </is>
      </c>
      <c r="L2" s="3" t="inlineStr">
        <is>
          <t>26GB9WLE147IZU9AA5</t>
        </is>
      </c>
      <c r="M2" s="3" t="inlineStr">
        <is>
          <t>Neaplikuje se</t>
        </is>
      </c>
      <c r="N2" s="3" t="inlineStr">
        <is>
          <t>Neaplikuje se</t>
        </is>
      </c>
      <c r="O2" s="7" t="inlineStr">
        <is>
          <t>NENÍ v dokladech</t>
        </is>
      </c>
      <c r="P2" s="3" t="inlineStr">
        <is>
          <t>1 položka faktury; 20 kartonů. Popis CZ dle e-mailu (LATEX TUBE → Tube → trubice).</t>
        </is>
      </c>
    </row>
    <row r="3" ht="62" customHeight="1">
      <c r="A3" s="2" t="inlineStr">
        <is>
          <t>HANGZHOU FUFAN INDUSTRY CO., LTD.
No. 1 Panlongshan Road, Changkou Town, Fuyang District, Hangzhou, CHINA</t>
        </is>
      </c>
      <c r="B3" s="3" t="inlineStr">
        <is>
          <t>9507900000</t>
        </is>
      </c>
      <c r="C3" s="3" t="inlineStr">
        <is>
          <t>Síť na kapry; opěrka prutu – rybářské potřeby</t>
        </is>
      </c>
      <c r="D3" s="3" t="inlineStr">
        <is>
          <t>Carp mesh net / carp net / rod rest</t>
        </is>
      </c>
      <c r="E3" s="3" t="inlineStr">
        <is>
          <t>CN</t>
        </is>
      </c>
      <c r="F3" s="4" t="n">
        <v>2070</v>
      </c>
      <c r="G3" s="5" t="n">
        <v>838</v>
      </c>
      <c r="H3" s="5" t="n">
        <v>942</v>
      </c>
      <c r="I3" s="5" t="n">
        <v>8958.6</v>
      </c>
      <c r="J3" s="8" t="inlineStr">
        <is>
          <t>FOB Shanghai</t>
        </is>
      </c>
      <c r="K3" s="3" t="inlineStr">
        <is>
          <t>26HJ026 / SK13306</t>
        </is>
      </c>
      <c r="L3" s="3" t="inlineStr">
        <is>
          <t>26GB9WLI97CQ46KAA2</t>
        </is>
      </c>
      <c r="M3" s="3" t="inlineStr">
        <is>
          <t>Neaplikuje se</t>
        </is>
      </c>
      <c r="N3" s="3" t="inlineStr">
        <is>
          <t>Neaplikuje se</t>
        </is>
      </c>
      <c r="O3" s="7" t="inlineStr">
        <is>
          <t>NENÍ v dokladech</t>
        </is>
      </c>
      <c r="P3" s="3" t="inlineStr">
        <is>
          <t>7 řádků faktury sloučeno na 1 HS kód; 98 kartonů. Popisy CZ dle e-mailu.</t>
        </is>
      </c>
    </row>
    <row r="4">
      <c r="A4" s="9" t="inlineStr">
        <is>
          <t>CELKEM</t>
        </is>
      </c>
      <c r="B4" s="9" t="n"/>
      <c r="C4" s="9" t="n"/>
      <c r="D4" s="9" t="n"/>
      <c r="E4" s="9" t="n"/>
      <c r="F4" s="10" t="n">
        <v>6570</v>
      </c>
      <c r="G4" s="11" t="n">
        <v>1015.75</v>
      </c>
      <c r="H4" s="11" t="n">
        <v>1134.75</v>
      </c>
      <c r="I4" s="11" t="n">
        <v>20113.6</v>
      </c>
      <c r="J4" s="9" t="n"/>
      <c r="K4" s="9" t="inlineStr">
        <is>
          <t>118 kartonů</t>
        </is>
      </c>
      <c r="L4" s="9" t="n"/>
      <c r="M4" s="9" t="n"/>
      <c r="N4" s="9" t="n"/>
      <c r="O4" s="9" t="n"/>
      <c r="P4" s="9" t="inlineStr">
        <is>
          <t>Souhlasí s T1 26GB000051DWOZ1IK8 (118 pk / 1 134,75 kg brutto)</t>
        </is>
      </c>
    </row>
    <row r="6">
      <c r="A6" s="12" t="inlineStr">
        <is>
          <t>Legenda:</t>
        </is>
      </c>
    </row>
    <row r="7">
      <c r="A7" t="inlineStr">
        <is>
          <t>🔴 ČERVENÁ</t>
        </is>
      </c>
      <c r="B7" t="inlineStr">
        <is>
          <t>Preferenční věta v dokladech NENÍ → uplatní se plné clo třetí země (bez preference).</t>
        </is>
      </c>
    </row>
    <row r="8">
      <c r="A8" t="inlineStr">
        <is>
          <t>🟡 ŽLUTÁ</t>
        </is>
      </c>
      <c r="B8" t="inlineStr">
        <is>
          <t>Incoterm bez uvedeného města/přístavu – nutno doplnit od odesílatele.</t>
        </is>
      </c>
    </row>
    <row r="9">
      <c r="A9" t="inlineStr">
        <is>
          <t>🟢 ZELENÁ</t>
        </is>
      </c>
      <c r="B9" t="inlineStr">
        <is>
          <t>Incoterm kompletní (dodací doložka + město).</t>
        </is>
      </c>
    </row>
    <row r="10">
      <c r="A10" t="inlineStr">
        <is>
          <t>Klasifikace</t>
        </is>
      </c>
      <c r="B10" t="inlineStr">
        <is>
          <t>Zásilka je tříděna PODLE ODESÍLATELE, poté podle HS kódu. Shodný HS kód 9507900000 u dvou různých odesílatelů zůstává na samostatných řádcích (neslučuje se).</t>
        </is>
      </c>
    </row>
    <row r="11">
      <c r="A11" t="inlineStr">
        <is>
          <t>Sleva</t>
        </is>
      </c>
      <c r="B11" t="inlineStr">
        <is>
          <t>Na žádné z faktur není obchodní sleva → proporcionální rozpuštění slevy se neuplatňuje.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  <col width="16" customWidth="1" min="4" max="4"/>
    <col width="12" customWidth="1" min="5" max="5"/>
    <col width="12" customWidth="1" min="6" max="6"/>
    <col width="13" customWidth="1" min="7" max="7"/>
    <col width="13" customWidth="1" min="8" max="8"/>
    <col width="9" customWidth="1" min="9" max="9"/>
    <col width="12" customWidth="1" min="10" max="10"/>
    <col width="12" customWidth="1" min="11" max="11"/>
  </cols>
  <sheetData>
    <row r="1" ht="32" customHeight="1">
      <c r="A1" s="1" t="inlineStr">
        <is>
          <t>Odesílatel</t>
        </is>
      </c>
      <c r="B1" s="1" t="inlineStr">
        <is>
          <t>Kód položky</t>
        </is>
      </c>
      <c r="C1" s="1" t="inlineStr">
        <is>
          <t>Popis (EN)</t>
        </is>
      </c>
      <c r="D1" s="1" t="inlineStr">
        <is>
          <t>Popis (CZ)</t>
        </is>
      </c>
      <c r="E1" s="1" t="inlineStr">
        <is>
          <t>HS kód</t>
        </is>
      </c>
      <c r="F1" s="1" t="inlineStr">
        <is>
          <t>Množství (ks)</t>
        </is>
      </c>
      <c r="G1" s="1" t="inlineStr">
        <is>
          <t>Jedn. cena (USD)</t>
        </is>
      </c>
      <c r="H1" s="1" t="inlineStr">
        <is>
          <t>Hodnota (USD)</t>
        </is>
      </c>
      <c r="I1" s="1" t="inlineStr">
        <is>
          <t>Kartony</t>
        </is>
      </c>
      <c r="J1" s="1" t="inlineStr">
        <is>
          <t>Čistá hm. (kg)</t>
        </is>
      </c>
      <c r="K1" s="1" t="inlineStr">
        <is>
          <t>Hrubá hm. (kg)</t>
        </is>
      </c>
    </row>
    <row r="2">
      <c r="A2" s="13" t="inlineStr">
        <is>
          <t>SHENYANG COMEBOARD</t>
        </is>
      </c>
      <c r="B2" s="13" t="inlineStr">
        <is>
          <t>—</t>
        </is>
      </c>
      <c r="C2" s="13" t="inlineStr">
        <is>
          <t>LATEX TUBE</t>
        </is>
      </c>
      <c r="D2" s="13" t="inlineStr">
        <is>
          <t>Trubice</t>
        </is>
      </c>
      <c r="E2" s="13" t="inlineStr">
        <is>
          <t>9507900000</t>
        </is>
      </c>
      <c r="F2" s="14" t="n">
        <v>4500</v>
      </c>
      <c r="G2" s="15" t="n">
        <v>2.4788</v>
      </c>
      <c r="H2" s="14" t="n">
        <v>11155</v>
      </c>
      <c r="I2" s="14" t="n">
        <v>20</v>
      </c>
      <c r="J2" s="14" t="n">
        <v>177.75</v>
      </c>
      <c r="K2" s="14" t="n">
        <v>192.75</v>
      </c>
    </row>
    <row r="3">
      <c r="A3" s="13" t="inlineStr">
        <is>
          <t>HANGZHOU FUFAN</t>
        </is>
      </c>
      <c r="B3" s="13" t="inlineStr">
        <is>
          <t>20900003</t>
        </is>
      </c>
      <c r="C3" s="13" t="inlineStr">
        <is>
          <t>KEEPNET CARP MESH 2500</t>
        </is>
      </c>
      <c r="D3" s="13" t="inlineStr">
        <is>
          <t>Síť na kapry</t>
        </is>
      </c>
      <c r="E3" s="13" t="inlineStr">
        <is>
          <t>9507900000</t>
        </is>
      </c>
      <c r="F3" s="14" t="n">
        <v>150</v>
      </c>
      <c r="G3" s="15" t="n">
        <v>13.7</v>
      </c>
      <c r="H3" s="14" t="n">
        <v>2055</v>
      </c>
      <c r="I3" s="14" t="n">
        <v>30</v>
      </c>
      <c r="J3" s="14" t="n">
        <v>240</v>
      </c>
      <c r="K3" s="14" t="n">
        <v>270</v>
      </c>
    </row>
    <row r="4">
      <c r="A4" s="13" t="inlineStr">
        <is>
          <t>HANGZHOU FUFAN</t>
        </is>
      </c>
      <c r="B4" s="13" t="inlineStr">
        <is>
          <t>20900018</t>
        </is>
      </c>
      <c r="C4" s="13" t="inlineStr">
        <is>
          <t>SPOON NET LATEX BIG FISH 18"/45CM</t>
        </is>
      </c>
      <c r="D4" s="13" t="inlineStr">
        <is>
          <t>Síť na kapry</t>
        </is>
      </c>
      <c r="E4" s="13" t="inlineStr">
        <is>
          <t>9507900000</t>
        </is>
      </c>
      <c r="F4" s="14" t="n">
        <v>200</v>
      </c>
      <c r="G4" s="15" t="n">
        <v>3.87</v>
      </c>
      <c r="H4" s="14" t="n">
        <v>774</v>
      </c>
      <c r="I4" s="14" t="n">
        <v>8</v>
      </c>
      <c r="J4" s="14" t="n">
        <v>64</v>
      </c>
      <c r="K4" s="14" t="n">
        <v>69.59999999999999</v>
      </c>
    </row>
    <row r="5">
      <c r="A5" s="13" t="inlineStr">
        <is>
          <t>HANGZHOU FUFAN</t>
        </is>
      </c>
      <c r="B5" s="13" t="inlineStr">
        <is>
          <t>20900031</t>
        </is>
      </c>
      <c r="C5" s="13" t="inlineStr">
        <is>
          <t>BIG SCOOPA 5500 LATEX 9MM 55CM</t>
        </is>
      </c>
      <c r="D5" s="13" t="inlineStr">
        <is>
          <t>Síť na kapry</t>
        </is>
      </c>
      <c r="E5" s="13" t="inlineStr">
        <is>
          <t>9507900000</t>
        </is>
      </c>
      <c r="F5" s="14" t="n">
        <v>300</v>
      </c>
      <c r="G5" s="15" t="n">
        <v>4.49</v>
      </c>
      <c r="H5" s="14" t="n">
        <v>1347</v>
      </c>
      <c r="I5" s="14" t="n">
        <v>12</v>
      </c>
      <c r="J5" s="14" t="n">
        <v>126</v>
      </c>
      <c r="K5" s="14" t="n">
        <v>144</v>
      </c>
    </row>
    <row r="6">
      <c r="A6" s="13" t="inlineStr">
        <is>
          <t>HANGZHOU FUFAN</t>
        </is>
      </c>
      <c r="B6" s="13" t="inlineStr">
        <is>
          <t>20900032</t>
        </is>
      </c>
      <c r="C6" s="13" t="inlineStr">
        <is>
          <t>BIG SCOOPA 6000 LATEX 11MM 60CM</t>
        </is>
      </c>
      <c r="D6" s="13" t="inlineStr">
        <is>
          <t>Síť na kapry</t>
        </is>
      </c>
      <c r="E6" s="13" t="inlineStr">
        <is>
          <t>9507900000</t>
        </is>
      </c>
      <c r="F6" s="14" t="n">
        <v>500</v>
      </c>
      <c r="G6" s="15" t="n">
        <v>4.95</v>
      </c>
      <c r="H6" s="14" t="n">
        <v>2475</v>
      </c>
      <c r="I6" s="14" t="n">
        <v>20</v>
      </c>
      <c r="J6" s="14" t="n">
        <v>250</v>
      </c>
      <c r="K6" s="14" t="n">
        <v>280</v>
      </c>
    </row>
    <row r="7">
      <c r="A7" s="13" t="inlineStr">
        <is>
          <t>HANGZHOU FUFAN</t>
        </is>
      </c>
      <c r="B7" s="13" t="inlineStr">
        <is>
          <t>20900014</t>
        </is>
      </c>
      <c r="C7" s="13" t="inlineStr">
        <is>
          <t>SPOON NET MONO MESH GHOST NET 20"/50CM</t>
        </is>
      </c>
      <c r="D7" s="13" t="inlineStr">
        <is>
          <t>Síť na kapry</t>
        </is>
      </c>
      <c r="E7" s="13" t="inlineStr">
        <is>
          <t>9507900000</t>
        </is>
      </c>
      <c r="F7" s="14" t="n">
        <v>200</v>
      </c>
      <c r="G7" s="15" t="n">
        <v>4.32</v>
      </c>
      <c r="H7" s="14" t="n">
        <v>864</v>
      </c>
      <c r="I7" s="14" t="n">
        <v>8</v>
      </c>
      <c r="J7" s="14" t="n">
        <v>48</v>
      </c>
      <c r="K7" s="14" t="n">
        <v>54.4</v>
      </c>
    </row>
    <row r="8">
      <c r="A8" s="13" t="inlineStr">
        <is>
          <t>HANGZHOU FUFAN</t>
        </is>
      </c>
      <c r="B8" s="13" t="inlineStr">
        <is>
          <t>21900003</t>
        </is>
      </c>
      <c r="C8" s="13" t="inlineStr">
        <is>
          <t>STEADY METHOD REST</t>
        </is>
      </c>
      <c r="D8" s="13" t="inlineStr">
        <is>
          <t>Opěrka prutu</t>
        </is>
      </c>
      <c r="E8" s="13" t="inlineStr">
        <is>
          <t>9507900000</t>
        </is>
      </c>
      <c r="F8" s="14" t="n">
        <v>360</v>
      </c>
      <c r="G8" s="15" t="n">
        <v>1.18</v>
      </c>
      <c r="H8" s="14" t="n">
        <v>424.8</v>
      </c>
      <c r="I8" s="14" t="n">
        <v>10</v>
      </c>
      <c r="J8" s="14" t="n">
        <v>30</v>
      </c>
      <c r="K8" s="14" t="n">
        <v>34</v>
      </c>
    </row>
    <row r="9">
      <c r="A9" s="13" t="inlineStr">
        <is>
          <t>HANGZHOU FUFAN</t>
        </is>
      </c>
      <c r="B9" s="13" t="inlineStr">
        <is>
          <t>20190009</t>
        </is>
      </c>
      <c r="C9" s="13" t="inlineStr">
        <is>
          <t>STEADY SLIDING METHOD FRONT REST</t>
        </is>
      </c>
      <c r="D9" s="13" t="inlineStr">
        <is>
          <t>Opěrka prutu</t>
        </is>
      </c>
      <c r="E9" s="13" t="inlineStr">
        <is>
          <t>9507900000</t>
        </is>
      </c>
      <c r="F9" s="14" t="n">
        <v>360</v>
      </c>
      <c r="G9" s="15" t="n">
        <v>2.83</v>
      </c>
      <c r="H9" s="14" t="n">
        <v>1018.8</v>
      </c>
      <c r="I9" s="14" t="n">
        <v>10</v>
      </c>
      <c r="J9" s="14" t="n">
        <v>80</v>
      </c>
      <c r="K9" s="14" t="n">
        <v>90</v>
      </c>
    </row>
    <row r="10">
      <c r="A10" s="16" t="inlineStr">
        <is>
          <t>CELKEM</t>
        </is>
      </c>
      <c r="B10" s="16" t="n"/>
      <c r="C10" s="16" t="n"/>
      <c r="D10" s="16" t="n"/>
      <c r="E10" s="16" t="n"/>
      <c r="F10" s="17" t="n">
        <v>6570</v>
      </c>
      <c r="G10" s="18" t="n"/>
      <c r="H10" s="17" t="n">
        <v>20113.6</v>
      </c>
      <c r="I10" s="17" t="n">
        <v>118</v>
      </c>
      <c r="J10" s="17" t="n">
        <v>1015.75</v>
      </c>
      <c r="K10" s="17" t="n">
        <v>1134.75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9">
        <f>== ZÁSILKA ===</f>
        <v/>
      </c>
      <c r="B1" s="20" t="n"/>
    </row>
    <row r="2">
      <c r="A2" s="20" t="inlineStr">
        <is>
          <t>Klient / příjemce: Sonik Sports Czech Logistics, Osov 75, 267 25 Osov, ČR — EORI CZ00015236976</t>
        </is>
      </c>
      <c r="B2" s="20" t="n"/>
    </row>
    <row r="3">
      <c r="A3" s="20" t="inlineStr">
        <is>
          <t>Odesílatel/vývozce (GB): SONIK SPORTS LIMITED, Riverside Business Park, NE24 4RP Blyth, UK — EORI GB923608624000</t>
        </is>
      </c>
      <c r="B3" s="20" t="n"/>
    </row>
    <row r="4">
      <c r="A4" s="20" t="inlineStr">
        <is>
          <t>Zásilky: SK13025 (faktura L2026003) + SK13306 (faktura 26HJ026); e-mail ref. SIJ065326 / SIJ066042</t>
        </is>
      </c>
      <c r="B4" s="20" t="n"/>
    </row>
    <row r="5">
      <c r="A5" s="20" t="inlineStr">
        <is>
          <t>T1 (NCTS): MRN 26GB000051DWOZ1IK8, odesláno GB000051 Felixstowe 08/09/2026, lhůta do 16.09.2026</t>
        </is>
      </c>
      <c r="B5" s="20" t="n"/>
    </row>
    <row r="6">
      <c r="A6" s="20" t="inlineStr">
        <is>
          <t>Úřad určení: CZ621060 CELNÍ ÚŘAD KLADNO | Držitel režimu: OREGON TRANSIT LOGISTIK GMBH, Düsseldorf</t>
        </is>
      </c>
      <c r="B6" s="20" t="n"/>
    </row>
    <row r="7">
      <c r="A7" s="20" t="inlineStr">
        <is>
          <t>Trasa: GB → FR → BE → DE → CZ | dopravce VISLINE SP. Z O.O., Gdynia (PL)</t>
        </is>
      </c>
      <c r="B7" s="20" t="n"/>
    </row>
    <row r="8">
      <c r="A8" s="20" t="inlineStr">
        <is>
          <t>Celkem: 2 položky, 118 kartonů, brutto 1 134,75 kg, netto 1 015,75 kg, hodnota USD 20 113,60</t>
        </is>
      </c>
      <c r="B8" s="20" t="n"/>
    </row>
    <row r="9">
      <c r="A9" s="20" t="inlineStr"/>
      <c r="B9" s="20" t="n"/>
    </row>
    <row r="10">
      <c r="A10" s="19">
        <f>== ⚠️ PREFERENČNÍ VĚTA (COO) — KRITICKÉ ===</f>
        <v/>
      </c>
      <c r="B10" s="20" t="n"/>
    </row>
    <row r="11">
      <c r="A11" s="20" t="inlineStr">
        <is>
          <t>V ŽÁDNÉM z předložených dokladů NENÍ uvedena preferenční věta (prohlášení o preferenčním původu).</t>
        </is>
      </c>
      <c r="B11" s="20" t="n"/>
    </row>
    <row r="12">
      <c r="A12" s="20" t="inlineStr">
        <is>
          <t>Zkontrolováno: faktura L2026003 (Shenyang Comeboard), faktura 26HJ026 + packing list (Hangzhou Fufan),</t>
        </is>
      </c>
      <c r="B12" s="20" t="n"/>
    </row>
    <row r="13">
      <c r="A13" s="20" t="inlineStr">
        <is>
          <t>vývozní celní prohlášení EXA 26GB9WLE147IZU9AA5 a 26GB9WLI97CQ46KAA2, T1 26GB000051DWOZ1IK8.</t>
        </is>
      </c>
      <c r="B13" s="20" t="n"/>
    </row>
    <row r="14">
      <c r="A14" s="20" t="inlineStr">
        <is>
          <t>Doložené doklady v EXA/T1: pouze Y903 (kulturní statky – neuvedeno), Y922 (bez kožešin), N380 (faktura), N730 (CMR).</t>
        </is>
      </c>
      <c r="B14" s="20" t="n"/>
    </row>
    <row r="15">
      <c r="A15" s="20" t="inlineStr">
        <is>
          <t>→ DŮSLEDEK: uplatní se PLNÉ CLO TŘETÍ ZEMĚ. Preferenční sazba NELZE uplatnit.</t>
        </is>
      </c>
      <c r="B15" s="20" t="n"/>
    </row>
    <row r="16">
      <c r="A16" s="20" t="inlineStr">
        <is>
          <t>→ Deklarovaný původ zboží je ČÍNA (CN) — preference podle dohody EU–UK (TCA) je vyloučena i přesto,</t>
        </is>
      </c>
      <c r="B16" s="20" t="n"/>
    </row>
    <row r="17">
      <c r="A17" s="20" t="inlineStr">
        <is>
          <t xml:space="preserve">   že je zboží odesíláno z Velké Británie: TCA vyžaduje původ UK, nikoli pouze odeslání z UK.</t>
        </is>
      </c>
      <c r="B17" s="20" t="n"/>
    </row>
    <row r="18">
      <c r="A18" s="20" t="inlineStr">
        <is>
          <t>→ Sazba cla pro 9507 90 00 (erga omnes) je 3,7 % — OVĚŘIT v TARIC ke dni přijetí JSD.</t>
        </is>
      </c>
      <c r="B18" s="20" t="n"/>
    </row>
    <row r="19">
      <c r="A19" s="20" t="inlineStr"/>
      <c r="B19" s="20" t="n"/>
    </row>
    <row r="20">
      <c r="A20" s="19">
        <f>== CBAM ===</f>
        <v/>
      </c>
      <c r="B20" s="20" t="n"/>
    </row>
    <row r="21">
      <c r="A21" s="20" t="inlineStr">
        <is>
          <t>Zásilka NEOBSAHUJE žádný CBAM zboží (HS 9507 90 00 – rybářské potřeby; CBAM se týká kap. 25, 27, 28, 31, 72, 73, 76).</t>
        </is>
      </c>
      <c r="B21" s="20" t="n"/>
    </row>
    <row r="22">
      <c r="A22" s="20" t="inlineStr">
        <is>
          <t>→ CBAM se na tuto zásilku NEUPLATŇUJE, kód Y (Y128/Y238/Y137) se neuvádí.</t>
        </is>
      </c>
      <c r="B22" s="20" t="n"/>
    </row>
    <row r="23">
      <c r="A23" s="20" t="inlineStr"/>
      <c r="B23" s="20" t="n"/>
    </row>
    <row r="24">
      <c r="A24" s="20" t="inlineStr">
        <is>
          <t>Pro informaci — vyhledání příjemce v reference/CBAM_receivers_CZ.xlsx (list List1):</t>
        </is>
      </c>
      <c r="B24" s="20" t="n"/>
    </row>
    <row r="25">
      <c r="A25" s="20" t="inlineStr">
        <is>
          <t>• 'Sonik Sports Czech Logistics' NENÍ v registru ve sloupci 'Firma' (žádný záznam příjemce).</t>
        </is>
      </c>
      <c r="B25" s="20" t="n"/>
    </row>
    <row r="26">
      <c r="A26" s="20" t="inlineStr">
        <is>
          <t>• Ve sloupci pravé části souboru ('společnosti mimo EU, které používají náš účet CBAM') je uvedena</t>
        </is>
      </c>
      <c r="B26" s="20" t="n"/>
    </row>
    <row r="27">
      <c r="A27" s="20" t="inlineStr">
        <is>
          <t xml:space="preserve">  'Sonik Sports Limited' s EORI CZ00015236976 → sdílený účet CBAM-CZ-2025-QGM67089385721.</t>
        </is>
      </c>
      <c r="B27" s="20" t="n"/>
    </row>
    <row r="28">
      <c r="A28" s="20" t="inlineStr">
        <is>
          <t>• POZOR: EORI CZ00015236976 je na faktuře uvedeno u Sonik Sports Czech Logistics (CZ příjemce),</t>
        </is>
      </c>
      <c r="B28" s="20" t="n"/>
    </row>
    <row r="29">
      <c r="A29" s="20" t="inlineStr">
        <is>
          <t xml:space="preserve">  zatímco v registru je stejné EORI vedeno na 'Sonik Sports Limited'. Doporučuji sjednotit zápis</t>
        </is>
      </c>
      <c r="B29" s="20" t="n"/>
    </row>
    <row r="30">
      <c r="A30" s="20" t="inlineStr">
        <is>
          <t xml:space="preserve">  v registru, aby byl příjemce dohledatelný pro budoucí zásilky s CBAM zbožím.</t>
        </is>
      </c>
      <c r="B30" s="20" t="n"/>
    </row>
    <row r="31">
      <c r="A31" s="20" t="inlineStr"/>
      <c r="B31" s="20" t="n"/>
    </row>
    <row r="32">
      <c r="A32" s="19">
        <f>== ANTIDUMPING ===</f>
        <v/>
      </c>
      <c r="B32" s="20" t="n"/>
    </row>
    <row r="33">
      <c r="A33" s="20" t="inlineStr">
        <is>
          <t>Pro HS 9507 90 00 (rybářské potřeby) nejsou zavedena antidumpingová opatření vůči Číně.</t>
        </is>
      </c>
      <c r="B33" s="20" t="n"/>
    </row>
    <row r="34">
      <c r="A34" s="20" t="inlineStr">
        <is>
          <t>→ Antidumpingové clo se neuplatňuje. Ověřit v TARIC ke dni přijetí JSD.</t>
        </is>
      </c>
      <c r="B34" s="20" t="n"/>
    </row>
    <row r="35">
      <c r="A35" s="20" t="inlineStr"/>
      <c r="B35" s="20" t="n"/>
    </row>
    <row r="36">
      <c r="A36" s="19">
        <f>== INCOTERM ===</f>
        <v/>
      </c>
      <c r="B36" s="20" t="n"/>
    </row>
    <row r="37">
      <c r="A37" s="20" t="inlineStr">
        <is>
          <t>SK13025 / Shenyang Comeboard: faktura uvádí 'TOTAL FOB CHINA', Port of Loading: CHINA.</t>
        </is>
      </c>
      <c r="B37" s="20" t="n"/>
    </row>
    <row r="38">
      <c r="A38" s="20" t="inlineStr">
        <is>
          <t xml:space="preserve">  ⚠️ CHYBÍ MĚSTO / PŘÍSTAV NALODĚNÍ — doložka FOB musí být doplněna o konkrétní přístav.</t>
        </is>
      </c>
      <c r="B38" s="20" t="n"/>
    </row>
    <row r="39">
      <c r="A39" s="20" t="inlineStr">
        <is>
          <t xml:space="preserve">  → Vyžádat od odesílatele (pravděpodobně FOB Dalian / Yingkou dle Shenyang, ale NEHÁDAT).</t>
        </is>
      </c>
      <c r="B39" s="20" t="n"/>
    </row>
    <row r="40">
      <c r="A40" s="20" t="inlineStr">
        <is>
          <t>SK13306 / Hangzhou Fufan: 'FOB SHANGHAI' — kompletní (doložka + město). ✓</t>
        </is>
      </c>
      <c r="B40" s="20" t="n"/>
    </row>
    <row r="41">
      <c r="A41" s="20" t="inlineStr"/>
      <c r="B41" s="20" t="n"/>
    </row>
    <row r="42">
      <c r="A42" s="19">
        <f>== ZDROJE ÚDAJŮ ===</f>
        <v/>
      </c>
      <c r="B42" s="20" t="n"/>
    </row>
    <row r="43">
      <c r="A43" s="20" t="inlineStr">
        <is>
          <t>Popisy zboží v češtině a přiřazení HS kódů převzaty PŘEDNOSTNĚ Z E-MAILU (mapování kód → EN → CZ).</t>
        </is>
      </c>
      <c r="B43" s="20" t="n"/>
    </row>
    <row r="44">
      <c r="A44" s="20" t="inlineStr">
        <is>
          <t>Množství, hmotnosti a hodnoty: obchodní faktury + packing listy.</t>
        </is>
      </c>
      <c r="B44" s="20" t="n"/>
    </row>
    <row r="45">
      <c r="A45" s="20" t="inlineStr">
        <is>
          <t>Kontrolní součty ověřeny proti EXA a T1: 20 + 98 = 118 kartonů; 192,75 + 942,00 = 1 134,75 kg brutto;</t>
        </is>
      </c>
      <c r="B45" s="20" t="n"/>
    </row>
    <row r="46">
      <c r="A46" s="20" t="inlineStr">
        <is>
          <t>177,75 + 838,00 = 1 015,75 kg netto. Souhlasí.</t>
        </is>
      </c>
      <c r="B46" s="20" t="n"/>
    </row>
    <row r="47">
      <c r="A47" s="20" t="inlineStr">
        <is>
          <t>Obchodní sleva: na fakturách není žádná → proporcionální rozpuštění se neuplatňuje.</t>
        </is>
      </c>
      <c r="B47" s="20" t="n"/>
    </row>
    <row r="48">
      <c r="A48" s="20" t="inlineStr"/>
      <c r="B48" s="20" t="n"/>
    </row>
    <row r="49">
      <c r="A49" s="19">
        <f>== ⚠️ NESROVNALOSTI K OVĚŘENÍ ===</f>
        <v/>
      </c>
      <c r="B49" s="20" t="n"/>
    </row>
    <row r="50">
      <c r="A50" s="20" t="inlineStr">
        <is>
          <t>1) Předmět e-mailu uvádí 'SK13205', tělo e-mailu 'SK13025' a 'SK13306'. Doklady odpovídají</t>
        </is>
      </c>
      <c r="B50" s="20" t="n"/>
    </row>
    <row r="51">
      <c r="A51" s="20" t="inlineStr">
        <is>
          <t xml:space="preserve">   SK13025 a SK13306 → v předmětu je pravděpodobně překlep. Potvrdit.</t>
        </is>
      </c>
      <c r="B51" s="20" t="n"/>
    </row>
    <row r="52">
      <c r="A52" s="20" t="inlineStr">
        <is>
          <t>2) SPZ: e-mail uvádí AECH715 / WAT128, T1 uvádí GA156KE (PL) u obou úseků přepravy.</t>
        </is>
      </c>
      <c r="B52" s="20" t="n"/>
    </row>
    <row r="53">
      <c r="A53" s="20" t="inlineStr">
        <is>
          <t xml:space="preserve">   → Ověřit skutečnou SPZ vozidla před podáním JSD.</t>
        </is>
      </c>
      <c r="B53" s="20" t="n"/>
    </row>
    <row r="54">
      <c r="A54" s="20" t="inlineStr">
        <is>
          <t>3) Faktura L2026003 uvádí měrnou jednotku '(pcs, 6m/pcs)' — 4 500 ks latexové trubice à 6 m.</t>
        </is>
      </c>
      <c r="B54" s="20" t="n"/>
    </row>
    <row r="55">
      <c r="A55" s="20" t="inlineStr">
        <is>
          <t xml:space="preserve">   Doplňkové jednotky v EXA jsou 0. Pro JSD postačí ks; délku uvádím jen pro kontext.</t>
        </is>
      </c>
      <c r="B55" s="20" t="n"/>
    </row>
    <row r="56">
      <c r="A56" s="20" t="inlineStr"/>
      <c r="B56" s="20" t="n"/>
    </row>
    <row r="57">
      <c r="A57" s="19">
        <f>== PODKLADY ===</f>
        <v/>
      </c>
      <c r="B57" s="20" t="n"/>
    </row>
    <row r="58">
      <c r="A58" s="20" t="inlineStr">
        <is>
          <t>✓ COMMERCIAL_DOCS_SK13025_123939972009.pdf — faktura L2026003 + packing list (Shenyang Comeboard)</t>
        </is>
      </c>
      <c r="B58" s="20" t="n"/>
    </row>
    <row r="59">
      <c r="A59" s="20" t="inlineStr">
        <is>
          <t>✓ COMMERCIAL_DOCS_SK13306_UCN_123939992002.pdf — faktura 26HJ026 + packing list (Hangzhou Fufan)</t>
        </is>
      </c>
      <c r="B59" s="20" t="n"/>
    </row>
    <row r="60">
      <c r="A60" s="20" t="inlineStr">
        <is>
          <t>✓ EXA_1.pdf — vývozní prohlášení GB, MRN 26GB9WLE147IZU9AA5 (LATEX TUBE, 20 pk)</t>
        </is>
      </c>
      <c r="B60" s="20" t="n"/>
    </row>
    <row r="61">
      <c r="A61" s="20" t="inlineStr">
        <is>
          <t>✓ EXA_2.pdf — vývozní prohlášení GB, MRN 26GB9WLI97CQ46KAA2 (sítě, opěrky, 98 pk)</t>
        </is>
      </c>
      <c r="B61" s="20" t="n"/>
    </row>
    <row r="62">
      <c r="A62" s="20" t="inlineStr">
        <is>
          <t>✓ GLB2605521nctsuk.pdf — T1 / NCTS, MRN 26GB000051DWOZ1IK8</t>
        </is>
      </c>
      <c r="B62" s="20" t="n"/>
    </row>
    <row r="63">
      <c r="A63" s="20" t="inlineStr">
        <is>
          <t>✓ E-mail s rozpadem HS kódů a českými popisy (prioritní zdroj popisů)</t>
        </is>
      </c>
      <c r="B63" s="20" t="n"/>
    </row>
    <row r="64">
      <c r="A64" s="20" t="inlineStr">
        <is>
          <t>✗ CMR — v podkladech není přiloženo (v T1 doloženo jako N730). Doplnit.</t>
        </is>
      </c>
      <c r="B64" s="20" t="n"/>
    </row>
    <row r="65">
      <c r="A65" s="20" t="inlineStr">
        <is>
          <t>✗ Plná moc k zastoupení — v podkladech není. Ověřit, zda je již na spisu.</t>
        </is>
      </c>
      <c r="B65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2026-09-08T13:04:18Z</dcterms:created>
  <dcterms:modified xsi:type="dcterms:W3CDTF">2026-09-08T13:04:18Z</dcterms:modified>
</cp:coreProperties>
</file>