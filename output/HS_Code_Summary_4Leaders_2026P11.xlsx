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Summary" sheetId="1" state="visible" r:id="rId3"/>
    <sheet name="Sheet" sheetId="2" state="visible" r:id="rId4"/>
    <sheet name="Položky" sheetId="3" state="visible" r:id="rId5"/>
    <sheet name="Dokumenty a poznámky" sheetId="4" state="visible" r:id="rId6"/>
  </sheets>
  <definedNames>
    <definedName function="false" hidden="true" localSheetId="0" name="_xlnm._FilterDatabase" vbProcedure="false">'HS Summary'!$A$5:$L$48</definedName>
    <definedName function="false" hidden="true" localSheetId="2" name="_xlnm._FilterDatabase" vbProcedure="false">Položky!$A$3:$P$63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<sst xmlns="http://schemas.openxmlformats.org/spreadsheetml/2006/main" count="726" uniqueCount="417">
  <si>
    <t xml:space="preserve">Souhrn HS kódů – 4Leaders, s.r.o. – zásilka 2026P11</t>
  </si>
  <si>
    <t xml:space="preserve">Odesílatel: Yiwu Jingsourcing Ecommerce Co Limited  |  Příjemce: 4Leaders, s.r.o., Příběnická 695/5, 390 01 Tábor, CZ  |  Faktura JW20260707P11 ze 7.7.2026  |  B/L F202616283  |  Kontejner MRKU5068835 (1×40'HQ), 608 kartonů  |  Incoterm: FOB Ningbo</t>
  </si>
  <si>
    <t xml:space="preserve">Čistá hmotnost doplněna z revidovaného packing listu „Packing list-P11net weight.xlsx“ (sloupec „gross weight / each product / kg“). U 3 položek byla hodnota dodavatele nepoužitelná – viz list „Dokumenty a poznámky“.</t>
  </si>
  <si>
    <t xml:space="preserve">Odesílatel</t>
  </si>
  <si>
    <t xml:space="preserve">HS kód</t>
  </si>
  <si>
    <t xml:space="preserve">Popis zboží (CZ)</t>
  </si>
  <si>
    <t xml:space="preserve">Země původu (COO)</t>
  </si>
  <si>
    <t xml:space="preserve">Celkové množství (ks)</t>
  </si>
  <si>
    <t xml:space="preserve">Čistá hmotnost (kg)</t>
  </si>
  <si>
    <t xml:space="preserve">Hrubá hmotnost (kg)</t>
  </si>
  <si>
    <t xml:space="preserve">Hodnota USD – před slevou</t>
  </si>
  <si>
    <t xml:space="preserve">Hodnota USD – po slevě</t>
  </si>
  <si>
    <t xml:space="preserve">Incoterm</t>
  </si>
  <si>
    <t xml:space="preserve">Příznak</t>
  </si>
  <si>
    <t xml:space="preserve">TARIC / poznámka / CBAM / Antidumping</t>
  </si>
  <si>
    <t xml:space="preserve">Yiwu Jingsourcing Ecommerce Co Limited, Yiwu, Zhejiang, CN</t>
  </si>
  <si>
    <t xml:space="preserve">3406000000</t>
  </si>
  <si>
    <t xml:space="preserve">Kouzelná svíčka; Kouzelná svíčka - čtyřstěnná pyramida; Kouzelná svíčka - srdce; Plovoucí svíčky 10 ks - bílá</t>
  </si>
  <si>
    <t xml:space="preserve">CN</t>
  </si>
  <si>
    <t xml:space="preserve">FOB Ningbo</t>
  </si>
  <si>
    <t xml:space="preserve">ANTIDUMPING</t>
  </si>
  <si>
    <t xml:space="preserve">ANTIDUMPINGOVÉ CLO – svíčky z ČLR. Stejná sazba jako u zásilky Czech Healthcare 196652 (A00 60,3 % / 21 %). Ověřit aktuální sazbu a základ cla v TARIC při podání JSD.  Čistá hmotnost dopočtena u položky č. 6 – dodavatel uvedl nemožnou hodnotu.</t>
  </si>
  <si>
    <t xml:space="preserve">9503007590</t>
  </si>
  <si>
    <t xml:space="preserve">RC Sportovní transformující se autíčko na dálkové ovládání - červené; Vláček stavějící domino; Solarbot 3v1</t>
  </si>
  <si>
    <t xml:space="preserve">9503009590</t>
  </si>
  <si>
    <t xml:space="preserve">Kouzelné kreslení; Přesouvačka - Parkoviště s autíčky; Basketbalový koš na dveře - sada s míčkem a pumpičkou</t>
  </si>
  <si>
    <t xml:space="preserve">9503006900</t>
  </si>
  <si>
    <t xml:space="preserve">IQ Puzzle 3D; Hlavolam rotační věž; Puzzle pro děti - zvířátka</t>
  </si>
  <si>
    <t xml:space="preserve">ČISTÁ HM. DOPOČTENA</t>
  </si>
  <si>
    <t xml:space="preserve">Čistá hmotnost dopočtena u položky č. 9 – dodavatel uvedl nemožnou hodnotu.</t>
  </si>
  <si>
    <t xml:space="preserve">6301401000</t>
  </si>
  <si>
    <t xml:space="preserve">Svítící deka - jednorožec</t>
  </si>
  <si>
    <t xml:space="preserve">6304930090</t>
  </si>
  <si>
    <t xml:space="preserve">Vánoční svítící povlak na polštář - vánoční chaloupka</t>
  </si>
  <si>
    <t xml:space="preserve">9503005590</t>
  </si>
  <si>
    <t xml:space="preserve">Tančící vánoční stromeček - zpívající</t>
  </si>
  <si>
    <t xml:space="preserve">9404909000</t>
  </si>
  <si>
    <t xml:space="preserve">Polštář s nožičkami - fotbalový míč</t>
  </si>
  <si>
    <t xml:space="preserve">9503007000</t>
  </si>
  <si>
    <t xml:space="preserve">Textilní tvoření pro princezny; Diamantové malování - strom; Didaktická hra se zvířátky - Prostorové vnímání; Velká vyškrabávací sada s vánočními motivy</t>
  </si>
  <si>
    <t xml:space="preserve">6601910000</t>
  </si>
  <si>
    <t xml:space="preserve">Deštník s kočkami</t>
  </si>
  <si>
    <t xml:space="preserve">K OVĚŘENÍ</t>
  </si>
  <si>
    <t xml:space="preserve">Deštníky z ČLR – historicky předmět antidumpingových opatření. OVĚŘIT v TARIC, zda jsou opatření stále v platnosti.</t>
  </si>
  <si>
    <t xml:space="preserve">9405423990</t>
  </si>
  <si>
    <t xml:space="preserve">Vánoční LED kovová hvězda; Elegantní svítící růže ve skleněné váze</t>
  </si>
  <si>
    <t xml:space="preserve">6307909899</t>
  </si>
  <si>
    <t xml:space="preserve">Zatemňující odnímatelná okenní fólie 140x100 cm</t>
  </si>
  <si>
    <t xml:space="preserve">7009920000</t>
  </si>
  <si>
    <t xml:space="preserve">Cestovní kosmetické zrcátko s podsvícením</t>
  </si>
  <si>
    <t xml:space="preserve">Čistá hmotnost dopočtena u položky č. 4 – dodavatel uvedl nemožnou hodnotu.</t>
  </si>
  <si>
    <t xml:space="preserve">8513100000</t>
  </si>
  <si>
    <t xml:space="preserve">Nabíjecí čelovka</t>
  </si>
  <si>
    <t xml:space="preserve">6302329000</t>
  </si>
  <si>
    <t xml:space="preserve">Mikroplyšové prostěradlo 90 x 200 cm - tmavě šedé; Mikroplyšové prostěradlo 180 x 200 cm - tmavě šedé</t>
  </si>
  <si>
    <t xml:space="preserve">9405423100</t>
  </si>
  <si>
    <t xml:space="preserve">LED RGB pásek s ovladačem - 2 m; Vánoční LED svítící koule na stromeček - girlanda; LED světelný panel reagující na zvuk - černý</t>
  </si>
  <si>
    <t xml:space="preserve">9615190000</t>
  </si>
  <si>
    <t xml:space="preserve">Velká sada ozdob do vlasů</t>
  </si>
  <si>
    <t xml:space="preserve">6110309900</t>
  </si>
  <si>
    <t xml:space="preserve">Dětská svítící mikina - hvězdy</t>
  </si>
  <si>
    <t xml:space="preserve">6306220000</t>
  </si>
  <si>
    <t xml:space="preserve">Dětský stan vesmírná raketa</t>
  </si>
  <si>
    <t xml:space="preserve">6115950000</t>
  </si>
  <si>
    <t xml:space="preserve">Prstové ponožky - kočky</t>
  </si>
  <si>
    <t xml:space="preserve">Doplňková jednotka u ponožek je PÁR. V dokladech není uvedeno, zda 1 000 ks = 1 000 párů. OVĚŘIT u dodavatele.</t>
  </si>
  <si>
    <t xml:space="preserve">6308000020</t>
  </si>
  <si>
    <t xml:space="preserve">Vyšívání pro děti - jednorožec</t>
  </si>
  <si>
    <t xml:space="preserve">9506999000</t>
  </si>
  <si>
    <t xml:space="preserve">Tančící housenka</t>
  </si>
  <si>
    <t xml:space="preserve">9503009990</t>
  </si>
  <si>
    <t xml:space="preserve">Dětská magnetická hra v kufříku oblékání panenek</t>
  </si>
  <si>
    <t xml:space="preserve">9503004990</t>
  </si>
  <si>
    <t xml:space="preserve">Pěnová zvířátka do vany 15 ks; Hračka do vany - fontána s krokodýlem</t>
  </si>
  <si>
    <t xml:space="preserve">8543709099</t>
  </si>
  <si>
    <t xml:space="preserve">Aplikátor na lepení kamínků + sada kamínků</t>
  </si>
  <si>
    <t xml:space="preserve">7013499900</t>
  </si>
  <si>
    <t xml:space="preserve">Otočný stojan se skleněnými kořenkami 18 ks</t>
  </si>
  <si>
    <t xml:space="preserve">Stolní/kuchyňské sklo z ČLR – OVĚŘIT v TARIC případná antidumpingová opatření.</t>
  </si>
  <si>
    <t xml:space="preserve">9603909900</t>
  </si>
  <si>
    <t xml:space="preserve">Ždímací mop s dvoukomorovým kbelíkem</t>
  </si>
  <si>
    <t xml:space="preserve">3924900090</t>
  </si>
  <si>
    <t xml:space="preserve">Podtácek sněhová vločka - stříbrná</t>
  </si>
  <si>
    <t xml:space="preserve">9503003500</t>
  </si>
  <si>
    <t xml:space="preserve">Vozík se stavebnicí pro děti</t>
  </si>
  <si>
    <t xml:space="preserve">8205510000</t>
  </si>
  <si>
    <t xml:space="preserve">Otvírák s počítadlem</t>
  </si>
  <si>
    <t xml:space="preserve">6216000000</t>
  </si>
  <si>
    <t xml:space="preserve">Kuchyňská chňapka - kočičí tlapka</t>
  </si>
  <si>
    <t xml:space="preserve">Doplňková jednotka u rukavic je obvykle PÁR. V dokladech není uvedeno, zda 300 ks = 300 párů, nebo 300 jednotlivých kusů. OVĚŘIT u dodavatele.</t>
  </si>
  <si>
    <t xml:space="preserve">9612200000</t>
  </si>
  <si>
    <t xml:space="preserve">Sada na otisk tlapky - malá</t>
  </si>
  <si>
    <t xml:space="preserve">4911910090</t>
  </si>
  <si>
    <t xml:space="preserve">Vánoční samolepky 500 ks  - veselí sněhuláci</t>
  </si>
  <si>
    <t xml:space="preserve">3919108090</t>
  </si>
  <si>
    <t xml:space="preserve">Nalepovací těsnění do oken a dveří 1 m</t>
  </si>
  <si>
    <t xml:space="preserve">6307901000</t>
  </si>
  <si>
    <t xml:space="preserve">Vánoční spona na závěs - sněhulák</t>
  </si>
  <si>
    <t xml:space="preserve">3919908099</t>
  </si>
  <si>
    <t xml:space="preserve">Bílé vánoční samolepky na okno - zasněžená krajina</t>
  </si>
  <si>
    <t xml:space="preserve">9405413100</t>
  </si>
  <si>
    <t xml:space="preserve">Solární osvětlení měděný drát 10 m</t>
  </si>
  <si>
    <t xml:space="preserve">9505109000</t>
  </si>
  <si>
    <t xml:space="preserve">Sada 6 dřevěných vánočních ozdob - sněhové vločky</t>
  </si>
  <si>
    <t xml:space="preserve">3926100000</t>
  </si>
  <si>
    <t xml:space="preserve">Uzavíratelný pořadač na dokumenty</t>
  </si>
  <si>
    <t xml:space="preserve">7117900000</t>
  </si>
  <si>
    <t xml:space="preserve">Náhradní kamínky k aplikátoru</t>
  </si>
  <si>
    <t xml:space="preserve">8505191090</t>
  </si>
  <si>
    <t xml:space="preserve">Magnetická zarážka dveří</t>
  </si>
  <si>
    <t xml:space="preserve">Permanentní magnety (NdFeB) z ČLR – OVĚŘIT v TARIC probíhající / platná antidumpingová opatření.</t>
  </si>
  <si>
    <t xml:space="preserve">9615900000</t>
  </si>
  <si>
    <t xml:space="preserve">Svítící klip do vlasů - motýlek</t>
  </si>
  <si>
    <t xml:space="preserve">9403700000</t>
  </si>
  <si>
    <t xml:space="preserve">Polička na zeď - motýl</t>
  </si>
  <si>
    <t xml:space="preserve">CELKEM</t>
  </si>
  <si>
    <t xml:space="preserve">43 HS kódů</t>
  </si>
  <si>
    <t xml:space="preserve">Předpoklady a legenda</t>
  </si>
  <si>
    <t xml:space="preserve">Fakturovaná hodnota před slevou (USD)</t>
  </si>
  <si>
    <t xml:space="preserve">Obchodní sleva – „Sale 7% (Devaluation of the yuan)“ (USD)</t>
  </si>
  <si>
    <t xml:space="preserve">Celkem k úhradě dle faktury (USD)</t>
  </si>
  <si>
    <t xml:space="preserve">Slevový faktor (rozpouští se proporcionálně dle hodnoty)</t>
  </si>
  <si>
    <t xml:space="preserve">Poměr čistá/hrubá z 57 platných řádků (pro dopočet 3 chybných)</t>
  </si>
  <si>
    <t xml:space="preserve">Legenda</t>
  </si>
  <si>
    <t xml:space="preserve">🔴 ANTIDUMPING</t>
  </si>
  <si>
    <t xml:space="preserve">Položka podléhá (nebo velmi pravděpodobně podléhá) antidumpingovému clu – nutno uvést v JSD.</t>
  </si>
  <si>
    <t xml:space="preserve">🟡 K OVĚŘENÍ</t>
  </si>
  <si>
    <t xml:space="preserve">Antidumpingová opatření nebo jednotka množství nejsou potvrzeny – ověřit před podáním JSD.</t>
  </si>
  <si>
    <t xml:space="preserve">🟠 ČISTÁ HM. DOPOČTENA</t>
  </si>
  <si>
    <t xml:space="preserve">Dodavatel uvedl u položky nemožnou čistou hmotnost; dopočteno poměrem z hrubé váhy.</t>
  </si>
  <si>
    <t xml:space="preserve">CBAM</t>
  </si>
  <si>
    <t xml:space="preserve">Zásilka neobsahuje žádné zboží z přílohy I nařízení CBAM. Příjemce NENÍ v registru – viz „Dokumenty a poznámky“.</t>
  </si>
  <si>
    <t xml:space="preserve">Čistá hmotnost</t>
  </si>
  <si>
    <t xml:space="preserve">Z revidovaného packing listu (net weight), 57 z 60 položek přímo od dodavatele. Celkem 9 935,94 kg.</t>
  </si>
  <si>
    <t xml:space="preserve">Hrubá hmotnost</t>
  </si>
  <si>
    <t xml:space="preserve">Z packing listu, sloupec „Subtotal WG“. Součet 10 480,78 kg souhlasí s B/L F202616283.</t>
  </si>
  <si>
    <t xml:space="preserve">Množství</t>
  </si>
  <si>
    <t xml:space="preserve">Z packing listu, sloupec „Quantity“; ověřeno proti faktuře – shoda u všech 60 položek.</t>
  </si>
  <si>
    <t xml:space="preserve">FOB Ningbo – dle faktury („Price Term: FOB Ningbo“) i B/L (Port of Loading NINGBO, FREIGHT COLLECT).</t>
  </si>
  <si>
    <t xml:space="preserve">Preferenční původ</t>
  </si>
  <si>
    <t xml:space="preserve">Na fakturách NENÍ preferenční věta a NENÍ uvedeno číslo REX. Zboží čínského původu – běžné třetizemní (MFN) clo.</t>
  </si>
  <si>
    <t xml:space="preserve">Rozpad jednotlivých položek – faktura JW20260707P11 / Packing List P11 (60 řádků)</t>
  </si>
  <si>
    <t xml:space="preserve">Č. položky</t>
  </si>
  <si>
    <t xml:space="preserve">Název (EN)</t>
  </si>
  <si>
    <t xml:space="preserve">Popis (CZ)</t>
  </si>
  <si>
    <t xml:space="preserve">Celní popis (CZ)</t>
  </si>
  <si>
    <t xml:space="preserve">Materiál</t>
  </si>
  <si>
    <t xml:space="preserve">Množství (ks)</t>
  </si>
  <si>
    <t xml:space="preserve">Kartonů</t>
  </si>
  <si>
    <t xml:space="preserve">Čistá hmotnost (kg/ks)</t>
  </si>
  <si>
    <t xml:space="preserve">Zdroj čisté hm.</t>
  </si>
  <si>
    <t xml:space="preserve">Jedn. cena USD</t>
  </si>
  <si>
    <t xml:space="preserve">Poznámka</t>
  </si>
  <si>
    <t xml:space="preserve">Micro LED Christmas Star Silhouette 30 cm</t>
  </si>
  <si>
    <t xml:space="preserve">Vánoční LED kovová hvězda</t>
  </si>
  <si>
    <t xml:space="preserve">Svítíce dekorace do interiéru.</t>
  </si>
  <si>
    <t xml:space="preserve">Železo a měděný drát</t>
  </si>
  <si>
    <t xml:space="preserve">dodavatel</t>
  </si>
  <si>
    <t xml:space="preserve">Counting bootle opener</t>
  </si>
  <si>
    <t xml:space="preserve">Otvírák, který ukazuje počet otevřených láhví.</t>
  </si>
  <si>
    <t xml:space="preserve">kov, plast</t>
  </si>
  <si>
    <t xml:space="preserve">Magnet Dress Up Doll Puzzle Box</t>
  </si>
  <si>
    <t xml:space="preserve">Sada magnetických obrázků. Lze na hrací desce oblákat panenky.  V balení také ilustrační obrázky. Hračka pro děti.</t>
  </si>
  <si>
    <t xml:space="preserve">Mini LED makeup mirror</t>
  </si>
  <si>
    <t xml:space="preserve">Malé zrcátko do kapsy s podsvícením. Napájení na baterie.</t>
  </si>
  <si>
    <t xml:space="preserve">ABS, PE, Sklo</t>
  </si>
  <si>
    <t xml:space="preserve">dopočteno</t>
  </si>
  <si>
    <t xml:space="preserve">Dodavatel uvedl 0,120 kg/ks, ale hrubá váha je jen 0,090 kg/ks – čistá nemůže být vyšší než hrubá. Dopočteno poměrem 0,948034 z hrubé váhy. VYŽÁDAT OPRAVU.</t>
  </si>
  <si>
    <t xml:space="preserve">Snowflake Cup Coaster - silver</t>
  </si>
  <si>
    <t xml:space="preserve">Tácek pod nápoje.</t>
  </si>
  <si>
    <t xml:space="preserve">PVC</t>
  </si>
  <si>
    <t xml:space="preserve">Magic candle - cylinder</t>
  </si>
  <si>
    <t xml:space="preserve">Kouzelná svíčka</t>
  </si>
  <si>
    <t xml:space="preserve">Dekorační svíčka, která při rozsvícení zaktivuje LED světlo, které pak svítí do sfouknutí ohně. LED světlo se aktivuje pomocí čidla na světlo.  Svíčka slouží k dekoračním účelům.</t>
  </si>
  <si>
    <t xml:space="preserve">LED světlo a vosk</t>
  </si>
  <si>
    <t xml:space="preserve">Dodavatel uvedl 0,181 kg/ks, ale hrubá váha je jen 0,153 kg/ks – čistá nemůže být vyšší než hrubá. (Srovnej svíčky č. 7 = 0,111 a č. 8 = 0,194.) Dopočteno poměrem 0,948034 z hrubé váhy. VYŽÁDAT OPRAVU.</t>
  </si>
  <si>
    <t xml:space="preserve">Magic candle - pyramid</t>
  </si>
  <si>
    <t xml:space="preserve">Kouzelná svíčka - čtyřstěnná pyramida</t>
  </si>
  <si>
    <t xml:space="preserve">Magic candle - heart</t>
  </si>
  <si>
    <t xml:space="preserve">Kouzelná svíčka - srdce</t>
  </si>
  <si>
    <t xml:space="preserve">IQ Puzzle 3D Challenge Game PRO</t>
  </si>
  <si>
    <t xml:space="preserve">IQ Puzzle 3D</t>
  </si>
  <si>
    <t xml:space="preserve">Logická 3D kuličková hra pro děti.</t>
  </si>
  <si>
    <t xml:space="preserve">ABS</t>
  </si>
  <si>
    <t xml:space="preserve">Dodavatel uvedl ZÁPORNOU hodnotu −0,010 kg/ks. Dopočteno poměrem 0,948034 z hrubé váhy. VYŽÁDAT OPRAVU.</t>
  </si>
  <si>
    <t xml:space="preserve">Microplush sheet 90x200 - dark grey</t>
  </si>
  <si>
    <t xml:space="preserve">Mikroplyšové prostěradlo 90 x 200 cm - tmavě šedé</t>
  </si>
  <si>
    <t xml:space="preserve">Ložní prádlo.</t>
  </si>
  <si>
    <t xml:space="preserve">100% polyester</t>
  </si>
  <si>
    <t xml:space="preserve">Pillow with legs</t>
  </si>
  <si>
    <t xml:space="preserve">Polštářek s roztomilým designem.</t>
  </si>
  <si>
    <t xml:space="preserve">2 in 1 Electric RC Car Transformation Robots - red</t>
  </si>
  <si>
    <t xml:space="preserve">RC Sportovní transformující se autíčko na dálkové ovládání - červené</t>
  </si>
  <si>
    <t xml:space="preserve">Elektrické autíčko na ovládání, které se může proměnit v robota.</t>
  </si>
  <si>
    <t xml:space="preserve">Sway Insect</t>
  </si>
  <si>
    <t xml:space="preserve">Cílem hry je házet kroužky na hlavu housenky. Housenka se po zapnutí hýbe do stran.</t>
  </si>
  <si>
    <t xml:space="preserve">ABS, el. součásti</t>
  </si>
  <si>
    <t xml:space="preserve">Automatic Domino Train Toy</t>
  </si>
  <si>
    <t xml:space="preserve">Vláček stavějící domino</t>
  </si>
  <si>
    <t xml:space="preserve">Vláček, který skládá domino. Také přehrává melodii. Hračka pro děti.</t>
  </si>
  <si>
    <t xml:space="preserve">ABS, elektro součástky</t>
  </si>
  <si>
    <t xml:space="preserve">Fantastic Drawing Magic Pad</t>
  </si>
  <si>
    <t xml:space="preserve">Kouzelné kreslení</t>
  </si>
  <si>
    <t xml:space="preserve">Tabulka má podsvícení, díky kterému fixami namalované obrázky na tabulce svítí. Hračka pro děti.</t>
  </si>
  <si>
    <t xml:space="preserve">ABS, papír, PP, akrylát</t>
  </si>
  <si>
    <t xml:space="preserve">Baby Bath Toys Fun Foam Animals</t>
  </si>
  <si>
    <t xml:space="preserve">Pěnová zvířátka do vany 15 ks</t>
  </si>
  <si>
    <t xml:space="preserve">Hračka pro děti. Vhodné do vany.</t>
  </si>
  <si>
    <t xml:space="preserve">PE</t>
  </si>
  <si>
    <t xml:space="preserve">3 in 1 Solarbot Dinosaur Robot</t>
  </si>
  <si>
    <t xml:space="preserve">Solarbot 3v1</t>
  </si>
  <si>
    <t xml:space="preserve">Solární stavebnice pro děti.</t>
  </si>
  <si>
    <t xml:space="preserve">plast, základní deska</t>
  </si>
  <si>
    <t xml:space="preserve">Fantasy Hand-Painted dress-up princess</t>
  </si>
  <si>
    <t xml:space="preserve">Textilní tvoření pro princezny</t>
  </si>
  <si>
    <t xml:space="preserve">Tvořivá sada pro děti - papírové princezny s látkovými kousky.</t>
  </si>
  <si>
    <t xml:space="preserve">Papír, polyester</t>
  </si>
  <si>
    <t xml:space="preserve">Embroidery For Kids - unicorn with rainbow</t>
  </si>
  <si>
    <t xml:space="preserve">Sada pro vyšívání.  V balení rám, nitě a vyšívací nástroje. Hračka pro děti.</t>
  </si>
  <si>
    <t xml:space="preserve">Polyester, ABS, Ocel</t>
  </si>
  <si>
    <t xml:space="preserve">Hair Glowing Luminescent Hairpin</t>
  </si>
  <si>
    <t xml:space="preserve">Ozdoba do vlasů se sponkou ve tvaru motýla se zabudovaným LED světlem, které mění barvu. Hračka pro děti.</t>
  </si>
  <si>
    <t xml:space="preserve">ABS, LED diody</t>
  </si>
  <si>
    <t xml:space="preserve">Rhinestone Applicator Extra Box of Stones</t>
  </si>
  <si>
    <t xml:space="preserve">Náhradní kamínky do aplikátoru na lepení kamínků, cca 2000ks kamínků, váha 55g.</t>
  </si>
  <si>
    <t xml:space="preserve">papír, sklo</t>
  </si>
  <si>
    <t xml:space="preserve">Floating wax candles - white</t>
  </si>
  <si>
    <t xml:space="preserve">Plovoucí svíčky 10 ks - bílá</t>
  </si>
  <si>
    <t xml:space="preserve">Balení obsahuje 10 svíček, které lze použít ve vodě.</t>
  </si>
  <si>
    <t xml:space="preserve">vosk</t>
  </si>
  <si>
    <t xml:space="preserve">Rotating Slid Cube Colour Puzzle</t>
  </si>
  <si>
    <t xml:space="preserve">Hlavolam rotační věž</t>
  </si>
  <si>
    <t xml:space="preserve">Jednotlivá barevná políčka se posouvají po válci. Cílem je seřadit barvy. Hlavolam pro děti.</t>
  </si>
  <si>
    <t xml:space="preserve">Cat umbrella 2</t>
  </si>
  <si>
    <t xml:space="preserve">Deštník s kočičím designem.</t>
  </si>
  <si>
    <t xml:space="preserve">nylon, bavlna, kov</t>
  </si>
  <si>
    <t xml:space="preserve">LED Lights Color Strip USB - 2m</t>
  </si>
  <si>
    <t xml:space="preserve">LED RGB pásek s ovladačem - 2 m</t>
  </si>
  <si>
    <t xml:space="preserve">LED páska ovládaná dálkově ovladačem. Lze přepínat barvy. Napájení přes USB kabel.</t>
  </si>
  <si>
    <t xml:space="preserve">LED pásek, ABS (ovladač)</t>
  </si>
  <si>
    <t xml:space="preserve">COB LED head lamp</t>
  </si>
  <si>
    <t xml:space="preserve">Outdoorová čelenka - turistická výbava. Součástí balení je napájecí USB kabel. Čelovku lze ovládat bezdotykovým pohybem.</t>
  </si>
  <si>
    <t xml:space="preserve">Silikon, polyester, ABS</t>
  </si>
  <si>
    <t xml:space="preserve">Microplush sheet 180x200 - dark grey</t>
  </si>
  <si>
    <t xml:space="preserve">Mikroplyšové prostěradlo 180 x 200 cm - tmavě šedé</t>
  </si>
  <si>
    <t xml:space="preserve">Magnetic Door Stopper</t>
  </si>
  <si>
    <t xml:space="preserve">Držák pro přichycení dveří, aby zůstaly otevřené. Jedná část se přišroubuje na zem a druhá nalepí na dveře. Dveře pak drží pomocí magnetu. Balení obsahuje zarážku, kovový plát na dveře, 2 hmoždinky, 4 vruty, jedno lepítko.</t>
  </si>
  <si>
    <t xml:space="preserve">Nerezová ocel, guma, stálý magnet (NdFeB)</t>
  </si>
  <si>
    <t xml:space="preserve">Fountain Crocodile Bath Toys</t>
  </si>
  <si>
    <t xml:space="preserve">Hračka do vany - fontána s krokodýlem</t>
  </si>
  <si>
    <t xml:space="preserve">Svítící hračka do vody. Nabíjení pomocí 3x AAA baterií (nejsou součástí balení). Hračka pro děti.</t>
  </si>
  <si>
    <t xml:space="preserve">Funny Five Fingers Socks - cats</t>
  </si>
  <si>
    <t xml:space="preserve">Prstové ponožky s motivem kočky.
Módní doplněk.</t>
  </si>
  <si>
    <t xml:space="preserve">80 % bavlna, 20 % polyester</t>
  </si>
  <si>
    <t xml:space="preserve">LED Christmas Ball - garland</t>
  </si>
  <si>
    <t xml:space="preserve">Vánoční LED svítící koule na stromeček - girlanda</t>
  </si>
  <si>
    <t xml:space="preserve">Ozdoba na vánoční stromeček se světýlkem.</t>
  </si>
  <si>
    <t xml:space="preserve">PET</t>
  </si>
  <si>
    <t xml:space="preserve">Christmas Curtain Buckle B - snowman</t>
  </si>
  <si>
    <t xml:space="preserve">Spona na závěs s vánoční postavičkou. Vánoční dekorace.</t>
  </si>
  <si>
    <t xml:space="preserve">Polyester (vnější část), PP (výplň)</t>
  </si>
  <si>
    <t xml:space="preserve">Christmas Theme Seal Stickers - Snowman</t>
  </si>
  <si>
    <t xml:space="preserve">Vánoční samolepky v  roli (500 ks) slouží k dekoraci vánočních dárků či jiných předmětů.</t>
  </si>
  <si>
    <t xml:space="preserve">Papír</t>
  </si>
  <si>
    <t xml:space="preserve">Montessori strategy game - car</t>
  </si>
  <si>
    <t xml:space="preserve">Přesouvačka - Parkoviště s autíčky</t>
  </si>
  <si>
    <t xml:space="preserve">Plastová hračka tvořená jednotlivými díly (autíčky) , se kterými lze hýbat. Hračka pro procvičení logiky.</t>
  </si>
  <si>
    <t xml:space="preserve">Window Sealing Strip Self-Adhesive 1M</t>
  </si>
  <si>
    <t xml:space="preserve">Těsnění se samolepicí spodní stranou.</t>
  </si>
  <si>
    <t xml:space="preserve">Polyester, PU, papír</t>
  </si>
  <si>
    <t xml:space="preserve">Baking Heat Gloves</t>
  </si>
  <si>
    <t xml:space="preserve">Kuchyňská chňapka v designu kočičích pacek. Slouží jako pomůcka pro uchycení horkého pekáče.</t>
  </si>
  <si>
    <t xml:space="preserve">100% bavlna (povrch), 100% polyester (výplň)</t>
  </si>
  <si>
    <t xml:space="preserve">Wooden christmas decorations 3</t>
  </si>
  <si>
    <t xml:space="preserve">Dřevěné vánoční ozdoby. 6 kusů v balení. Ozdoby jsou na provázku s dřevěnou kuličkou.</t>
  </si>
  <si>
    <t xml:space="preserve">Dřevo, sisalové vlákno</t>
  </si>
  <si>
    <t xml:space="preserve">Diamond painting-30*40 square diamond - Tree</t>
  </si>
  <si>
    <t xml:space="preserve">Diamantové malování - strom</t>
  </si>
  <si>
    <t xml:space="preserve">Balení obsahuje plátno s předtištěnou mozaikou, kde každý označený čtverec odpovídá stejně označenému korálku, sadu korálku balených v sáčcích, tužku na korálky, vosk pro lepší uchycení korálků na tužku, podtácek na korálky a návod. Po nalepení na plátno vznikne obrázek, které je možné využít jako dekoraci.</t>
  </si>
  <si>
    <t xml:space="preserve">Polyester, PP, Pryskyřice, vosk</t>
  </si>
  <si>
    <t xml:space="preserve">Solar String Fairy Lights</t>
  </si>
  <si>
    <t xml:space="preserve">Řetěz o délce 10m, 100LED. Dekorace na zahradu se solárním napájením.</t>
  </si>
  <si>
    <t xml:space="preserve">ABS, měděný drát, solární panel</t>
  </si>
  <si>
    <t xml:space="preserve">Glowing Blanket with Sleeves and Hood - stars</t>
  </si>
  <si>
    <t xml:space="preserve">Svítící měkká deka s rukávy a kapucí.</t>
  </si>
  <si>
    <t xml:space="preserve">Kids tent</t>
  </si>
  <si>
    <t xml:space="preserve">Stan do interiéru. Hračka pro děti.</t>
  </si>
  <si>
    <t xml:space="preserve">Flat Floor Mop and Bucket Set with Aluminum Handle</t>
  </si>
  <si>
    <t xml:space="preserve">Pomůcka pro vytírání podlahy. Mop + kyblík v balení.</t>
  </si>
  <si>
    <t xml:space="preserve">Decorative sutterfly wall shelf</t>
  </si>
  <si>
    <t xml:space="preserve">Plastová polička se vzhledem motýla. Součástí balení jsou nabíjecí háčky.</t>
  </si>
  <si>
    <t xml:space="preserve">Find Location Games</t>
  </si>
  <si>
    <t xml:space="preserve">Didaktická hra se zvířátky - Prostorové vnímání</t>
  </si>
  <si>
    <t xml:space="preserve">Hra na prostorové vnímání. Součástí balení je 20 ks obrázků se zvířátky, pomocí žetonů s obrázky daných zvířátek se určuje kde se jaké nachází (před, za, na, uvnitř, ..), na druhé straně obrázku je řešení. Hračka pro děti.</t>
  </si>
  <si>
    <t xml:space="preserve">Dřevo, papír</t>
  </si>
  <si>
    <t xml:space="preserve">Rhinestone Applicator B</t>
  </si>
  <si>
    <t xml:space="preserve">Aplikátor určený ke zdobení textilu a textilních výrobků. Kamínky se poskládají do požadavaného tvaru a pomocí přístroje se několik vteřin přidrží na vybraném místě. Balení obsahuje aplikátor, krabička s kamínky, látková taštička, 7x nástavec na přilepení kamínků (různé průměry), 1x stojánek, 2x mistička, 2x tužka,1x kartáček, 1x pinzeta, 1x pytlíček. Balení obsahuje kamínky o jedné velikosti v různých barevných provedeních.</t>
  </si>
  <si>
    <t xml:space="preserve">ABS, El. součástky, kov, PVC, PP</t>
  </si>
  <si>
    <t xml:space="preserve">Voice controlr rhythm ligh- black</t>
  </si>
  <si>
    <t xml:space="preserve">LED světelný panel reagující na zvuk - černý</t>
  </si>
  <si>
    <t xml:space="preserve">Světelná dekorace k počítači. Panel reaguje na světlo promítanými barvami.</t>
  </si>
  <si>
    <t xml:space="preserve">ABS, PVC</t>
  </si>
  <si>
    <t xml:space="preserve">Kids Set Of Hair Accessories</t>
  </si>
  <si>
    <t xml:space="preserve">Dětská sada gumiček a sponek. Baleno v dárkové krabičce.</t>
  </si>
  <si>
    <t xml:space="preserve">Pryž, polyester, Ocel, PP</t>
  </si>
  <si>
    <t xml:space="preserve">Enchanted Galaxy Rose in a Glass Dome</t>
  </si>
  <si>
    <t xml:space="preserve">Elegantní svítící růže ve skleněné váze</t>
  </si>
  <si>
    <t xml:space="preserve">Dekorace. Růže ve skle s LED svítícím řetězem.</t>
  </si>
  <si>
    <t xml:space="preserve">A4 file storage box</t>
  </si>
  <si>
    <t xml:space="preserve">Pomocník pro organizaci dokumentů.</t>
  </si>
  <si>
    <t xml:space="preserve">Mini Basketball</t>
  </si>
  <si>
    <t xml:space="preserve">Basketbalový koš na dveře - sada s míčkem a pumpičkou</t>
  </si>
  <si>
    <t xml:space="preserve">Hračka pro děti. Balení obsahuje míček, pumpičku a koš na zavěšení.</t>
  </si>
  <si>
    <t xml:space="preserve">Christmas Magic Scratch Painting Set</t>
  </si>
  <si>
    <t xml:space="preserve">Velká vyškrabávací sada s vánočními motivy</t>
  </si>
  <si>
    <t xml:space="preserve">Sada vyškrabávacích ozdob pro děti na Vánoce. Hračka pro děti.</t>
  </si>
  <si>
    <t xml:space="preserve">Papír, polyester, dřevo</t>
  </si>
  <si>
    <t xml:space="preserve">Pipe Building Blocks</t>
  </si>
  <si>
    <t xml:space="preserve">Stavebnice tvořená trubičkami, které lze spojovat do tvarů. Hračka pro děti.</t>
  </si>
  <si>
    <t xml:space="preserve">Christmas Window Stickers Snow Woods - snowman (BJC813)</t>
  </si>
  <si>
    <t xml:space="preserve">Dekorativní samolepka na okno.</t>
  </si>
  <si>
    <t xml:space="preserve">Puzzle Book</t>
  </si>
  <si>
    <t xml:space="preserve">Puzzle pro děti - zvířátka</t>
  </si>
  <si>
    <t xml:space="preserve">Puzzle zvířátka z tvrdého papíru s kvalitním potiskem. Každé zvířátko se skládá vždy ze dvou kusů. Z druhé strany je anglický název zvířete. Celkem 24 zvířátek (např. ježek, medvěd, včela, želva, králík atd.). Slouží jako hračka pro děti.</t>
  </si>
  <si>
    <t xml:space="preserve">Lepený papír</t>
  </si>
  <si>
    <t xml:space="preserve">Pets Footprints</t>
  </si>
  <si>
    <t xml:space="preserve">Balení obsahuje otiskovací část a 2 kartičky. Tlapička se přitiskne na fólii a ta se otiskne na papírek.</t>
  </si>
  <si>
    <t xml:space="preserve">Papír, PVC fólie, razítková podložka, razítková barva</t>
  </si>
  <si>
    <t xml:space="preserve">360 Rotating spice storage</t>
  </si>
  <si>
    <t xml:space="preserve">Otočný stojan na kořenky. Doplněk do kuchyně. Balení obsahuje 18 otočných kořenek.</t>
  </si>
  <si>
    <t xml:space="preserve">ABS, PP, Sklo</t>
  </si>
  <si>
    <t xml:space="preserve">Dancing Xmas tree - sing</t>
  </si>
  <si>
    <t xml:space="preserve">Vánoční hračka - zpívá a hýbá se.</t>
  </si>
  <si>
    <t xml:space="preserve">potah: 100% nylon</t>
  </si>
  <si>
    <t xml:space="preserve">Glow In The Dark Fleece Blanket - with design unicorn</t>
  </si>
  <si>
    <t xml:space="preserve">Obrázky na dece jsou fluorescenční, po delším vystavení na světle, obrázky svítí ve tmě. Rozměr deky 1 x 1,5 m. Hračka pro děti.</t>
  </si>
  <si>
    <t xml:space="preserve">Christmas cover with light - blue</t>
  </si>
  <si>
    <t xml:space="preserve">Dekorativní polštářek s LED diodami. Dekorace do domácnosti.</t>
  </si>
  <si>
    <t xml:space="preserve">100% polyester, ABS</t>
  </si>
  <si>
    <t xml:space="preserve">Blackout curtain</t>
  </si>
  <si>
    <t xml:space="preserve">Nálepka na okna se zatemňovacím efektem.</t>
  </si>
  <si>
    <t xml:space="preserve">100% Polyester</t>
  </si>
  <si>
    <t xml:space="preserve">4Leaders, s.r.o. – zásilka 2026P11 – poznámky k celnímu odbavení</t>
  </si>
  <si>
    <t xml:space="preserve">🟠 ČISTÁ HMOTNOST – 3 CHYBNÉ HODNOTY OD DODAVATELE (VYŽÁDAT OPRAVU)</t>
  </si>
  <si>
    <t xml:space="preserve">Dodavatel doplnil čistou hmotnost na kus do revidovaného packing listu (soubor „Packing list-P11net weight.xlsx“, sloupec „gross weight / each product / kg“).</t>
  </si>
  <si>
    <t xml:space="preserve">57 z 60 položek je v pořádku a je použito tak, jak je dodavatel uvedl. U 3 položek je hodnota fyzikálně nemožná:</t>
  </si>
  <si>
    <t xml:space="preserve">• Položka 4 – Mini LED makeup mirror: uvedeno 0,120 kg/ks, ale hrubá hmotnost je jen 0,090 kg/ks (9 kg ÷ 100 ks v kartonu). Čistá nemůže být vyšší než hrubá.</t>
  </si>
  <si>
    <t xml:space="preserve">• Položka 6 – Magic candle - cylinder: uvedeno 0,181 kg/ks, ale hrubá hmotnost je jen 0,153 kg/ks (11 kg ÷ 72 ks). Pro srovnání sesterské svíčky: č. 7 = 0,111 kg/ks, č. 8 = 0,194 kg/ks.</t>
  </si>
  <si>
    <t xml:space="preserve">• Položka 9 – IQ Puzzle 3D Challenge Game PRO: uvedena ZÁPORNÁ hodnota −0,010 kg/ks.</t>
  </si>
  <si>
    <t xml:space="preserve">ŘEŠENÍ POUŽITÉ V TOMTO SOUHRNU: u těchto 3 položek je čistá hmotnost dopočtena jako hrubá hmotnost × 0,948034.</t>
  </si>
  <si>
    <t xml:space="preserve">Poměr 0,948034 = součet čistých / součet hrubých hmotností z 57 platných řádků. Dopočtené položky jsou v listu „Položky“ oranžově a ve sloupci „Zdroj čisté hm.“ označeny jako „dopočteno“.</t>
  </si>
  <si>
    <t xml:space="preserve">Dopočtené hodnoty: položka 4 = 51,18 kg (0,0853 kg/ks), položka 6 = 646,39 kg (0,1448 kg/ks), položka 9 = 199,08 kg (0,0474 kg/ks).</t>
  </si>
  <si>
    <t xml:space="preserve">→ VYŽÁDAT U DODAVATELE OPRAVU těchto 3 hodnot. Do té doby jsou v JSD použity dopočtené údaje.</t>
  </si>
  <si>
    <t xml:space="preserve">Čistá hmotnost – celkový součet a co číslo zřejmě obsahuje</t>
  </si>
  <si>
    <t xml:space="preserve">Celková čistá hmotnost zásilky: 9 935,94 kg (z toho 9 039,29 kg přímo od dodavatele u 57 položek + 896,65 kg dopočteno u 3 položek).</t>
  </si>
  <si>
    <t xml:space="preserve">Celková hrubá hmotnost: 10 480,78 kg (B/L F202616283). Rozdíl = 544,84 kg, tj. obal tvoří 5,2 % hrubé hmotnosti. Poměr hrubá/čistá = 1,05481.</t>
  </si>
  <si>
    <t xml:space="preserve">POZOR na výklad čísla: dodavatel hodnoty vyplnil do sloupce nadepsaného „gross weight / each product / kg“, tedy hrubá hmotnost na kus – hlavičku nepřejmenoval.</t>
  </si>
  <si>
    <t xml:space="preserve">Rozdíl 544,65 kg přitom odpovídá zhruba jen hmotnosti vnějších kartonů (orientační výpočet z rozměrů kartonů a plošné hmotnosti vlnité lepenky dává cca 530 kg).</t>
  </si>
  <si>
    <t xml:space="preserve">To naznačuje, že uvedené číslo je hmotnost výrobku VČETNĚ jeho vlastního maloobchodního balení, ale BEZ vnějšího kartonu – nikoli čistá hmotnost samotného zboží.</t>
  </si>
  <si>
    <t xml:space="preserve">Pro JSD je to v praxi běžně akceptovaný základ, ale je dobré o tom vědět. Pokud je potřeba čistá hmotnost v užším smyslu, je nutné si ji u dodavatele vyžádat zvlášť.</t>
  </si>
  <si>
    <t xml:space="preserve">⚠️ CBAM – PŘÍJEMCE NENÍ V REGISTRU</t>
  </si>
  <si>
    <t xml:space="preserve">PŘÍJEMCE „4Leaders, s.r.o.“ NEBYL NALEZEN v reference/CBAM_receivers_CZ.xlsx (list List1, 100 záznamů).</t>
  </si>
  <si>
    <t xml:space="preserve">Vyhledáno podle sloupce Firma i podle EORI – žádná shoda, ani mezi společnostmi mimo EU používajícími sdílený účet CBAM-CZ-2025-QGM67089385721.</t>
  </si>
  <si>
    <t xml:space="preserve">→ Nelze uvést žádný Y kód (Y128 / Y238 / Y137). Prosím ověřit firmu a doplnit ji do registru.</t>
  </si>
  <si>
    <t xml:space="preserve">DOBRÁ ZPRÁVA: tato konkrétní zásilka žádné CBAM zboží neobsahuje.</t>
  </si>
  <si>
    <t xml:space="preserve">Žádný ze 43 HS kódů nespadá do přílohy I nařízení CBAM (cement kap. 25, elektřina 2716, hnojiva kap. 28/31, železo a ocel kap. 72/73, hliník kap. 76, vodík 2804 10).</t>
  </si>
  <si>
    <t xml:space="preserve">Nejbližší „kovové“ položky – 8205 51 00 (otvírák), 8505 19 10 (magnetická zarážka), 9603 90 99 (mop s hliníkovou násadou) – do přílohy I CBAM nespadají.</t>
  </si>
  <si>
    <t xml:space="preserve">→ Pro tuto zásilku se CBAM hlášení nevyžaduje. Registraci příjemce je přesto vhodné vyřešit pro budoucí dovozy.</t>
  </si>
  <si>
    <t xml:space="preserve">⚠️ PREFERENČNÍ VĚTA A ČÍSLO REX – ANI JEDNO NENÍ V DOKUMENTECH</t>
  </si>
  <si>
    <t xml:space="preserve">V žádném z dodaných dokumentů (faktura JW20260707P11, B/L F202616283, packing list) NENÍ uvedena preferenční věta (prohlášení o preferenčním původu).</t>
  </si>
  <si>
    <t xml:space="preserve">Na faktuře rovněž NENÍ uvedeno číslo REX (registrovaný vývozce).</t>
  </si>
  <si>
    <t xml:space="preserve">Zboží pochází z Čínské lidové republiky. Mezi EU a ČLR není uzavřena dohoda o preferenčním obchodu, takže preferenční sazba zde ani není dostupná.</t>
  </si>
  <si>
    <t xml:space="preserve">→ Uplatní se BĚŽNÉ TŘETIZEMNÍ (MFN / erga omnes) CLO podle sazebníku pro každý HS kód.</t>
  </si>
  <si>
    <t xml:space="preserve">→ Země původu do JSD: CN (Čína) u všech položek.</t>
  </si>
  <si>
    <t xml:space="preserve">🔴 ANTIDUMPINGOVÉ CLO – SVÍČKY (3406 00 00 00)</t>
  </si>
  <si>
    <t xml:space="preserve">Položky č. 6 (Kouzelná svíčka – válec), 7 (Kouzelná svíčka – pyramida), 8 (Kouzelná svíčka – srdce) a 22 (Plovoucí svíčky 10 ks – bílá).</t>
  </si>
  <si>
    <t xml:space="preserve">Celkem 10 344 ks, čistá hmotnost 1 383,91 kg, hrubá hmotnost 1 493,00 kg, hodnota před slevou 12 976,40 USD (po slevě 12 065,84 USD).</t>
  </si>
  <si>
    <t xml:space="preserve">Na svíčky z ČLR se vztahuje antidumpingové clo – stejné jako u zásilky Czech Healthcare 196652 (základ A00 se sazbou 60,3 %, resp. 21 %).</t>
  </si>
  <si>
    <t xml:space="preserve">→ OVĚŘIT aktuální sazbu a základ cla v TARIC při podání JSD; hodnota svíček je v této zásilce podstatně vyšší než u předchozí zásilky.</t>
  </si>
  <si>
    <t xml:space="preserve">→ Pozn.: u položky č. 6 je čistá hmotnost dopočtená (viz blok výše).</t>
  </si>
  <si>
    <t xml:space="preserve">🟡 K OVĚŘENÍ V TARIC – MOŽNÁ DALŠÍ ANTIDUMPINGOVÁ OPATŘENÍ</t>
  </si>
  <si>
    <t xml:space="preserve">Následující položky NEJSOU potvrzeny jako předmět antidumpingového cla – jde o kandidáty k ověření, ne o zjištěná opatření:</t>
  </si>
  <si>
    <t xml:space="preserve">• 6601 91 00 00 – Deštník s kočkami (720 ks). Deštníky z ČLR byly historicky předmětem antidumpingových opatření.</t>
  </si>
  <si>
    <t xml:space="preserve">• 7013 49 99 00 – Otočný stojan se skleněnými kořenkami (144 ks). Stolní a kuchyňské sklo z ČLR.</t>
  </si>
  <si>
    <t xml:space="preserve">• 8505 19 10 90 – Magnetická zarážka dveří, permanentní magnet NdFeB (400 ks).</t>
  </si>
  <si>
    <t xml:space="preserve">→ Před podáním JSD zkontrolovat v TARIC podle HS kódu a země původu CN.</t>
  </si>
  <si>
    <t xml:space="preserve">🟡 JEDNOTKA MNOŽSTVÍ – PÁRY vs. KUSY (K OVĚŘENÍ U DODAVATELE)</t>
  </si>
  <si>
    <t xml:space="preserve">V žádném dokladu není použito slovo „pár“ / „pair“ – množství je uvedeno jen jako kusy. U dvou položek to ale rozhoduje o údaji v JSD:</t>
  </si>
  <si>
    <t xml:space="preserve">• Položka 30 – Prstové ponožky - kočky, 6115 95 00 00, 1 000 ks. Doplňková jednotka u ponožek je PÁR. Pravděpodobně jde o 1 000 párů, ale doklad to neuvádí.</t>
  </si>
  <si>
    <t xml:space="preserve">• Položka 36 – Kuchyňská chňapka - kočičí tlapka, 6216 00 00 00, 300 ks. Doplňková jednotka u rukavic je obvykle PÁR. Český název je v jednotném čísle a čistá hmotnost 0,080 kg/ks odpovídá spíše jedné chňapce než páru.</t>
  </si>
  <si>
    <t xml:space="preserve">→ Vyžádat potvrzení u dodavatele před podáním JSD.</t>
  </si>
  <si>
    <t xml:space="preserve">Obchodní sleva – proporcionální rozpuštění</t>
  </si>
  <si>
    <t xml:space="preserve">Faktura JW20260707P11 obsahuje řádek č. 61: „Sale 7% (Devaluation of the yuan)“ ve výši –5 706,20 USD.</t>
  </si>
  <si>
    <t xml:space="preserve">Součet 60 položkových řádků: 81 320,30 USD. Celkem k úhradě dle faktury: 75 614,00 USD.</t>
  </si>
  <si>
    <t xml:space="preserve">Slevový faktor = 75 614,00 / 81 320,30 = 0,9298293 (tj. skutečná sleva 7,0171 %).</t>
  </si>
  <si>
    <t xml:space="preserve">Sleva je do celní hodnoty rozpuštěna PROPORCIONÁLNĚ podle hodnoty každé položky (sloupec „Hodnota USD – po slevě“).</t>
  </si>
  <si>
    <t xml:space="preserve">Pozn.: součet zaokrouhlených řádků činí 75 614,02 USD, tj. o 0,02 USD více než fakturovaná částka – zaokrouhlovací rozdíl při rozpuštění slevy na 43 HS kódů.</t>
  </si>
  <si>
    <t xml:space="preserve">FOB Ningbo.</t>
  </si>
  <si>
    <t xml:space="preserve">Zdroj 1 – faktura JW20260707P11: „Price Term: FOB Ningbo“.</t>
  </si>
  <si>
    <t xml:space="preserve">Zdroj 2 – B/L F202616283: Port of Loading NINGBO, CHINA; „FREIGHT COLLECT“ (přepravné hradí příjemce), což je s FOB v souladu.</t>
  </si>
  <si>
    <t xml:space="preserve">→ Do celní hodnoty je nutné k FOB hodnotě připočítat náklady na přepravu a pojištění do místa vstupu do EU (dodání Bremerhaven).</t>
  </si>
  <si>
    <t xml:space="preserve">Kontrola podkladů – vše sedí</t>
  </si>
  <si>
    <t xml:space="preserve">Počet položek: 60 (Popis_2026P11.xlsx = Packing list P11 = faktura JW20260707P11).</t>
  </si>
  <si>
    <t xml:space="preserve">Revidovaný packing list s čistou hmotností: množství, počty kartonů i hrubé hmotnosti jsou IDENTICKÉ s původní verzí – změnil se pouze doplněný sloupec čisté hmotnosti.</t>
  </si>
  <si>
    <t xml:space="preserve">Množství: shoda u všech 60 položek mezi packing listem a fakturou. Celkem 57 134 ks.</t>
  </si>
  <si>
    <t xml:space="preserve">Hrubá hmotnost: 10 480,78 kg (packing list) = 10 480,78 KGS (B/L F202616283). ✓</t>
  </si>
  <si>
    <t xml:space="preserve">Kartony: 608 CTNS (packing list) = 608 CTNS (B/L). ✓  Objem: 67,868 CBM. ✓</t>
  </si>
  <si>
    <t xml:space="preserve">Kontejner MRKU5068835 / plomba CN6553382, 1×40'HQ, plavidlo AL ZUBARA 628W, naloženo 12.7.2026.</t>
  </si>
  <si>
    <t xml:space="preserve">Trasa: Ningbo → Bremerhaven. Doručení: MAURICE WARD &amp; CO. s.r.o., Knéževes 185, 252 68 Středokluky.</t>
  </si>
  <si>
    <t xml:space="preserve">Pozn.: u položky č. 22 (Plovoucí svíčky) je na faktuře uvedena částka 555,00 USD, zatímco 1 200 ks × 0,463 USD = 555,60 USD. Použita fakturovaná částka 555,00 USD.</t>
  </si>
  <si>
    <t xml:space="preserve">Zdrojové dokumenty</t>
  </si>
  <si>
    <t xml:space="preserve">• order2026P11_Invoice.pdf – obchodní faktura JW20260707P11, 7.7.2026, prodávající Yiwu Jingsourcing Ecommerce Co Limited, kupující 4Leaders, s.r.o. (3 strany).</t>
  </si>
  <si>
    <t xml:space="preserve">• F202616283.pdf – konosament (B/L) F202616283, GLOBAL TRANSPORTATION AGENCY LIMITED.</t>
  </si>
  <si>
    <t xml:space="preserve">• Packing_listP11.xlsx – původní packing list P11 (60 položek, 608 kartonů), bez čisté hmotnosti.</t>
  </si>
  <si>
    <t xml:space="preserve">• Packing list-P11net weight.xlsx – revidovaný packing list s doplněnou čistou hmotností na kus (použit pro sloupec čisté hmotnosti).</t>
  </si>
  <si>
    <t xml:space="preserve">• Popis_2026P11.xlsx – české popisy zboží, materiálové složení a celní nomenklatura (60 položek).</t>
  </si>
  <si>
    <t xml:space="preserve">• reference/CBAM_receivers_CZ.xlsx – registr CBAM příjemců v ČR (příjemce nenalezen).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</si>
</sst>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0"/>
    <numFmt numFmtId="167" formatCode="#,##0.00"/>
    <numFmt numFmtId="168" formatCode="0.0000000"/>
    <numFmt numFmtId="169" formatCode="0.000000"/>
    <numFmt numFmtId="170" formatCode="#,##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BE4D5"/>
      </patternFill>
    </fill>
    <fill>
      <patternFill patternType="solid">
        <fgColor rgb="FFFBE4D5"/>
        <bgColor rgb="FFFFF2CC"/>
      </patternFill>
    </fill>
    <fill>
      <patternFill patternType="solid">
        <fgColor rgb="FFFFF2CC"/>
        <bgColor rgb="FFFBE4D5"/>
      </patternFill>
    </fill>
    <fill>
      <patternFill patternType="solid">
        <fgColor rgb="FFD9E2F3"/>
        <bgColor rgb="FFFBE4D5"/>
      </patternFill>
    </fill>
    <fill>
      <patternFill patternType="solid">
        <fgColor rgb="FFC55A11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4D5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5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35.05" hidden="false" customHeight="false" outlineLevel="0" collapsed="false">
      <c r="A6" s="5" t="s">
        <v>15</v>
      </c>
      <c r="B6" s="6" t="s">
        <v>16</v>
      </c>
      <c r="C6" s="5" t="s">
        <v>17</v>
      </c>
      <c r="D6" s="7" t="s">
        <v>18</v>
      </c>
      <c r="E6" s="8" t="n">
        <f aca="false">SUMIF(Položky!$B$4:$B$63,$B6,Položky!G$4:G$63)</f>
        <v>10344</v>
      </c>
      <c r="F6" s="9" t="n">
        <f aca="false">ROUND(SUMIF(Položky!$B$4:$B$63,$B6,Položky!K$4:K$63),3)</f>
        <v>1383.907</v>
      </c>
      <c r="G6" s="9" t="n">
        <f aca="false">ROUND(SUMIF(Položky!$B$4:$B$63,$B6,Položky!L$4:L$63),3)</f>
        <v>1493</v>
      </c>
      <c r="H6" s="10" t="n">
        <f aca="false">ROUND(SUMIF(Položky!$B$4:$B$63,$B6,Položky!N$4:N$63),2)</f>
        <v>12976.4</v>
      </c>
      <c r="I6" s="10" t="n">
        <f aca="false">ROUND(H6*$C$55,2)</f>
        <v>12065.84</v>
      </c>
      <c r="J6" s="6" t="s">
        <v>19</v>
      </c>
      <c r="K6" s="6" t="s">
        <v>20</v>
      </c>
      <c r="L6" s="5" t="s">
        <v>21</v>
      </c>
    </row>
    <row r="7" customFormat="false" ht="23.85" hidden="false" customHeight="false" outlineLevel="0" collapsed="false">
      <c r="A7" s="11" t="s">
        <v>15</v>
      </c>
      <c r="B7" s="12" t="s">
        <v>22</v>
      </c>
      <c r="C7" s="11" t="s">
        <v>23</v>
      </c>
      <c r="D7" s="13" t="s">
        <v>18</v>
      </c>
      <c r="E7" s="14" t="n">
        <f aca="false">SUMIF(Položky!$B$4:$B$63,$B7,Položky!G$4:G$63)</f>
        <v>3720</v>
      </c>
      <c r="F7" s="15" t="n">
        <f aca="false">ROUND(SUMIF(Položky!$B$4:$B$63,$B7,Položky!K$4:K$63),3)</f>
        <v>1598.352</v>
      </c>
      <c r="G7" s="15" t="n">
        <f aca="false">ROUND(SUMIF(Položky!$B$4:$B$63,$B7,Položky!L$4:L$63),3)</f>
        <v>1673</v>
      </c>
      <c r="H7" s="16" t="n">
        <f aca="false">ROUND(SUMIF(Položky!$B$4:$B$63,$B7,Položky!N$4:N$63),2)</f>
        <v>10954.9</v>
      </c>
      <c r="I7" s="16" t="n">
        <f aca="false">ROUND(H7*$C$55,2)</f>
        <v>10186.19</v>
      </c>
      <c r="J7" s="12" t="s">
        <v>19</v>
      </c>
      <c r="K7" s="12"/>
      <c r="L7" s="11"/>
    </row>
    <row r="8" customFormat="false" ht="23.85" hidden="false" customHeight="false" outlineLevel="0" collapsed="false">
      <c r="A8" s="11" t="s">
        <v>15</v>
      </c>
      <c r="B8" s="12" t="s">
        <v>24</v>
      </c>
      <c r="C8" s="11" t="s">
        <v>25</v>
      </c>
      <c r="D8" s="13" t="s">
        <v>18</v>
      </c>
      <c r="E8" s="14" t="n">
        <f aca="false">SUMIF(Položky!$B$4:$B$63,$B8,Položky!G$4:G$63)</f>
        <v>3456</v>
      </c>
      <c r="F8" s="15" t="n">
        <f aca="false">ROUND(SUMIF(Položky!$B$4:$B$63,$B8,Položky!K$4:K$63),3)</f>
        <v>1087.152</v>
      </c>
      <c r="G8" s="15" t="n">
        <f aca="false">ROUND(SUMIF(Položky!$B$4:$B$63,$B8,Položky!L$4:L$63),3)</f>
        <v>1117</v>
      </c>
      <c r="H8" s="16" t="n">
        <f aca="false">ROUND(SUMIF(Položky!$B$4:$B$63,$B8,Položky!N$4:N$63),2)</f>
        <v>6096.6</v>
      </c>
      <c r="I8" s="16" t="n">
        <f aca="false">ROUND(H8*$C$55,2)</f>
        <v>5668.8</v>
      </c>
      <c r="J8" s="12" t="s">
        <v>19</v>
      </c>
      <c r="K8" s="12"/>
      <c r="L8" s="11"/>
    </row>
    <row r="9" customFormat="false" ht="23.85" hidden="false" customHeight="false" outlineLevel="0" collapsed="false">
      <c r="A9" s="17" t="s">
        <v>15</v>
      </c>
      <c r="B9" s="18" t="s">
        <v>26</v>
      </c>
      <c r="C9" s="17" t="s">
        <v>27</v>
      </c>
      <c r="D9" s="19" t="s">
        <v>18</v>
      </c>
      <c r="E9" s="20" t="n">
        <f aca="false">SUMIF(Položky!$B$4:$B$63,$B9,Položky!G$4:G$63)</f>
        <v>6320</v>
      </c>
      <c r="F9" s="21" t="n">
        <f aca="false">ROUND(SUMIF(Položky!$B$4:$B$63,$B9,Položky!K$4:K$63),3)</f>
        <v>371.08</v>
      </c>
      <c r="G9" s="21" t="n">
        <f aca="false">ROUND(SUMIF(Položky!$B$4:$B$63,$B9,Položky!L$4:L$63),3)</f>
        <v>394</v>
      </c>
      <c r="H9" s="22" t="n">
        <f aca="false">ROUND(SUMIF(Položky!$B$4:$B$63,$B9,Položky!N$4:N$63),2)</f>
        <v>6032.2</v>
      </c>
      <c r="I9" s="22" t="n">
        <f aca="false">ROUND(H9*$C$55,2)</f>
        <v>5608.92</v>
      </c>
      <c r="J9" s="18" t="s">
        <v>19</v>
      </c>
      <c r="K9" s="18" t="s">
        <v>28</v>
      </c>
      <c r="L9" s="17" t="s">
        <v>29</v>
      </c>
    </row>
    <row r="10" customFormat="false" ht="23.85" hidden="false" customHeight="false" outlineLevel="0" collapsed="false">
      <c r="A10" s="11" t="s">
        <v>15</v>
      </c>
      <c r="B10" s="12" t="s">
        <v>30</v>
      </c>
      <c r="C10" s="11" t="s">
        <v>31</v>
      </c>
      <c r="D10" s="13" t="s">
        <v>18</v>
      </c>
      <c r="E10" s="14" t="n">
        <f aca="false">SUMIF(Položky!$B$4:$B$63,$B10,Položky!G$4:G$63)</f>
        <v>2100</v>
      </c>
      <c r="F10" s="15" t="n">
        <f aca="false">ROUND(SUMIF(Položky!$B$4:$B$63,$B10,Položky!K$4:K$63),3)</f>
        <v>882</v>
      </c>
      <c r="G10" s="15" t="n">
        <f aca="false">ROUND(SUMIF(Položky!$B$4:$B$63,$B10,Položky!L$4:L$63),3)</f>
        <v>924</v>
      </c>
      <c r="H10" s="16" t="n">
        <f aca="false">ROUND(SUMIF(Položky!$B$4:$B$63,$B10,Položky!N$4:N$63),2)</f>
        <v>4300.8</v>
      </c>
      <c r="I10" s="16" t="n">
        <f aca="false">ROUND(H10*$C$55,2)</f>
        <v>3999.01</v>
      </c>
      <c r="J10" s="12" t="s">
        <v>19</v>
      </c>
      <c r="K10" s="12"/>
      <c r="L10" s="11"/>
    </row>
    <row r="11" customFormat="false" ht="23.85" hidden="false" customHeight="false" outlineLevel="0" collapsed="false">
      <c r="A11" s="11" t="s">
        <v>15</v>
      </c>
      <c r="B11" s="12" t="s">
        <v>32</v>
      </c>
      <c r="C11" s="11" t="s">
        <v>33</v>
      </c>
      <c r="D11" s="13" t="s">
        <v>18</v>
      </c>
      <c r="E11" s="14" t="n">
        <f aca="false">SUMIF(Položky!$B$4:$B$63,$B11,Položky!G$4:G$63)</f>
        <v>4350</v>
      </c>
      <c r="F11" s="15" t="n">
        <f aca="false">ROUND(SUMIF(Položky!$B$4:$B$63,$B11,Položky!K$4:K$63),3)</f>
        <v>435</v>
      </c>
      <c r="G11" s="15" t="n">
        <f aca="false">ROUND(SUMIF(Položky!$B$4:$B$63,$B11,Položky!L$4:L$63),3)</f>
        <v>456.75</v>
      </c>
      <c r="H11" s="16" t="n">
        <f aca="false">ROUND(SUMIF(Položky!$B$4:$B$63,$B11,Položky!N$4:N$63),2)</f>
        <v>4167.3</v>
      </c>
      <c r="I11" s="16" t="n">
        <f aca="false">ROUND(H11*$C$55,2)</f>
        <v>3874.88</v>
      </c>
      <c r="J11" s="12" t="s">
        <v>19</v>
      </c>
      <c r="K11" s="12"/>
      <c r="L11" s="11"/>
    </row>
    <row r="12" customFormat="false" ht="23.85" hidden="false" customHeight="false" outlineLevel="0" collapsed="false">
      <c r="A12" s="11" t="s">
        <v>15</v>
      </c>
      <c r="B12" s="12" t="s">
        <v>34</v>
      </c>
      <c r="C12" s="11" t="s">
        <v>35</v>
      </c>
      <c r="D12" s="13" t="s">
        <v>18</v>
      </c>
      <c r="E12" s="14" t="n">
        <f aca="false">SUMIF(Položky!$B$4:$B$63,$B12,Položky!G$4:G$63)</f>
        <v>900</v>
      </c>
      <c r="F12" s="15" t="n">
        <f aca="false">ROUND(SUMIF(Položky!$B$4:$B$63,$B12,Položky!K$4:K$63),3)</f>
        <v>360</v>
      </c>
      <c r="G12" s="15" t="n">
        <f aca="false">ROUND(SUMIF(Položky!$B$4:$B$63,$B12,Položky!L$4:L$63),3)</f>
        <v>378</v>
      </c>
      <c r="H12" s="16" t="n">
        <f aca="false">ROUND(SUMIF(Položky!$B$4:$B$63,$B12,Položky!N$4:N$63),2)</f>
        <v>3852</v>
      </c>
      <c r="I12" s="16" t="n">
        <f aca="false">ROUND(H12*$C$55,2)</f>
        <v>3581.7</v>
      </c>
      <c r="J12" s="12" t="s">
        <v>19</v>
      </c>
      <c r="K12" s="12"/>
      <c r="L12" s="11"/>
    </row>
    <row r="13" customFormat="false" ht="23.85" hidden="false" customHeight="false" outlineLevel="0" collapsed="false">
      <c r="A13" s="11" t="s">
        <v>15</v>
      </c>
      <c r="B13" s="12" t="s">
        <v>36</v>
      </c>
      <c r="C13" s="11" t="s">
        <v>37</v>
      </c>
      <c r="D13" s="13" t="s">
        <v>18</v>
      </c>
      <c r="E13" s="14" t="n">
        <f aca="false">SUMIF(Položky!$B$4:$B$63,$B13,Položky!G$4:G$63)</f>
        <v>1600</v>
      </c>
      <c r="F13" s="15" t="n">
        <f aca="false">ROUND(SUMIF(Položky!$B$4:$B$63,$B13,Položky!K$4:K$63),3)</f>
        <v>590.4</v>
      </c>
      <c r="G13" s="15" t="n">
        <f aca="false">ROUND(SUMIF(Položky!$B$4:$B$63,$B13,Položky!L$4:L$63),3)</f>
        <v>600</v>
      </c>
      <c r="H13" s="16" t="n">
        <f aca="false">ROUND(SUMIF(Položky!$B$4:$B$63,$B13,Položky!N$4:N$63),2)</f>
        <v>3510.4</v>
      </c>
      <c r="I13" s="16" t="n">
        <f aca="false">ROUND(H13*$C$55,2)</f>
        <v>3264.07</v>
      </c>
      <c r="J13" s="12" t="s">
        <v>19</v>
      </c>
      <c r="K13" s="12"/>
      <c r="L13" s="11"/>
    </row>
    <row r="14" customFormat="false" ht="23.85" hidden="false" customHeight="false" outlineLevel="0" collapsed="false">
      <c r="A14" s="11" t="s">
        <v>15</v>
      </c>
      <c r="B14" s="12" t="s">
        <v>38</v>
      </c>
      <c r="C14" s="11" t="s">
        <v>39</v>
      </c>
      <c r="D14" s="13" t="s">
        <v>18</v>
      </c>
      <c r="E14" s="14" t="n">
        <f aca="false">SUMIF(Položky!$B$4:$B$63,$B14,Položky!G$4:G$63)</f>
        <v>2360</v>
      </c>
      <c r="F14" s="15" t="n">
        <f aca="false">ROUND(SUMIF(Položky!$B$4:$B$63,$B14,Položky!K$4:K$63),3)</f>
        <v>254.66</v>
      </c>
      <c r="G14" s="15" t="n">
        <f aca="false">ROUND(SUMIF(Položky!$B$4:$B$63,$B14,Položky!L$4:L$63),3)</f>
        <v>274.333</v>
      </c>
      <c r="H14" s="16" t="n">
        <f aca="false">ROUND(SUMIF(Položky!$B$4:$B$63,$B14,Položky!N$4:N$63),2)</f>
        <v>2646.1</v>
      </c>
      <c r="I14" s="16" t="n">
        <f aca="false">ROUND(H14*$C$55,2)</f>
        <v>2460.42</v>
      </c>
      <c r="J14" s="12" t="s">
        <v>19</v>
      </c>
      <c r="K14" s="12"/>
      <c r="L14" s="11"/>
    </row>
    <row r="15" customFormat="false" ht="23.85" hidden="false" customHeight="false" outlineLevel="0" collapsed="false">
      <c r="A15" s="23" t="s">
        <v>15</v>
      </c>
      <c r="B15" s="24" t="s">
        <v>40</v>
      </c>
      <c r="C15" s="23" t="s">
        <v>41</v>
      </c>
      <c r="D15" s="25" t="s">
        <v>18</v>
      </c>
      <c r="E15" s="26" t="n">
        <f aca="false">SUMIF(Položky!$B$4:$B$63,$B15,Položky!G$4:G$63)</f>
        <v>720</v>
      </c>
      <c r="F15" s="27" t="n">
        <f aca="false">ROUND(SUMIF(Položky!$B$4:$B$63,$B15,Položky!K$4:K$63),3)</f>
        <v>239.76</v>
      </c>
      <c r="G15" s="27" t="n">
        <f aca="false">ROUND(SUMIF(Položky!$B$4:$B$63,$B15,Položky!L$4:L$63),3)</f>
        <v>252</v>
      </c>
      <c r="H15" s="28" t="n">
        <f aca="false">ROUND(SUMIF(Položky!$B$4:$B$63,$B15,Položky!N$4:N$63),2)</f>
        <v>2353</v>
      </c>
      <c r="I15" s="28" t="n">
        <f aca="false">ROUND(H15*$C$55,2)</f>
        <v>2187.89</v>
      </c>
      <c r="J15" s="24" t="s">
        <v>19</v>
      </c>
      <c r="K15" s="24" t="s">
        <v>42</v>
      </c>
      <c r="L15" s="23" t="s">
        <v>43</v>
      </c>
    </row>
    <row r="16" customFormat="false" ht="23.85" hidden="false" customHeight="false" outlineLevel="0" collapsed="false">
      <c r="A16" s="11" t="s">
        <v>15</v>
      </c>
      <c r="B16" s="12" t="s">
        <v>44</v>
      </c>
      <c r="C16" s="11" t="s">
        <v>45</v>
      </c>
      <c r="D16" s="13" t="s">
        <v>18</v>
      </c>
      <c r="E16" s="14" t="n">
        <f aca="false">SUMIF(Položky!$B$4:$B$63,$B16,Položky!G$4:G$63)</f>
        <v>904</v>
      </c>
      <c r="F16" s="15" t="n">
        <f aca="false">ROUND(SUMIF(Položky!$B$4:$B$63,$B16,Položky!K$4:K$63),3)</f>
        <v>217.832</v>
      </c>
      <c r="G16" s="15" t="n">
        <f aca="false">ROUND(SUMIF(Položky!$B$4:$B$63,$B16,Položky!L$4:L$63),3)</f>
        <v>249</v>
      </c>
      <c r="H16" s="16" t="n">
        <f aca="false">ROUND(SUMIF(Položky!$B$4:$B$63,$B16,Položky!N$4:N$63),2)</f>
        <v>1915.4</v>
      </c>
      <c r="I16" s="16" t="n">
        <f aca="false">ROUND(H16*$C$55,2)</f>
        <v>1781</v>
      </c>
      <c r="J16" s="12" t="s">
        <v>19</v>
      </c>
      <c r="K16" s="12"/>
      <c r="L16" s="11"/>
    </row>
    <row r="17" customFormat="false" ht="23.85" hidden="false" customHeight="false" outlineLevel="0" collapsed="false">
      <c r="A17" s="11" t="s">
        <v>15</v>
      </c>
      <c r="B17" s="12" t="s">
        <v>46</v>
      </c>
      <c r="C17" s="11" t="s">
        <v>47</v>
      </c>
      <c r="D17" s="13" t="s">
        <v>18</v>
      </c>
      <c r="E17" s="14" t="n">
        <f aca="false">SUMIF(Položky!$B$4:$B$63,$B17,Položky!G$4:G$63)</f>
        <v>1200</v>
      </c>
      <c r="F17" s="15" t="n">
        <f aca="false">ROUND(SUMIF(Položky!$B$4:$B$63,$B17,Položky!K$4:K$63),3)</f>
        <v>255.6</v>
      </c>
      <c r="G17" s="15" t="n">
        <f aca="false">ROUND(SUMIF(Položky!$B$4:$B$63,$B17,Položky!L$4:L$63),3)</f>
        <v>270</v>
      </c>
      <c r="H17" s="16" t="n">
        <f aca="false">ROUND(SUMIF(Položky!$B$4:$B$63,$B17,Položky!N$4:N$63),2)</f>
        <v>1836</v>
      </c>
      <c r="I17" s="16" t="n">
        <f aca="false">ROUND(H17*$C$55,2)</f>
        <v>1707.17</v>
      </c>
      <c r="J17" s="12" t="s">
        <v>19</v>
      </c>
      <c r="K17" s="12"/>
      <c r="L17" s="11"/>
    </row>
    <row r="18" customFormat="false" ht="23.85" hidden="false" customHeight="false" outlineLevel="0" collapsed="false">
      <c r="A18" s="17" t="s">
        <v>15</v>
      </c>
      <c r="B18" s="18" t="s">
        <v>48</v>
      </c>
      <c r="C18" s="17" t="s">
        <v>49</v>
      </c>
      <c r="D18" s="19" t="s">
        <v>18</v>
      </c>
      <c r="E18" s="20" t="n">
        <f aca="false">SUMIF(Položky!$B$4:$B$63,$B18,Položky!G$4:G$63)</f>
        <v>600</v>
      </c>
      <c r="F18" s="21" t="n">
        <f aca="false">ROUND(SUMIF(Položky!$B$4:$B$63,$B18,Položky!K$4:K$63),3)</f>
        <v>51.18</v>
      </c>
      <c r="G18" s="21" t="n">
        <f aca="false">ROUND(SUMIF(Položky!$B$4:$B$63,$B18,Položky!L$4:L$63),3)</f>
        <v>54</v>
      </c>
      <c r="H18" s="22" t="n">
        <f aca="false">ROUND(SUMIF(Položky!$B$4:$B$63,$B18,Položky!N$4:N$63),2)</f>
        <v>1537.2</v>
      </c>
      <c r="I18" s="22" t="n">
        <f aca="false">ROUND(H18*$C$55,2)</f>
        <v>1429.33</v>
      </c>
      <c r="J18" s="18" t="s">
        <v>19</v>
      </c>
      <c r="K18" s="18" t="s">
        <v>28</v>
      </c>
      <c r="L18" s="17" t="s">
        <v>50</v>
      </c>
    </row>
    <row r="19" customFormat="false" ht="23.85" hidden="false" customHeight="false" outlineLevel="0" collapsed="false">
      <c r="A19" s="11" t="s">
        <v>15</v>
      </c>
      <c r="B19" s="12" t="s">
        <v>51</v>
      </c>
      <c r="C19" s="11" t="s">
        <v>52</v>
      </c>
      <c r="D19" s="13" t="s">
        <v>18</v>
      </c>
      <c r="E19" s="14" t="n">
        <f aca="false">SUMIF(Položky!$B$4:$B$63,$B19,Položky!G$4:G$63)</f>
        <v>920</v>
      </c>
      <c r="F19" s="15" t="n">
        <f aca="false">ROUND(SUMIF(Položky!$B$4:$B$63,$B19,Položky!K$4:K$63),3)</f>
        <v>76.36</v>
      </c>
      <c r="G19" s="15" t="n">
        <f aca="false">ROUND(SUMIF(Položky!$B$4:$B$63,$B19,Položky!L$4:L$63),3)</f>
        <v>84.333</v>
      </c>
      <c r="H19" s="16" t="n">
        <f aca="false">ROUND(SUMIF(Položky!$B$4:$B$63,$B19,Položky!N$4:N$63),2)</f>
        <v>1517.1</v>
      </c>
      <c r="I19" s="16" t="n">
        <f aca="false">ROUND(H19*$C$55,2)</f>
        <v>1410.64</v>
      </c>
      <c r="J19" s="12" t="s">
        <v>19</v>
      </c>
      <c r="K19" s="12"/>
      <c r="L19" s="11"/>
    </row>
    <row r="20" customFormat="false" ht="23.85" hidden="false" customHeight="false" outlineLevel="0" collapsed="false">
      <c r="A20" s="11" t="s">
        <v>15</v>
      </c>
      <c r="B20" s="12" t="s">
        <v>53</v>
      </c>
      <c r="C20" s="11" t="s">
        <v>54</v>
      </c>
      <c r="D20" s="13" t="s">
        <v>18</v>
      </c>
      <c r="E20" s="14" t="n">
        <f aca="false">SUMIF(Položky!$B$4:$B$63,$B20,Položky!G$4:G$63)</f>
        <v>350</v>
      </c>
      <c r="F20" s="15" t="n">
        <f aca="false">ROUND(SUMIF(Položky!$B$4:$B$63,$B20,Položky!K$4:K$63),3)</f>
        <v>138.35</v>
      </c>
      <c r="G20" s="15" t="n">
        <f aca="false">ROUND(SUMIF(Položky!$B$4:$B$63,$B20,Položky!L$4:L$63),3)</f>
        <v>141</v>
      </c>
      <c r="H20" s="16" t="n">
        <f aca="false">ROUND(SUMIF(Položky!$B$4:$B$63,$B20,Položky!N$4:N$63),2)</f>
        <v>1481.1</v>
      </c>
      <c r="I20" s="16" t="n">
        <f aca="false">ROUND(H20*$C$55,2)</f>
        <v>1377.17</v>
      </c>
      <c r="J20" s="12" t="s">
        <v>19</v>
      </c>
      <c r="K20" s="12"/>
      <c r="L20" s="11"/>
    </row>
    <row r="21" customFormat="false" ht="23.85" hidden="false" customHeight="false" outlineLevel="0" collapsed="false">
      <c r="A21" s="11" t="s">
        <v>15</v>
      </c>
      <c r="B21" s="12" t="s">
        <v>55</v>
      </c>
      <c r="C21" s="11" t="s">
        <v>56</v>
      </c>
      <c r="D21" s="13" t="s">
        <v>18</v>
      </c>
      <c r="E21" s="14" t="n">
        <f aca="false">SUMIF(Položky!$B$4:$B$63,$B21,Položky!G$4:G$63)</f>
        <v>1180</v>
      </c>
      <c r="F21" s="15" t="n">
        <f aca="false">ROUND(SUMIF(Položky!$B$4:$B$63,$B21,Položky!K$4:K$63),3)</f>
        <v>60</v>
      </c>
      <c r="G21" s="15" t="n">
        <f aca="false">ROUND(SUMIF(Položky!$B$4:$B$63,$B21,Položky!L$4:L$63),3)</f>
        <v>73</v>
      </c>
      <c r="H21" s="16" t="n">
        <f aca="false">ROUND(SUMIF(Položky!$B$4:$B$63,$B21,Položky!N$4:N$63),2)</f>
        <v>1375.6</v>
      </c>
      <c r="I21" s="16" t="n">
        <f aca="false">ROUND(H21*$C$55,2)</f>
        <v>1279.07</v>
      </c>
      <c r="J21" s="12" t="s">
        <v>19</v>
      </c>
      <c r="K21" s="12"/>
      <c r="L21" s="11"/>
    </row>
    <row r="22" customFormat="false" ht="23.85" hidden="false" customHeight="false" outlineLevel="0" collapsed="false">
      <c r="A22" s="11" t="s">
        <v>15</v>
      </c>
      <c r="B22" s="12" t="s">
        <v>57</v>
      </c>
      <c r="C22" s="11" t="s">
        <v>58</v>
      </c>
      <c r="D22" s="13" t="s">
        <v>18</v>
      </c>
      <c r="E22" s="14" t="n">
        <f aca="false">SUMIF(Položky!$B$4:$B$63,$B22,Položky!G$4:G$63)</f>
        <v>1500</v>
      </c>
      <c r="F22" s="15" t="n">
        <f aca="false">ROUND(SUMIF(Položky!$B$4:$B$63,$B22,Položky!K$4:K$63),3)</f>
        <v>189</v>
      </c>
      <c r="G22" s="15" t="n">
        <f aca="false">ROUND(SUMIF(Položky!$B$4:$B$63,$B22,Položky!L$4:L$63),3)</f>
        <v>196.262</v>
      </c>
      <c r="H22" s="16" t="n">
        <f aca="false">ROUND(SUMIF(Položky!$B$4:$B$63,$B22,Položky!N$4:N$63),2)</f>
        <v>1375.5</v>
      </c>
      <c r="I22" s="16" t="n">
        <f aca="false">ROUND(H22*$C$55,2)</f>
        <v>1278.98</v>
      </c>
      <c r="J22" s="12" t="s">
        <v>19</v>
      </c>
      <c r="K22" s="12"/>
      <c r="L22" s="11"/>
    </row>
    <row r="23" customFormat="false" ht="23.85" hidden="false" customHeight="false" outlineLevel="0" collapsed="false">
      <c r="A23" s="11" t="s">
        <v>15</v>
      </c>
      <c r="B23" s="12" t="s">
        <v>59</v>
      </c>
      <c r="C23" s="11" t="s">
        <v>60</v>
      </c>
      <c r="D23" s="13" t="s">
        <v>18</v>
      </c>
      <c r="E23" s="14" t="n">
        <f aca="false">SUMIF(Položky!$B$4:$B$63,$B23,Položky!G$4:G$63)</f>
        <v>300</v>
      </c>
      <c r="F23" s="15" t="n">
        <f aca="false">ROUND(SUMIF(Položky!$B$4:$B$63,$B23,Položky!K$4:K$63),3)</f>
        <v>120</v>
      </c>
      <c r="G23" s="15" t="n">
        <f aca="false">ROUND(SUMIF(Položky!$B$4:$B$63,$B23,Položky!L$4:L$63),3)</f>
        <v>126</v>
      </c>
      <c r="H23" s="16" t="n">
        <f aca="false">ROUND(SUMIF(Položky!$B$4:$B$63,$B23,Položky!N$4:N$63),2)</f>
        <v>1305</v>
      </c>
      <c r="I23" s="16" t="n">
        <f aca="false">ROUND(H23*$C$55,2)</f>
        <v>1213.43</v>
      </c>
      <c r="J23" s="12" t="s">
        <v>19</v>
      </c>
      <c r="K23" s="12"/>
      <c r="L23" s="11"/>
    </row>
    <row r="24" customFormat="false" ht="23.85" hidden="false" customHeight="false" outlineLevel="0" collapsed="false">
      <c r="A24" s="11" t="s">
        <v>15</v>
      </c>
      <c r="B24" s="12" t="s">
        <v>61</v>
      </c>
      <c r="C24" s="11" t="s">
        <v>62</v>
      </c>
      <c r="D24" s="13" t="s">
        <v>18</v>
      </c>
      <c r="E24" s="14" t="n">
        <f aca="false">SUMIF(Položky!$B$4:$B$63,$B24,Položky!G$4:G$63)</f>
        <v>120</v>
      </c>
      <c r="F24" s="15" t="n">
        <f aca="false">ROUND(SUMIF(Položky!$B$4:$B$63,$B24,Položky!K$4:K$63),3)</f>
        <v>92.04</v>
      </c>
      <c r="G24" s="15" t="n">
        <f aca="false">ROUND(SUMIF(Položky!$B$4:$B$63,$B24,Položky!L$4:L$63),3)</f>
        <v>96</v>
      </c>
      <c r="H24" s="16" t="n">
        <f aca="false">ROUND(SUMIF(Položky!$B$4:$B$63,$B24,Položky!N$4:N$63),2)</f>
        <v>906</v>
      </c>
      <c r="I24" s="16" t="n">
        <f aca="false">ROUND(H24*$C$55,2)</f>
        <v>842.43</v>
      </c>
      <c r="J24" s="12" t="s">
        <v>19</v>
      </c>
      <c r="K24" s="12"/>
      <c r="L24" s="11"/>
    </row>
    <row r="25" customFormat="false" ht="23.85" hidden="false" customHeight="false" outlineLevel="0" collapsed="false">
      <c r="A25" s="23" t="s">
        <v>15</v>
      </c>
      <c r="B25" s="24" t="s">
        <v>63</v>
      </c>
      <c r="C25" s="23" t="s">
        <v>64</v>
      </c>
      <c r="D25" s="25" t="s">
        <v>18</v>
      </c>
      <c r="E25" s="26" t="n">
        <f aca="false">SUMIF(Položky!$B$4:$B$63,$B25,Položky!G$4:G$63)</f>
        <v>1000</v>
      </c>
      <c r="F25" s="27" t="n">
        <f aca="false">ROUND(SUMIF(Položky!$B$4:$B$63,$B25,Položky!K$4:K$63),3)</f>
        <v>38</v>
      </c>
      <c r="G25" s="27" t="n">
        <f aca="false">ROUND(SUMIF(Položky!$B$4:$B$63,$B25,Položky!L$4:L$63),3)</f>
        <v>40</v>
      </c>
      <c r="H25" s="28" t="n">
        <f aca="false">ROUND(SUMIF(Položky!$B$4:$B$63,$B25,Položky!N$4:N$63),2)</f>
        <v>894</v>
      </c>
      <c r="I25" s="28" t="n">
        <f aca="false">ROUND(H25*$C$55,2)</f>
        <v>831.27</v>
      </c>
      <c r="J25" s="24" t="s">
        <v>19</v>
      </c>
      <c r="K25" s="24" t="s">
        <v>42</v>
      </c>
      <c r="L25" s="23" t="s">
        <v>65</v>
      </c>
    </row>
    <row r="26" customFormat="false" ht="23.85" hidden="false" customHeight="false" outlineLevel="0" collapsed="false">
      <c r="A26" s="11" t="s">
        <v>15</v>
      </c>
      <c r="B26" s="12" t="s">
        <v>66</v>
      </c>
      <c r="C26" s="11" t="s">
        <v>67</v>
      </c>
      <c r="D26" s="13" t="s">
        <v>18</v>
      </c>
      <c r="E26" s="14" t="n">
        <f aca="false">SUMIF(Položky!$B$4:$B$63,$B26,Položky!G$4:G$63)</f>
        <v>360</v>
      </c>
      <c r="F26" s="15" t="n">
        <f aca="false">ROUND(SUMIF(Položky!$B$4:$B$63,$B26,Položky!K$4:K$63),3)</f>
        <v>29.88</v>
      </c>
      <c r="G26" s="15" t="n">
        <f aca="false">ROUND(SUMIF(Položky!$B$4:$B$63,$B26,Položky!L$4:L$63),3)</f>
        <v>33</v>
      </c>
      <c r="H26" s="16" t="n">
        <f aca="false">ROUND(SUMIF(Položky!$B$4:$B$63,$B26,Položky!N$4:N$63),2)</f>
        <v>721.8</v>
      </c>
      <c r="I26" s="16" t="n">
        <f aca="false">ROUND(H26*$C$55,2)</f>
        <v>671.15</v>
      </c>
      <c r="J26" s="12" t="s">
        <v>19</v>
      </c>
      <c r="K26" s="12"/>
      <c r="L26" s="11"/>
    </row>
    <row r="27" customFormat="false" ht="23.85" hidden="false" customHeight="false" outlineLevel="0" collapsed="false">
      <c r="A27" s="11" t="s">
        <v>15</v>
      </c>
      <c r="B27" s="12" t="s">
        <v>68</v>
      </c>
      <c r="C27" s="11" t="s">
        <v>69</v>
      </c>
      <c r="D27" s="13" t="s">
        <v>18</v>
      </c>
      <c r="E27" s="14" t="n">
        <f aca="false">SUMIF(Položky!$B$4:$B$63,$B27,Položky!G$4:G$63)</f>
        <v>180</v>
      </c>
      <c r="F27" s="15" t="n">
        <f aca="false">ROUND(SUMIF(Položky!$B$4:$B$63,$B27,Položky!K$4:K$63),3)</f>
        <v>129.96</v>
      </c>
      <c r="G27" s="15" t="n">
        <f aca="false">ROUND(SUMIF(Položky!$B$4:$B$63,$B27,Položky!L$4:L$63),3)</f>
        <v>135</v>
      </c>
      <c r="H27" s="16" t="n">
        <f aca="false">ROUND(SUMIF(Položky!$B$4:$B$63,$B27,Položky!N$4:N$63),2)</f>
        <v>702</v>
      </c>
      <c r="I27" s="16" t="n">
        <f aca="false">ROUND(H27*$C$55,2)</f>
        <v>652.74</v>
      </c>
      <c r="J27" s="12" t="s">
        <v>19</v>
      </c>
      <c r="K27" s="12"/>
      <c r="L27" s="11"/>
    </row>
    <row r="28" customFormat="false" ht="23.85" hidden="false" customHeight="false" outlineLevel="0" collapsed="false">
      <c r="A28" s="11" t="s">
        <v>15</v>
      </c>
      <c r="B28" s="12" t="s">
        <v>70</v>
      </c>
      <c r="C28" s="11" t="s">
        <v>71</v>
      </c>
      <c r="D28" s="13" t="s">
        <v>18</v>
      </c>
      <c r="E28" s="14" t="n">
        <f aca="false">SUMIF(Položky!$B$4:$B$63,$B28,Položky!G$4:G$63)</f>
        <v>180</v>
      </c>
      <c r="F28" s="15" t="n">
        <f aca="false">ROUND(SUMIF(Položky!$B$4:$B$63,$B28,Položky!K$4:K$63),3)</f>
        <v>129.96</v>
      </c>
      <c r="G28" s="15" t="n">
        <f aca="false">ROUND(SUMIF(Položky!$B$4:$B$63,$B28,Položky!L$4:L$63),3)</f>
        <v>135</v>
      </c>
      <c r="H28" s="16" t="n">
        <f aca="false">ROUND(SUMIF(Položky!$B$4:$B$63,$B28,Položky!N$4:N$63),2)</f>
        <v>678.6</v>
      </c>
      <c r="I28" s="16" t="n">
        <f aca="false">ROUND(H28*$C$55,2)</f>
        <v>630.98</v>
      </c>
      <c r="J28" s="12" t="s">
        <v>19</v>
      </c>
      <c r="K28" s="12"/>
      <c r="L28" s="11"/>
    </row>
    <row r="29" customFormat="false" ht="23.85" hidden="false" customHeight="false" outlineLevel="0" collapsed="false">
      <c r="A29" s="11" t="s">
        <v>15</v>
      </c>
      <c r="B29" s="12" t="s">
        <v>72</v>
      </c>
      <c r="C29" s="11" t="s">
        <v>73</v>
      </c>
      <c r="D29" s="13" t="s">
        <v>18</v>
      </c>
      <c r="E29" s="14" t="n">
        <f aca="false">SUMIF(Položky!$B$4:$B$63,$B29,Položky!G$4:G$63)</f>
        <v>270</v>
      </c>
      <c r="F29" s="15" t="n">
        <f aca="false">ROUND(SUMIF(Položky!$B$4:$B$63,$B29,Položky!K$4:K$63),3)</f>
        <v>50.04</v>
      </c>
      <c r="G29" s="15" t="n">
        <f aca="false">ROUND(SUMIF(Položky!$B$4:$B$63,$B29,Položky!L$4:L$63),3)</f>
        <v>53</v>
      </c>
      <c r="H29" s="16" t="n">
        <f aca="false">ROUND(SUMIF(Položky!$B$4:$B$63,$B29,Položky!N$4:N$63),2)</f>
        <v>670</v>
      </c>
      <c r="I29" s="16" t="n">
        <f aca="false">ROUND(H29*$C$55,2)</f>
        <v>622.99</v>
      </c>
      <c r="J29" s="12" t="s">
        <v>19</v>
      </c>
      <c r="K29" s="12"/>
      <c r="L29" s="11"/>
    </row>
    <row r="30" customFormat="false" ht="23.85" hidden="false" customHeight="false" outlineLevel="0" collapsed="false">
      <c r="A30" s="11" t="s">
        <v>15</v>
      </c>
      <c r="B30" s="12" t="s">
        <v>74</v>
      </c>
      <c r="C30" s="11" t="s">
        <v>75</v>
      </c>
      <c r="D30" s="13" t="s">
        <v>18</v>
      </c>
      <c r="E30" s="14" t="n">
        <f aca="false">SUMIF(Položky!$B$4:$B$63,$B30,Položky!G$4:G$63)</f>
        <v>150</v>
      </c>
      <c r="F30" s="15" t="n">
        <f aca="false">ROUND(SUMIF(Položky!$B$4:$B$63,$B30,Položky!K$4:K$63),3)</f>
        <v>39</v>
      </c>
      <c r="G30" s="15" t="n">
        <f aca="false">ROUND(SUMIF(Položky!$B$4:$B$63,$B30,Položky!L$4:L$63),3)</f>
        <v>42</v>
      </c>
      <c r="H30" s="16" t="n">
        <f aca="false">ROUND(SUMIF(Položky!$B$4:$B$63,$B30,Položky!N$4:N$63),2)</f>
        <v>645.6</v>
      </c>
      <c r="I30" s="16" t="n">
        <f aca="false">ROUND(H30*$C$55,2)</f>
        <v>600.3</v>
      </c>
      <c r="J30" s="12" t="s">
        <v>19</v>
      </c>
      <c r="K30" s="12"/>
      <c r="L30" s="11"/>
    </row>
    <row r="31" customFormat="false" ht="23.85" hidden="false" customHeight="false" outlineLevel="0" collapsed="false">
      <c r="A31" s="23" t="s">
        <v>15</v>
      </c>
      <c r="B31" s="24" t="s">
        <v>76</v>
      </c>
      <c r="C31" s="23" t="s">
        <v>77</v>
      </c>
      <c r="D31" s="25" t="s">
        <v>18</v>
      </c>
      <c r="E31" s="26" t="n">
        <f aca="false">SUMIF(Položky!$B$4:$B$63,$B31,Položky!G$4:G$63)</f>
        <v>144</v>
      </c>
      <c r="F31" s="27" t="n">
        <f aca="false">ROUND(SUMIF(Položky!$B$4:$B$63,$B31,Položky!K$4:K$63),3)</f>
        <v>348.048</v>
      </c>
      <c r="G31" s="27" t="n">
        <f aca="false">ROUND(SUMIF(Položky!$B$4:$B$63,$B31,Položky!L$4:L$63),3)</f>
        <v>360</v>
      </c>
      <c r="H31" s="28" t="n">
        <f aca="false">ROUND(SUMIF(Položky!$B$4:$B$63,$B31,Položky!N$4:N$63),2)</f>
        <v>640.2</v>
      </c>
      <c r="I31" s="28" t="n">
        <f aca="false">ROUND(H31*$C$55,2)</f>
        <v>595.28</v>
      </c>
      <c r="J31" s="24" t="s">
        <v>19</v>
      </c>
      <c r="K31" s="24" t="s">
        <v>42</v>
      </c>
      <c r="L31" s="23" t="s">
        <v>78</v>
      </c>
    </row>
    <row r="32" customFormat="false" ht="23.85" hidden="false" customHeight="false" outlineLevel="0" collapsed="false">
      <c r="A32" s="11" t="s">
        <v>15</v>
      </c>
      <c r="B32" s="12" t="s">
        <v>79</v>
      </c>
      <c r="C32" s="11" t="s">
        <v>80</v>
      </c>
      <c r="D32" s="13" t="s">
        <v>18</v>
      </c>
      <c r="E32" s="14" t="n">
        <f aca="false">SUMIF(Položky!$B$4:$B$63,$B32,Položky!G$4:G$63)</f>
        <v>100</v>
      </c>
      <c r="F32" s="15" t="n">
        <f aca="false">ROUND(SUMIF(Položky!$B$4:$B$63,$B32,Položky!K$4:K$63),3)</f>
        <v>170</v>
      </c>
      <c r="G32" s="15" t="n">
        <f aca="false">ROUND(SUMIF(Položky!$B$4:$B$63,$B32,Položky!L$4:L$63),3)</f>
        <v>180</v>
      </c>
      <c r="H32" s="16" t="n">
        <f aca="false">ROUND(SUMIF(Položky!$B$4:$B$63,$B32,Položky!N$4:N$63),2)</f>
        <v>595.5</v>
      </c>
      <c r="I32" s="16" t="n">
        <f aca="false">ROUND(H32*$C$55,2)</f>
        <v>553.71</v>
      </c>
      <c r="J32" s="12" t="s">
        <v>19</v>
      </c>
      <c r="K32" s="12"/>
      <c r="L32" s="11"/>
    </row>
    <row r="33" customFormat="false" ht="23.85" hidden="false" customHeight="false" outlineLevel="0" collapsed="false">
      <c r="A33" s="11" t="s">
        <v>15</v>
      </c>
      <c r="B33" s="12" t="s">
        <v>81</v>
      </c>
      <c r="C33" s="11" t="s">
        <v>82</v>
      </c>
      <c r="D33" s="13" t="s">
        <v>18</v>
      </c>
      <c r="E33" s="14" t="n">
        <f aca="false">SUMIF(Položky!$B$4:$B$63,$B33,Položky!G$4:G$63)</f>
        <v>3600</v>
      </c>
      <c r="F33" s="15" t="n">
        <f aca="false">ROUND(SUMIF(Položky!$B$4:$B$63,$B33,Položky!K$4:K$63),3)</f>
        <v>28.8</v>
      </c>
      <c r="G33" s="15" t="n">
        <f aca="false">ROUND(SUMIF(Položky!$B$4:$B$63,$B33,Položky!L$4:L$63),3)</f>
        <v>30.6</v>
      </c>
      <c r="H33" s="16" t="n">
        <f aca="false">ROUND(SUMIF(Položky!$B$4:$B$63,$B33,Položky!N$4:N$63),2)</f>
        <v>594</v>
      </c>
      <c r="I33" s="16" t="n">
        <f aca="false">ROUND(H33*$C$55,2)</f>
        <v>552.32</v>
      </c>
      <c r="J33" s="12" t="s">
        <v>19</v>
      </c>
      <c r="K33" s="12"/>
      <c r="L33" s="11"/>
    </row>
    <row r="34" customFormat="false" ht="23.85" hidden="false" customHeight="false" outlineLevel="0" collapsed="false">
      <c r="A34" s="11" t="s">
        <v>15</v>
      </c>
      <c r="B34" s="12" t="s">
        <v>83</v>
      </c>
      <c r="C34" s="11" t="s">
        <v>84</v>
      </c>
      <c r="D34" s="13" t="s">
        <v>18</v>
      </c>
      <c r="E34" s="14" t="n">
        <f aca="false">SUMIF(Položky!$B$4:$B$63,$B34,Položky!G$4:G$63)</f>
        <v>96</v>
      </c>
      <c r="F34" s="15" t="n">
        <f aca="false">ROUND(SUMIF(Položky!$B$4:$B$63,$B34,Položky!K$4:K$63),3)</f>
        <v>120</v>
      </c>
      <c r="G34" s="15" t="n">
        <f aca="false">ROUND(SUMIF(Položky!$B$4:$B$63,$B34,Položky!L$4:L$63),3)</f>
        <v>132</v>
      </c>
      <c r="H34" s="16" t="n">
        <f aca="false">ROUND(SUMIF(Položky!$B$4:$B$63,$B34,Položky!N$4:N$63),2)</f>
        <v>523.6</v>
      </c>
      <c r="I34" s="16" t="n">
        <f aca="false">ROUND(H34*$C$55,2)</f>
        <v>486.86</v>
      </c>
      <c r="J34" s="12" t="s">
        <v>19</v>
      </c>
      <c r="K34" s="12"/>
      <c r="L34" s="11"/>
    </row>
    <row r="35" customFormat="false" ht="23.85" hidden="false" customHeight="false" outlineLevel="0" collapsed="false">
      <c r="A35" s="11" t="s">
        <v>15</v>
      </c>
      <c r="B35" s="12" t="s">
        <v>85</v>
      </c>
      <c r="C35" s="11" t="s">
        <v>86</v>
      </c>
      <c r="D35" s="13" t="s">
        <v>18</v>
      </c>
      <c r="E35" s="14" t="n">
        <f aca="false">SUMIF(Položky!$B$4:$B$63,$B35,Položky!G$4:G$63)</f>
        <v>400</v>
      </c>
      <c r="F35" s="15" t="n">
        <f aca="false">ROUND(SUMIF(Položky!$B$4:$B$63,$B35,Položky!K$4:K$63),3)</f>
        <v>14.8</v>
      </c>
      <c r="G35" s="15" t="n">
        <f aca="false">ROUND(SUMIF(Položky!$B$4:$B$63,$B35,Položky!L$4:L$63),3)</f>
        <v>16</v>
      </c>
      <c r="H35" s="16" t="n">
        <f aca="false">ROUND(SUMIF(Položky!$B$4:$B$63,$B35,Položky!N$4:N$63),2)</f>
        <v>505.6</v>
      </c>
      <c r="I35" s="16" t="n">
        <f aca="false">ROUND(H35*$C$55,2)</f>
        <v>470.12</v>
      </c>
      <c r="J35" s="12" t="s">
        <v>19</v>
      </c>
      <c r="K35" s="12"/>
      <c r="L35" s="11"/>
    </row>
    <row r="36" customFormat="false" ht="23.85" hidden="false" customHeight="false" outlineLevel="0" collapsed="false">
      <c r="A36" s="23" t="s">
        <v>15</v>
      </c>
      <c r="B36" s="24" t="s">
        <v>87</v>
      </c>
      <c r="C36" s="23" t="s">
        <v>88</v>
      </c>
      <c r="D36" s="25" t="s">
        <v>18</v>
      </c>
      <c r="E36" s="26" t="n">
        <f aca="false">SUMIF(Položky!$B$4:$B$63,$B36,Položky!G$4:G$63)</f>
        <v>300</v>
      </c>
      <c r="F36" s="27" t="n">
        <f aca="false">ROUND(SUMIF(Položky!$B$4:$B$63,$B36,Položky!K$4:K$63),3)</f>
        <v>24</v>
      </c>
      <c r="G36" s="27" t="n">
        <f aca="false">ROUND(SUMIF(Položky!$B$4:$B$63,$B36,Položky!L$4:L$63),3)</f>
        <v>27</v>
      </c>
      <c r="H36" s="28" t="n">
        <f aca="false">ROUND(SUMIF(Položky!$B$4:$B$63,$B36,Položky!N$4:N$63),2)</f>
        <v>498</v>
      </c>
      <c r="I36" s="28" t="n">
        <f aca="false">ROUND(H36*$C$55,2)</f>
        <v>463.06</v>
      </c>
      <c r="J36" s="24" t="s">
        <v>19</v>
      </c>
      <c r="K36" s="24" t="s">
        <v>42</v>
      </c>
      <c r="L36" s="23" t="s">
        <v>89</v>
      </c>
    </row>
    <row r="37" customFormat="false" ht="23.85" hidden="false" customHeight="false" outlineLevel="0" collapsed="false">
      <c r="A37" s="11" t="s">
        <v>15</v>
      </c>
      <c r="B37" s="12" t="s">
        <v>90</v>
      </c>
      <c r="C37" s="11" t="s">
        <v>91</v>
      </c>
      <c r="D37" s="13" t="s">
        <v>18</v>
      </c>
      <c r="E37" s="14" t="n">
        <f aca="false">SUMIF(Položky!$B$4:$B$63,$B37,Položky!G$4:G$63)</f>
        <v>960</v>
      </c>
      <c r="F37" s="15" t="n">
        <f aca="false">ROUND(SUMIF(Položky!$B$4:$B$63,$B37,Položky!K$4:K$63),3)</f>
        <v>32.64</v>
      </c>
      <c r="G37" s="15" t="n">
        <f aca="false">ROUND(SUMIF(Položky!$B$4:$B$63,$B37,Položky!L$4:L$63),3)</f>
        <v>36</v>
      </c>
      <c r="H37" s="16" t="n">
        <f aca="false">ROUND(SUMIF(Položky!$B$4:$B$63,$B37,Položky!N$4:N$63),2)</f>
        <v>482.9</v>
      </c>
      <c r="I37" s="16" t="n">
        <f aca="false">ROUND(H37*$C$55,2)</f>
        <v>449.01</v>
      </c>
      <c r="J37" s="12" t="s">
        <v>19</v>
      </c>
      <c r="K37" s="12"/>
      <c r="L37" s="11"/>
    </row>
    <row r="38" customFormat="false" ht="23.85" hidden="false" customHeight="false" outlineLevel="0" collapsed="false">
      <c r="A38" s="11" t="s">
        <v>15</v>
      </c>
      <c r="B38" s="12" t="s">
        <v>92</v>
      </c>
      <c r="C38" s="11" t="s">
        <v>93</v>
      </c>
      <c r="D38" s="13" t="s">
        <v>18</v>
      </c>
      <c r="E38" s="14" t="n">
        <f aca="false">SUMIF(Položky!$B$4:$B$63,$B38,Položky!G$4:G$63)</f>
        <v>1400</v>
      </c>
      <c r="F38" s="15" t="n">
        <f aca="false">ROUND(SUMIF(Položky!$B$4:$B$63,$B38,Položky!K$4:K$63),3)</f>
        <v>63</v>
      </c>
      <c r="G38" s="15" t="n">
        <f aca="false">ROUND(SUMIF(Položky!$B$4:$B$63,$B38,Položky!L$4:L$63),3)</f>
        <v>70</v>
      </c>
      <c r="H38" s="16" t="n">
        <f aca="false">ROUND(SUMIF(Položky!$B$4:$B$63,$B38,Položky!N$4:N$63),2)</f>
        <v>389.2</v>
      </c>
      <c r="I38" s="16" t="n">
        <f aca="false">ROUND(H38*$C$55,2)</f>
        <v>361.89</v>
      </c>
      <c r="J38" s="12" t="s">
        <v>19</v>
      </c>
      <c r="K38" s="12"/>
      <c r="L38" s="11"/>
    </row>
    <row r="39" customFormat="false" ht="23.85" hidden="false" customHeight="false" outlineLevel="0" collapsed="false">
      <c r="A39" s="11" t="s">
        <v>15</v>
      </c>
      <c r="B39" s="12" t="s">
        <v>94</v>
      </c>
      <c r="C39" s="11" t="s">
        <v>95</v>
      </c>
      <c r="D39" s="13" t="s">
        <v>18</v>
      </c>
      <c r="E39" s="14" t="n">
        <f aca="false">SUMIF(Položky!$B$4:$B$63,$B39,Položky!G$4:G$63)</f>
        <v>2000</v>
      </c>
      <c r="F39" s="15" t="n">
        <f aca="false">ROUND(SUMIF(Položky!$B$4:$B$63,$B39,Položky!K$4:K$63),3)</f>
        <v>36</v>
      </c>
      <c r="G39" s="15" t="n">
        <f aca="false">ROUND(SUMIF(Položky!$B$4:$B$63,$B39,Položky!L$4:L$63),3)</f>
        <v>38</v>
      </c>
      <c r="H39" s="16" t="n">
        <f aca="false">ROUND(SUMIF(Položky!$B$4:$B$63,$B39,Položky!N$4:N$63),2)</f>
        <v>380</v>
      </c>
      <c r="I39" s="16" t="n">
        <f aca="false">ROUND(H39*$C$55,2)</f>
        <v>353.34</v>
      </c>
      <c r="J39" s="12" t="s">
        <v>19</v>
      </c>
      <c r="K39" s="12"/>
      <c r="L39" s="11"/>
    </row>
    <row r="40" customFormat="false" ht="23.85" hidden="false" customHeight="false" outlineLevel="0" collapsed="false">
      <c r="A40" s="11" t="s">
        <v>15</v>
      </c>
      <c r="B40" s="12" t="s">
        <v>96</v>
      </c>
      <c r="C40" s="11" t="s">
        <v>97</v>
      </c>
      <c r="D40" s="13" t="s">
        <v>18</v>
      </c>
      <c r="E40" s="14" t="n">
        <f aca="false">SUMIF(Položky!$B$4:$B$63,$B40,Položky!G$4:G$63)</f>
        <v>200</v>
      </c>
      <c r="F40" s="15" t="n">
        <f aca="false">ROUND(SUMIF(Položky!$B$4:$B$63,$B40,Položky!K$4:K$63),3)</f>
        <v>24</v>
      </c>
      <c r="G40" s="15" t="n">
        <f aca="false">ROUND(SUMIF(Položky!$B$4:$B$63,$B40,Položky!L$4:L$63),3)</f>
        <v>26</v>
      </c>
      <c r="H40" s="16" t="n">
        <f aca="false">ROUND(SUMIF(Položky!$B$4:$B$63,$B40,Položky!N$4:N$63),2)</f>
        <v>367</v>
      </c>
      <c r="I40" s="16" t="n">
        <f aca="false">ROUND(H40*$C$55,2)</f>
        <v>341.25</v>
      </c>
      <c r="J40" s="12" t="s">
        <v>19</v>
      </c>
      <c r="K40" s="12"/>
      <c r="L40" s="11"/>
    </row>
    <row r="41" customFormat="false" ht="23.85" hidden="false" customHeight="false" outlineLevel="0" collapsed="false">
      <c r="A41" s="11" t="s">
        <v>15</v>
      </c>
      <c r="B41" s="12" t="s">
        <v>98</v>
      </c>
      <c r="C41" s="11" t="s">
        <v>99</v>
      </c>
      <c r="D41" s="13" t="s">
        <v>18</v>
      </c>
      <c r="E41" s="14" t="n">
        <f aca="false">SUMIF(Položky!$B$4:$B$63,$B41,Položky!G$4:G$63)</f>
        <v>420</v>
      </c>
      <c r="F41" s="15" t="n">
        <f aca="false">ROUND(SUMIF(Položky!$B$4:$B$63,$B41,Položky!K$4:K$63),3)</f>
        <v>42</v>
      </c>
      <c r="G41" s="15" t="n">
        <f aca="false">ROUND(SUMIF(Položky!$B$4:$B$63,$B41,Položky!L$4:L$63),3)</f>
        <v>45</v>
      </c>
      <c r="H41" s="16" t="n">
        <f aca="false">ROUND(SUMIF(Položky!$B$4:$B$63,$B41,Položky!N$4:N$63),2)</f>
        <v>302.4</v>
      </c>
      <c r="I41" s="16" t="n">
        <f aca="false">ROUND(H41*$C$55,2)</f>
        <v>281.18</v>
      </c>
      <c r="J41" s="12" t="s">
        <v>19</v>
      </c>
      <c r="K41" s="12"/>
      <c r="L41" s="11"/>
    </row>
    <row r="42" customFormat="false" ht="23.85" hidden="false" customHeight="false" outlineLevel="0" collapsed="false">
      <c r="A42" s="11" t="s">
        <v>15</v>
      </c>
      <c r="B42" s="12" t="s">
        <v>100</v>
      </c>
      <c r="C42" s="11" t="s">
        <v>101</v>
      </c>
      <c r="D42" s="13" t="s">
        <v>18</v>
      </c>
      <c r="E42" s="14" t="n">
        <f aca="false">SUMIF(Položky!$B$4:$B$63,$B42,Položky!G$4:G$63)</f>
        <v>150</v>
      </c>
      <c r="F42" s="15" t="n">
        <f aca="false">ROUND(SUMIF(Položky!$B$4:$B$63,$B42,Položky!K$4:K$63),3)</f>
        <v>24</v>
      </c>
      <c r="G42" s="15" t="n">
        <f aca="false">ROUND(SUMIF(Položky!$B$4:$B$63,$B42,Položky!L$4:L$63),3)</f>
        <v>25.5</v>
      </c>
      <c r="H42" s="16" t="n">
        <f aca="false">ROUND(SUMIF(Položky!$B$4:$B$63,$B42,Položky!N$4:N$63),2)</f>
        <v>279</v>
      </c>
      <c r="I42" s="16" t="n">
        <f aca="false">ROUND(H42*$C$55,2)</f>
        <v>259.42</v>
      </c>
      <c r="J42" s="12" t="s">
        <v>19</v>
      </c>
      <c r="K42" s="12"/>
      <c r="L42" s="11"/>
    </row>
    <row r="43" customFormat="false" ht="23.85" hidden="false" customHeight="false" outlineLevel="0" collapsed="false">
      <c r="A43" s="11" t="s">
        <v>15</v>
      </c>
      <c r="B43" s="12" t="s">
        <v>102</v>
      </c>
      <c r="C43" s="11" t="s">
        <v>103</v>
      </c>
      <c r="D43" s="13" t="s">
        <v>18</v>
      </c>
      <c r="E43" s="14" t="n">
        <f aca="false">SUMIF(Položky!$B$4:$B$63,$B43,Položky!G$4:G$63)</f>
        <v>500</v>
      </c>
      <c r="F43" s="15" t="n">
        <f aca="false">ROUND(SUMIF(Položky!$B$4:$B$63,$B43,Položky!K$4:K$63),3)</f>
        <v>7</v>
      </c>
      <c r="G43" s="15" t="n">
        <f aca="false">ROUND(SUMIF(Položky!$B$4:$B$63,$B43,Položky!L$4:L$63),3)</f>
        <v>8</v>
      </c>
      <c r="H43" s="16" t="n">
        <f aca="false">ROUND(SUMIF(Položky!$B$4:$B$63,$B43,Položky!N$4:N$63),2)</f>
        <v>275</v>
      </c>
      <c r="I43" s="16" t="n">
        <f aca="false">ROUND(H43*$C$55,2)</f>
        <v>255.7</v>
      </c>
      <c r="J43" s="12" t="s">
        <v>19</v>
      </c>
      <c r="K43" s="12"/>
      <c r="L43" s="11"/>
    </row>
    <row r="44" customFormat="false" ht="23.85" hidden="false" customHeight="false" outlineLevel="0" collapsed="false">
      <c r="A44" s="11" t="s">
        <v>15</v>
      </c>
      <c r="B44" s="12" t="s">
        <v>104</v>
      </c>
      <c r="C44" s="11" t="s">
        <v>105</v>
      </c>
      <c r="D44" s="13" t="s">
        <v>18</v>
      </c>
      <c r="E44" s="14" t="n">
        <f aca="false">SUMIF(Položky!$B$4:$B$63,$B44,Položky!G$4:G$63)</f>
        <v>420</v>
      </c>
      <c r="F44" s="15" t="n">
        <f aca="false">ROUND(SUMIF(Položky!$B$4:$B$63,$B44,Položky!K$4:K$63),3)</f>
        <v>70.14</v>
      </c>
      <c r="G44" s="15" t="n">
        <f aca="false">ROUND(SUMIF(Položky!$B$4:$B$63,$B44,Položky!L$4:L$63),3)</f>
        <v>77</v>
      </c>
      <c r="H44" s="16" t="n">
        <f aca="false">ROUND(SUMIF(Položky!$B$4:$B$63,$B44,Položky!N$4:N$63),2)</f>
        <v>267.5</v>
      </c>
      <c r="I44" s="16" t="n">
        <f aca="false">ROUND(H44*$C$55,2)</f>
        <v>248.73</v>
      </c>
      <c r="J44" s="12" t="s">
        <v>19</v>
      </c>
      <c r="K44" s="12"/>
      <c r="L44" s="11"/>
    </row>
    <row r="45" customFormat="false" ht="23.85" hidden="false" customHeight="false" outlineLevel="0" collapsed="false">
      <c r="A45" s="11" t="s">
        <v>15</v>
      </c>
      <c r="B45" s="12" t="s">
        <v>106</v>
      </c>
      <c r="C45" s="11" t="s">
        <v>107</v>
      </c>
      <c r="D45" s="13" t="s">
        <v>18</v>
      </c>
      <c r="E45" s="14" t="n">
        <f aca="false">SUMIF(Položky!$B$4:$B$63,$B45,Položky!G$4:G$63)</f>
        <v>200</v>
      </c>
      <c r="F45" s="15" t="n">
        <f aca="false">ROUND(SUMIF(Položky!$B$4:$B$63,$B45,Položky!K$4:K$63),3)</f>
        <v>9</v>
      </c>
      <c r="G45" s="15" t="n">
        <f aca="false">ROUND(SUMIF(Položky!$B$4:$B$63,$B45,Položky!L$4:L$63),3)</f>
        <v>10</v>
      </c>
      <c r="H45" s="16" t="n">
        <f aca="false">ROUND(SUMIF(Položky!$B$4:$B$63,$B45,Položky!N$4:N$63),2)</f>
        <v>226.4</v>
      </c>
      <c r="I45" s="16" t="n">
        <f aca="false">ROUND(H45*$C$55,2)</f>
        <v>210.51</v>
      </c>
      <c r="J45" s="12" t="s">
        <v>19</v>
      </c>
      <c r="K45" s="12"/>
      <c r="L45" s="11"/>
    </row>
    <row r="46" customFormat="false" ht="23.85" hidden="false" customHeight="false" outlineLevel="0" collapsed="false">
      <c r="A46" s="23" t="s">
        <v>15</v>
      </c>
      <c r="B46" s="24" t="s">
        <v>108</v>
      </c>
      <c r="C46" s="23" t="s">
        <v>109</v>
      </c>
      <c r="D46" s="25" t="s">
        <v>18</v>
      </c>
      <c r="E46" s="26" t="n">
        <f aca="false">SUMIF(Položky!$B$4:$B$63,$B46,Položky!G$4:G$63)</f>
        <v>400</v>
      </c>
      <c r="F46" s="27" t="n">
        <f aca="false">ROUND(SUMIF(Položky!$B$4:$B$63,$B46,Položky!K$4:K$63),3)</f>
        <v>30</v>
      </c>
      <c r="G46" s="27" t="n">
        <f aca="false">ROUND(SUMIF(Položky!$B$4:$B$63,$B46,Položky!L$4:L$63),3)</f>
        <v>32</v>
      </c>
      <c r="H46" s="28" t="n">
        <f aca="false">ROUND(SUMIF(Položky!$B$4:$B$63,$B46,Položky!N$4:N$63),2)</f>
        <v>209.6</v>
      </c>
      <c r="I46" s="28" t="n">
        <f aca="false">ROUND(H46*$C$55,2)</f>
        <v>194.89</v>
      </c>
      <c r="J46" s="24" t="s">
        <v>19</v>
      </c>
      <c r="K46" s="24" t="s">
        <v>42</v>
      </c>
      <c r="L46" s="23" t="s">
        <v>110</v>
      </c>
    </row>
    <row r="47" customFormat="false" ht="23.85" hidden="false" customHeight="false" outlineLevel="0" collapsed="false">
      <c r="A47" s="11" t="s">
        <v>15</v>
      </c>
      <c r="B47" s="12" t="s">
        <v>111</v>
      </c>
      <c r="C47" s="11" t="s">
        <v>112</v>
      </c>
      <c r="D47" s="13" t="s">
        <v>18</v>
      </c>
      <c r="E47" s="14" t="n">
        <f aca="false">SUMIF(Položky!$B$4:$B$63,$B47,Položky!G$4:G$63)</f>
        <v>600</v>
      </c>
      <c r="F47" s="15" t="n">
        <f aca="false">ROUND(SUMIF(Položky!$B$4:$B$63,$B47,Položky!K$4:K$63),3)</f>
        <v>9</v>
      </c>
      <c r="G47" s="15" t="n">
        <f aca="false">ROUND(SUMIF(Položky!$B$4:$B$63,$B47,Položky!L$4:L$63),3)</f>
        <v>10</v>
      </c>
      <c r="H47" s="16" t="n">
        <f aca="false">ROUND(SUMIF(Položky!$B$4:$B$63,$B47,Položky!N$4:N$63),2)</f>
        <v>169.8</v>
      </c>
      <c r="I47" s="16" t="n">
        <f aca="false">ROUND(H47*$C$55,2)</f>
        <v>157.89</v>
      </c>
      <c r="J47" s="12" t="s">
        <v>19</v>
      </c>
      <c r="K47" s="12"/>
      <c r="L47" s="11"/>
    </row>
    <row r="48" customFormat="false" ht="23.85" hidden="false" customHeight="false" outlineLevel="0" collapsed="false">
      <c r="A48" s="11" t="s">
        <v>15</v>
      </c>
      <c r="B48" s="12" t="s">
        <v>113</v>
      </c>
      <c r="C48" s="11" t="s">
        <v>114</v>
      </c>
      <c r="D48" s="13" t="s">
        <v>18</v>
      </c>
      <c r="E48" s="14" t="n">
        <f aca="false">SUMIF(Položky!$B$4:$B$63,$B48,Položky!G$4:G$63)</f>
        <v>160</v>
      </c>
      <c r="F48" s="15" t="n">
        <f aca="false">ROUND(SUMIF(Položky!$B$4:$B$63,$B48,Položky!K$4:K$63),3)</f>
        <v>64</v>
      </c>
      <c r="G48" s="15" t="n">
        <f aca="false">ROUND(SUMIF(Položky!$B$4:$B$63,$B48,Položky!L$4:L$63),3)</f>
        <v>68</v>
      </c>
      <c r="H48" s="16" t="n">
        <f aca="false">ROUND(SUMIF(Položky!$B$4:$B$63,$B48,Položky!N$4:N$63),2)</f>
        <v>164</v>
      </c>
      <c r="I48" s="16" t="n">
        <f aca="false">ROUND(H48*$C$55,2)</f>
        <v>152.49</v>
      </c>
      <c r="J48" s="12" t="s">
        <v>19</v>
      </c>
      <c r="K48" s="12"/>
      <c r="L48" s="11"/>
    </row>
    <row r="49" customFormat="false" ht="15" hidden="false" customHeight="false" outlineLevel="0" collapsed="false">
      <c r="A49" s="29" t="s">
        <v>115</v>
      </c>
      <c r="B49" s="29" t="s">
        <v>116</v>
      </c>
      <c r="C49" s="29"/>
      <c r="D49" s="29"/>
      <c r="E49" s="30" t="n">
        <f aca="false">SUM(E6:E48)</f>
        <v>57134</v>
      </c>
      <c r="F49" s="31" t="n">
        <f aca="false">ROUND(SUM(F6:F48),3)</f>
        <v>9935.941</v>
      </c>
      <c r="G49" s="31" t="n">
        <f aca="false">ROUND(SUM(G6:G48),3)</f>
        <v>10480.778</v>
      </c>
      <c r="H49" s="32" t="n">
        <f aca="false">ROUND(SUM(H6:H48),2)</f>
        <v>81320.3</v>
      </c>
      <c r="I49" s="32" t="n">
        <f aca="false">ROUND(SUM(I6:I48),2)</f>
        <v>75614.02</v>
      </c>
      <c r="J49" s="29"/>
      <c r="K49" s="29"/>
      <c r="L49" s="29"/>
    </row>
    <row r="51" customFormat="false" ht="15" hidden="false" customHeight="false" outlineLevel="0" collapsed="false">
      <c r="A51" s="33" t="s">
        <v>117</v>
      </c>
    </row>
    <row r="52" customFormat="false" ht="15" hidden="false" customHeight="false" outlineLevel="0" collapsed="false">
      <c r="A52" s="34" t="s">
        <v>118</v>
      </c>
      <c r="C52" s="35" t="n">
        <v>81320.3</v>
      </c>
    </row>
    <row r="53" customFormat="false" ht="15" hidden="false" customHeight="false" outlineLevel="0" collapsed="false">
      <c r="A53" s="34" t="s">
        <v>119</v>
      </c>
      <c r="C53" s="35" t="n">
        <v>-5706.2</v>
      </c>
    </row>
    <row r="54" customFormat="false" ht="15" hidden="false" customHeight="false" outlineLevel="0" collapsed="false">
      <c r="A54" s="34" t="s">
        <v>120</v>
      </c>
      <c r="C54" s="35" t="n">
        <v>75614</v>
      </c>
    </row>
    <row r="55" customFormat="false" ht="15" hidden="false" customHeight="false" outlineLevel="0" collapsed="false">
      <c r="A55" s="34" t="s">
        <v>121</v>
      </c>
      <c r="C55" s="36" t="n">
        <f aca="false">C54/C52</f>
        <v>0.929829329208082</v>
      </c>
    </row>
    <row r="56" customFormat="false" ht="15" hidden="false" customHeight="false" outlineLevel="0" collapsed="false">
      <c r="A56" s="34" t="s">
        <v>122</v>
      </c>
      <c r="C56" s="37" t="n">
        <v>0.94803399399774</v>
      </c>
    </row>
    <row r="58" customFormat="false" ht="15" hidden="false" customHeight="false" outlineLevel="0" collapsed="false">
      <c r="A58" s="33" t="s">
        <v>123</v>
      </c>
    </row>
    <row r="59" customFormat="false" ht="15" hidden="false" customHeight="false" outlineLevel="0" collapsed="false">
      <c r="A59" s="38" t="s">
        <v>124</v>
      </c>
      <c r="C59" s="34" t="s">
        <v>125</v>
      </c>
    </row>
    <row r="60" customFormat="false" ht="15" hidden="false" customHeight="false" outlineLevel="0" collapsed="false">
      <c r="A60" s="38" t="s">
        <v>126</v>
      </c>
      <c r="C60" s="34" t="s">
        <v>127</v>
      </c>
    </row>
    <row r="61" customFormat="false" ht="15" hidden="false" customHeight="false" outlineLevel="0" collapsed="false">
      <c r="A61" s="38" t="s">
        <v>128</v>
      </c>
      <c r="C61" s="34" t="s">
        <v>129</v>
      </c>
    </row>
    <row r="62" customFormat="false" ht="15" hidden="false" customHeight="false" outlineLevel="0" collapsed="false">
      <c r="A62" s="38" t="s">
        <v>130</v>
      </c>
      <c r="C62" s="34" t="s">
        <v>131</v>
      </c>
    </row>
    <row r="63" customFormat="false" ht="15" hidden="false" customHeight="false" outlineLevel="0" collapsed="false">
      <c r="A63" s="38" t="s">
        <v>132</v>
      </c>
      <c r="C63" s="34" t="s">
        <v>133</v>
      </c>
    </row>
    <row r="64" customFormat="false" ht="15" hidden="false" customHeight="false" outlineLevel="0" collapsed="false">
      <c r="A64" s="38" t="s">
        <v>134</v>
      </c>
      <c r="C64" s="34" t="s">
        <v>135</v>
      </c>
    </row>
    <row r="65" customFormat="false" ht="15" hidden="false" customHeight="false" outlineLevel="0" collapsed="false">
      <c r="A65" s="38" t="s">
        <v>136</v>
      </c>
      <c r="C65" s="34" t="s">
        <v>137</v>
      </c>
    </row>
    <row r="66" customFormat="false" ht="15" hidden="false" customHeight="false" outlineLevel="0" collapsed="false">
      <c r="A66" s="38" t="s">
        <v>12</v>
      </c>
      <c r="C66" s="34" t="s">
        <v>138</v>
      </c>
    </row>
    <row r="67" customFormat="false" ht="15" hidden="false" customHeight="false" outlineLevel="0" collapsed="false">
      <c r="A67" s="38" t="s">
        <v>139</v>
      </c>
      <c r="C67" s="34" t="s">
        <v>140</v>
      </c>
    </row>
  </sheetData>
  <autoFilter ref="A5:L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34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5" min="14" style="0" width="15"/>
    <col collapsed="false" customWidth="true" hidden="false" outlineLevel="0" max="16" min="16" style="0" width="52"/>
  </cols>
  <sheetData>
    <row r="1" customFormat="false" ht="15" hidden="false" customHeight="false" outlineLevel="0" collapsed="false">
      <c r="A1" s="39" t="s">
        <v>141</v>
      </c>
    </row>
    <row r="3" customFormat="false" ht="42" hidden="false" customHeight="true" outlineLevel="0" collapsed="false">
      <c r="A3" s="4" t="s">
        <v>142</v>
      </c>
      <c r="B3" s="4" t="s">
        <v>4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148</v>
      </c>
      <c r="I3" s="4" t="s">
        <v>149</v>
      </c>
      <c r="J3" s="4" t="s">
        <v>150</v>
      </c>
      <c r="K3" s="4" t="s">
        <v>8</v>
      </c>
      <c r="L3" s="4" t="s">
        <v>9</v>
      </c>
      <c r="M3" s="4" t="s">
        <v>151</v>
      </c>
      <c r="N3" s="4" t="s">
        <v>10</v>
      </c>
      <c r="O3" s="4" t="s">
        <v>11</v>
      </c>
      <c r="P3" s="4" t="s">
        <v>152</v>
      </c>
    </row>
    <row r="4" customFormat="false" ht="15" hidden="false" customHeight="false" outlineLevel="0" collapsed="false">
      <c r="A4" s="40" t="n">
        <v>1</v>
      </c>
      <c r="B4" s="40" t="s">
        <v>44</v>
      </c>
      <c r="C4" s="41" t="s">
        <v>153</v>
      </c>
      <c r="D4" s="41" t="s">
        <v>154</v>
      </c>
      <c r="E4" s="41" t="s">
        <v>155</v>
      </c>
      <c r="F4" s="41" t="s">
        <v>156</v>
      </c>
      <c r="G4" s="42" t="n">
        <v>400</v>
      </c>
      <c r="H4" s="40" t="n">
        <v>10</v>
      </c>
      <c r="I4" s="43" t="n">
        <v>0.125</v>
      </c>
      <c r="J4" s="40" t="s">
        <v>157</v>
      </c>
      <c r="K4" s="44" t="n">
        <f aca="false">ROUND(G4*I4,3)</f>
        <v>50</v>
      </c>
      <c r="L4" s="44" t="n">
        <v>60</v>
      </c>
      <c r="M4" s="44" t="n">
        <v>2.809</v>
      </c>
      <c r="N4" s="45" t="n">
        <v>1123.6</v>
      </c>
      <c r="O4" s="45" t="n">
        <f aca="false">ROUND(N4*'HS Summary'!$C$55,2)</f>
        <v>1044.76</v>
      </c>
      <c r="P4" s="41"/>
    </row>
    <row r="5" customFormat="false" ht="15" hidden="false" customHeight="false" outlineLevel="0" collapsed="false">
      <c r="A5" s="40" t="n">
        <v>2</v>
      </c>
      <c r="B5" s="40" t="s">
        <v>85</v>
      </c>
      <c r="C5" s="41" t="s">
        <v>158</v>
      </c>
      <c r="D5" s="41" t="s">
        <v>86</v>
      </c>
      <c r="E5" s="41" t="s">
        <v>159</v>
      </c>
      <c r="F5" s="41" t="s">
        <v>160</v>
      </c>
      <c r="G5" s="42" t="n">
        <v>400</v>
      </c>
      <c r="H5" s="40" t="n">
        <v>2</v>
      </c>
      <c r="I5" s="43" t="n">
        <v>0.037</v>
      </c>
      <c r="J5" s="40" t="s">
        <v>157</v>
      </c>
      <c r="K5" s="44" t="n">
        <f aca="false">ROUND(G5*I5,3)</f>
        <v>14.8</v>
      </c>
      <c r="L5" s="44" t="n">
        <v>16</v>
      </c>
      <c r="M5" s="44" t="n">
        <v>1.264</v>
      </c>
      <c r="N5" s="45" t="n">
        <v>505.6</v>
      </c>
      <c r="O5" s="45" t="n">
        <f aca="false">ROUND(N5*'HS Summary'!$C$55,2)</f>
        <v>470.12</v>
      </c>
      <c r="P5" s="41"/>
    </row>
    <row r="6" customFormat="false" ht="22.35" hidden="false" customHeight="false" outlineLevel="0" collapsed="false">
      <c r="A6" s="40" t="n">
        <v>3</v>
      </c>
      <c r="B6" s="40" t="s">
        <v>70</v>
      </c>
      <c r="C6" s="41" t="s">
        <v>161</v>
      </c>
      <c r="D6" s="41" t="s">
        <v>71</v>
      </c>
      <c r="E6" s="41" t="s">
        <v>162</v>
      </c>
      <c r="F6" s="41"/>
      <c r="G6" s="42" t="n">
        <v>180</v>
      </c>
      <c r="H6" s="40" t="n">
        <v>5</v>
      </c>
      <c r="I6" s="43" t="n">
        <v>0.722</v>
      </c>
      <c r="J6" s="40" t="s">
        <v>157</v>
      </c>
      <c r="K6" s="44" t="n">
        <f aca="false">ROUND(G6*I6,3)</f>
        <v>129.96</v>
      </c>
      <c r="L6" s="44" t="n">
        <v>135</v>
      </c>
      <c r="M6" s="44" t="n">
        <v>3.77</v>
      </c>
      <c r="N6" s="45" t="n">
        <v>678.6</v>
      </c>
      <c r="O6" s="45" t="n">
        <f aca="false">ROUND(N6*'HS Summary'!$C$55,2)</f>
        <v>630.98</v>
      </c>
      <c r="P6" s="41"/>
    </row>
    <row r="7" customFormat="false" ht="22.35" hidden="false" customHeight="false" outlineLevel="0" collapsed="false">
      <c r="A7" s="46" t="n">
        <v>4</v>
      </c>
      <c r="B7" s="46" t="s">
        <v>48</v>
      </c>
      <c r="C7" s="47" t="s">
        <v>163</v>
      </c>
      <c r="D7" s="47" t="s">
        <v>49</v>
      </c>
      <c r="E7" s="47" t="s">
        <v>164</v>
      </c>
      <c r="F7" s="47" t="s">
        <v>165</v>
      </c>
      <c r="G7" s="48" t="n">
        <v>600</v>
      </c>
      <c r="H7" s="46" t="n">
        <v>6</v>
      </c>
      <c r="I7" s="49" t="n">
        <v>0.0853</v>
      </c>
      <c r="J7" s="50" t="s">
        <v>166</v>
      </c>
      <c r="K7" s="51" t="n">
        <f aca="false">ROUND(G7*I7,3)</f>
        <v>51.18</v>
      </c>
      <c r="L7" s="51" t="n">
        <v>54</v>
      </c>
      <c r="M7" s="51" t="n">
        <v>2.562</v>
      </c>
      <c r="N7" s="52" t="n">
        <v>1537.2</v>
      </c>
      <c r="O7" s="52" t="n">
        <f aca="false">ROUND(N7*'HS Summary'!$C$55,2)</f>
        <v>1429.33</v>
      </c>
      <c r="P7" s="47" t="s">
        <v>167</v>
      </c>
    </row>
    <row r="8" customFormat="false" ht="15" hidden="false" customHeight="false" outlineLevel="0" collapsed="false">
      <c r="A8" s="40" t="n">
        <v>5</v>
      </c>
      <c r="B8" s="40" t="s">
        <v>81</v>
      </c>
      <c r="C8" s="41" t="s">
        <v>168</v>
      </c>
      <c r="D8" s="41" t="s">
        <v>82</v>
      </c>
      <c r="E8" s="41" t="s">
        <v>169</v>
      </c>
      <c r="F8" s="41" t="s">
        <v>170</v>
      </c>
      <c r="G8" s="42" t="n">
        <v>3600</v>
      </c>
      <c r="H8" s="40" t="n">
        <v>2</v>
      </c>
      <c r="I8" s="43" t="n">
        <v>0.008</v>
      </c>
      <c r="J8" s="40" t="s">
        <v>157</v>
      </c>
      <c r="K8" s="44" t="n">
        <f aca="false">ROUND(G8*I8,3)</f>
        <v>28.8</v>
      </c>
      <c r="L8" s="44" t="n">
        <v>30.6</v>
      </c>
      <c r="M8" s="44" t="n">
        <v>0.165</v>
      </c>
      <c r="N8" s="45" t="n">
        <v>594</v>
      </c>
      <c r="O8" s="45" t="n">
        <f aca="false">ROUND(N8*'HS Summary'!$C$55,2)</f>
        <v>552.32</v>
      </c>
      <c r="P8" s="41"/>
    </row>
    <row r="9" customFormat="false" ht="32.8" hidden="false" customHeight="false" outlineLevel="0" collapsed="false">
      <c r="A9" s="46" t="n">
        <v>6</v>
      </c>
      <c r="B9" s="46" t="s">
        <v>16</v>
      </c>
      <c r="C9" s="47" t="s">
        <v>171</v>
      </c>
      <c r="D9" s="47" t="s">
        <v>172</v>
      </c>
      <c r="E9" s="47" t="s">
        <v>173</v>
      </c>
      <c r="F9" s="47" t="s">
        <v>174</v>
      </c>
      <c r="G9" s="48" t="n">
        <v>4464</v>
      </c>
      <c r="H9" s="46" t="n">
        <v>62</v>
      </c>
      <c r="I9" s="49" t="n">
        <v>0.1448</v>
      </c>
      <c r="J9" s="50" t="s">
        <v>166</v>
      </c>
      <c r="K9" s="51" t="n">
        <f aca="false">ROUND(G9*I9,3)</f>
        <v>646.387</v>
      </c>
      <c r="L9" s="51" t="n">
        <v>682</v>
      </c>
      <c r="M9" s="51" t="n">
        <v>1.36</v>
      </c>
      <c r="N9" s="52" t="n">
        <v>6071</v>
      </c>
      <c r="O9" s="52" t="n">
        <f aca="false">ROUND(N9*'HS Summary'!$C$55,2)</f>
        <v>5644.99</v>
      </c>
      <c r="P9" s="47" t="s">
        <v>175</v>
      </c>
    </row>
    <row r="10" customFormat="false" ht="32.8" hidden="false" customHeight="false" outlineLevel="0" collapsed="false">
      <c r="A10" s="40" t="n">
        <v>7</v>
      </c>
      <c r="B10" s="40" t="s">
        <v>16</v>
      </c>
      <c r="C10" s="41" t="s">
        <v>176</v>
      </c>
      <c r="D10" s="41" t="s">
        <v>177</v>
      </c>
      <c r="E10" s="41" t="s">
        <v>173</v>
      </c>
      <c r="F10" s="41" t="s">
        <v>174</v>
      </c>
      <c r="G10" s="42" t="n">
        <v>3600</v>
      </c>
      <c r="H10" s="40" t="n">
        <v>50</v>
      </c>
      <c r="I10" s="43" t="n">
        <v>0.111</v>
      </c>
      <c r="J10" s="40" t="s">
        <v>157</v>
      </c>
      <c r="K10" s="44" t="n">
        <f aca="false">ROUND(G10*I10,3)</f>
        <v>399.6</v>
      </c>
      <c r="L10" s="44" t="n">
        <v>450</v>
      </c>
      <c r="M10" s="44" t="n">
        <v>1.38</v>
      </c>
      <c r="N10" s="45" t="n">
        <v>4968</v>
      </c>
      <c r="O10" s="45" t="n">
        <f aca="false">ROUND(N10*'HS Summary'!$C$55,2)</f>
        <v>4619.39</v>
      </c>
      <c r="P10" s="41"/>
    </row>
    <row r="11" customFormat="false" ht="32.8" hidden="false" customHeight="false" outlineLevel="0" collapsed="false">
      <c r="A11" s="40" t="n">
        <v>8</v>
      </c>
      <c r="B11" s="40" t="s">
        <v>16</v>
      </c>
      <c r="C11" s="41" t="s">
        <v>178</v>
      </c>
      <c r="D11" s="41" t="s">
        <v>179</v>
      </c>
      <c r="E11" s="41" t="s">
        <v>173</v>
      </c>
      <c r="F11" s="41" t="s">
        <v>174</v>
      </c>
      <c r="G11" s="42" t="n">
        <v>1080</v>
      </c>
      <c r="H11" s="40" t="n">
        <v>15</v>
      </c>
      <c r="I11" s="43" t="n">
        <v>0.194</v>
      </c>
      <c r="J11" s="40" t="s">
        <v>157</v>
      </c>
      <c r="K11" s="44" t="n">
        <f aca="false">ROUND(G11*I11,3)</f>
        <v>209.52</v>
      </c>
      <c r="L11" s="44" t="n">
        <v>225</v>
      </c>
      <c r="M11" s="44" t="n">
        <v>1.28</v>
      </c>
      <c r="N11" s="45" t="n">
        <v>1382.4</v>
      </c>
      <c r="O11" s="45" t="n">
        <f aca="false">ROUND(N11*'HS Summary'!$C$55,2)</f>
        <v>1285.4</v>
      </c>
      <c r="P11" s="41"/>
    </row>
    <row r="12" customFormat="false" ht="22.35" hidden="false" customHeight="false" outlineLevel="0" collapsed="false">
      <c r="A12" s="46" t="n">
        <v>9</v>
      </c>
      <c r="B12" s="46" t="s">
        <v>26</v>
      </c>
      <c r="C12" s="47" t="s">
        <v>180</v>
      </c>
      <c r="D12" s="47" t="s">
        <v>181</v>
      </c>
      <c r="E12" s="47" t="s">
        <v>182</v>
      </c>
      <c r="F12" s="47" t="s">
        <v>183</v>
      </c>
      <c r="G12" s="48" t="n">
        <v>4200</v>
      </c>
      <c r="H12" s="46" t="n">
        <v>42</v>
      </c>
      <c r="I12" s="49" t="n">
        <v>0.0474</v>
      </c>
      <c r="J12" s="50" t="s">
        <v>166</v>
      </c>
      <c r="K12" s="51" t="n">
        <f aca="false">ROUND(G12*I12,3)</f>
        <v>199.08</v>
      </c>
      <c r="L12" s="51" t="n">
        <v>210</v>
      </c>
      <c r="M12" s="51" t="n">
        <v>1.071</v>
      </c>
      <c r="N12" s="52" t="n">
        <v>4498.2</v>
      </c>
      <c r="O12" s="52" t="n">
        <f aca="false">ROUND(N12*'HS Summary'!$C$55,2)</f>
        <v>4182.56</v>
      </c>
      <c r="P12" s="47" t="s">
        <v>184</v>
      </c>
    </row>
    <row r="13" customFormat="false" ht="15" hidden="false" customHeight="false" outlineLevel="0" collapsed="false">
      <c r="A13" s="40" t="n">
        <v>10</v>
      </c>
      <c r="B13" s="40" t="s">
        <v>53</v>
      </c>
      <c r="C13" s="41" t="s">
        <v>185</v>
      </c>
      <c r="D13" s="41" t="s">
        <v>186</v>
      </c>
      <c r="E13" s="41" t="s">
        <v>187</v>
      </c>
      <c r="F13" s="41" t="s">
        <v>188</v>
      </c>
      <c r="G13" s="42" t="n">
        <v>200</v>
      </c>
      <c r="H13" s="40" t="n">
        <v>2</v>
      </c>
      <c r="I13" s="43" t="n">
        <v>0.367</v>
      </c>
      <c r="J13" s="40" t="s">
        <v>157</v>
      </c>
      <c r="K13" s="44" t="n">
        <f aca="false">ROUND(G13*I13,3)</f>
        <v>73.4</v>
      </c>
      <c r="L13" s="44" t="n">
        <v>75</v>
      </c>
      <c r="M13" s="44" t="n">
        <v>3.659</v>
      </c>
      <c r="N13" s="45" t="n">
        <v>731.8</v>
      </c>
      <c r="O13" s="45" t="n">
        <f aca="false">ROUND(N13*'HS Summary'!$C$55,2)</f>
        <v>680.45</v>
      </c>
      <c r="P13" s="41"/>
    </row>
    <row r="14" customFormat="false" ht="15" hidden="false" customHeight="false" outlineLevel="0" collapsed="false">
      <c r="A14" s="40" t="n">
        <v>11</v>
      </c>
      <c r="B14" s="40" t="s">
        <v>36</v>
      </c>
      <c r="C14" s="41" t="s">
        <v>189</v>
      </c>
      <c r="D14" s="41" t="s">
        <v>37</v>
      </c>
      <c r="E14" s="41" t="s">
        <v>190</v>
      </c>
      <c r="F14" s="41" t="s">
        <v>188</v>
      </c>
      <c r="G14" s="42" t="n">
        <v>1600</v>
      </c>
      <c r="H14" s="40" t="n">
        <v>10</v>
      </c>
      <c r="I14" s="43" t="n">
        <v>0.369</v>
      </c>
      <c r="J14" s="40" t="s">
        <v>157</v>
      </c>
      <c r="K14" s="44" t="n">
        <f aca="false">ROUND(G14*I14,3)</f>
        <v>590.4</v>
      </c>
      <c r="L14" s="44" t="n">
        <v>600</v>
      </c>
      <c r="M14" s="44" t="n">
        <v>2.194</v>
      </c>
      <c r="N14" s="45" t="n">
        <v>3510.4</v>
      </c>
      <c r="O14" s="45" t="n">
        <f aca="false">ROUND(N14*'HS Summary'!$C$55,2)</f>
        <v>3264.07</v>
      </c>
      <c r="P14" s="41"/>
    </row>
    <row r="15" customFormat="false" ht="22.35" hidden="false" customHeight="false" outlineLevel="0" collapsed="false">
      <c r="A15" s="40" t="n">
        <v>12</v>
      </c>
      <c r="B15" s="40" t="s">
        <v>22</v>
      </c>
      <c r="C15" s="41" t="s">
        <v>191</v>
      </c>
      <c r="D15" s="41" t="s">
        <v>192</v>
      </c>
      <c r="E15" s="41" t="s">
        <v>193</v>
      </c>
      <c r="F15" s="41" t="s">
        <v>183</v>
      </c>
      <c r="G15" s="42" t="n">
        <v>1728</v>
      </c>
      <c r="H15" s="40" t="n">
        <v>36</v>
      </c>
      <c r="I15" s="43" t="n">
        <v>0.375</v>
      </c>
      <c r="J15" s="40" t="s">
        <v>157</v>
      </c>
      <c r="K15" s="44" t="n">
        <f aca="false">ROUND(G15*I15,3)</f>
        <v>648</v>
      </c>
      <c r="L15" s="44" t="n">
        <v>684</v>
      </c>
      <c r="M15" s="44" t="n">
        <v>2.92</v>
      </c>
      <c r="N15" s="45" t="n">
        <v>5045.8</v>
      </c>
      <c r="O15" s="45" t="n">
        <f aca="false">ROUND(N15*'HS Summary'!$C$55,2)</f>
        <v>4691.73</v>
      </c>
      <c r="P15" s="41"/>
    </row>
    <row r="16" customFormat="false" ht="22.35" hidden="false" customHeight="false" outlineLevel="0" collapsed="false">
      <c r="A16" s="40" t="n">
        <v>13</v>
      </c>
      <c r="B16" s="40" t="s">
        <v>68</v>
      </c>
      <c r="C16" s="41" t="s">
        <v>194</v>
      </c>
      <c r="D16" s="41" t="s">
        <v>69</v>
      </c>
      <c r="E16" s="41" t="s">
        <v>195</v>
      </c>
      <c r="F16" s="41" t="s">
        <v>196</v>
      </c>
      <c r="G16" s="42" t="n">
        <v>180</v>
      </c>
      <c r="H16" s="40" t="n">
        <v>5</v>
      </c>
      <c r="I16" s="43" t="n">
        <v>0.722</v>
      </c>
      <c r="J16" s="40" t="s">
        <v>157</v>
      </c>
      <c r="K16" s="44" t="n">
        <f aca="false">ROUND(G16*I16,3)</f>
        <v>129.96</v>
      </c>
      <c r="L16" s="44" t="n">
        <v>135</v>
      </c>
      <c r="M16" s="44" t="n">
        <v>3.9</v>
      </c>
      <c r="N16" s="45" t="n">
        <v>702</v>
      </c>
      <c r="O16" s="45" t="n">
        <f aca="false">ROUND(N16*'HS Summary'!$C$55,2)</f>
        <v>652.74</v>
      </c>
      <c r="P16" s="41"/>
    </row>
    <row r="17" customFormat="false" ht="15" hidden="false" customHeight="false" outlineLevel="0" collapsed="false">
      <c r="A17" s="40" t="n">
        <v>14</v>
      </c>
      <c r="B17" s="40" t="s">
        <v>22</v>
      </c>
      <c r="C17" s="41" t="s">
        <v>197</v>
      </c>
      <c r="D17" s="41" t="s">
        <v>198</v>
      </c>
      <c r="E17" s="41" t="s">
        <v>199</v>
      </c>
      <c r="F17" s="41" t="s">
        <v>200</v>
      </c>
      <c r="G17" s="42" t="n">
        <v>1632</v>
      </c>
      <c r="H17" s="40" t="n">
        <v>34</v>
      </c>
      <c r="I17" s="43" t="n">
        <v>0.521</v>
      </c>
      <c r="J17" s="40" t="s">
        <v>157</v>
      </c>
      <c r="K17" s="44" t="n">
        <f aca="false">ROUND(G17*I17,3)</f>
        <v>850.272</v>
      </c>
      <c r="L17" s="44" t="n">
        <v>884</v>
      </c>
      <c r="M17" s="44" t="n">
        <v>3.034</v>
      </c>
      <c r="N17" s="45" t="n">
        <v>4951.5</v>
      </c>
      <c r="O17" s="45" t="n">
        <f aca="false">ROUND(N17*'HS Summary'!$C$55,2)</f>
        <v>4604.05</v>
      </c>
      <c r="P17" s="41"/>
    </row>
    <row r="18" customFormat="false" ht="22.35" hidden="false" customHeight="false" outlineLevel="0" collapsed="false">
      <c r="A18" s="40" t="n">
        <v>15</v>
      </c>
      <c r="B18" s="40" t="s">
        <v>24</v>
      </c>
      <c r="C18" s="41" t="s">
        <v>201</v>
      </c>
      <c r="D18" s="41" t="s">
        <v>202</v>
      </c>
      <c r="E18" s="41" t="s">
        <v>203</v>
      </c>
      <c r="F18" s="41" t="s">
        <v>204</v>
      </c>
      <c r="G18" s="42" t="n">
        <v>3000</v>
      </c>
      <c r="H18" s="40" t="n">
        <v>25</v>
      </c>
      <c r="I18" s="43" t="n">
        <v>0.325</v>
      </c>
      <c r="J18" s="40" t="s">
        <v>157</v>
      </c>
      <c r="K18" s="44" t="n">
        <f aca="false">ROUND(G18*I18,3)</f>
        <v>975</v>
      </c>
      <c r="L18" s="44" t="n">
        <v>1000</v>
      </c>
      <c r="M18" s="44" t="n">
        <v>1.773</v>
      </c>
      <c r="N18" s="45" t="n">
        <v>5319</v>
      </c>
      <c r="O18" s="45" t="n">
        <f aca="false">ROUND(N18*'HS Summary'!$C$55,2)</f>
        <v>4945.76</v>
      </c>
      <c r="P18" s="41"/>
    </row>
    <row r="19" customFormat="false" ht="15" hidden="false" customHeight="false" outlineLevel="0" collapsed="false">
      <c r="A19" s="40" t="n">
        <v>16</v>
      </c>
      <c r="B19" s="40" t="s">
        <v>72</v>
      </c>
      <c r="C19" s="41" t="s">
        <v>205</v>
      </c>
      <c r="D19" s="41" t="s">
        <v>206</v>
      </c>
      <c r="E19" s="41" t="s">
        <v>207</v>
      </c>
      <c r="F19" s="41" t="s">
        <v>208</v>
      </c>
      <c r="G19" s="42" t="n">
        <v>150</v>
      </c>
      <c r="H19" s="40" t="n">
        <v>1</v>
      </c>
      <c r="I19" s="43" t="n">
        <v>0.04</v>
      </c>
      <c r="J19" s="40" t="s">
        <v>157</v>
      </c>
      <c r="K19" s="44" t="n">
        <f aca="false">ROUND(G19*I19,3)</f>
        <v>6</v>
      </c>
      <c r="L19" s="44" t="n">
        <v>7</v>
      </c>
      <c r="M19" s="44" t="n">
        <v>1.574</v>
      </c>
      <c r="N19" s="45" t="n">
        <v>236.1</v>
      </c>
      <c r="O19" s="45" t="n">
        <f aca="false">ROUND(N19*'HS Summary'!$C$55,2)</f>
        <v>219.53</v>
      </c>
      <c r="P19" s="41"/>
    </row>
    <row r="20" customFormat="false" ht="15" hidden="false" customHeight="false" outlineLevel="0" collapsed="false">
      <c r="A20" s="40" t="n">
        <v>17</v>
      </c>
      <c r="B20" s="40" t="s">
        <v>22</v>
      </c>
      <c r="C20" s="41" t="s">
        <v>209</v>
      </c>
      <c r="D20" s="41" t="s">
        <v>210</v>
      </c>
      <c r="E20" s="41" t="s">
        <v>211</v>
      </c>
      <c r="F20" s="41" t="s">
        <v>212</v>
      </c>
      <c r="G20" s="42" t="n">
        <v>360</v>
      </c>
      <c r="H20" s="40" t="n">
        <v>5</v>
      </c>
      <c r="I20" s="43" t="n">
        <v>0.278</v>
      </c>
      <c r="J20" s="40" t="s">
        <v>157</v>
      </c>
      <c r="K20" s="44" t="n">
        <f aca="false">ROUND(G20*I20,3)</f>
        <v>100.08</v>
      </c>
      <c r="L20" s="44" t="n">
        <v>105</v>
      </c>
      <c r="M20" s="44" t="n">
        <v>2.66</v>
      </c>
      <c r="N20" s="45" t="n">
        <v>957.6</v>
      </c>
      <c r="O20" s="45" t="n">
        <f aca="false">ROUND(N20*'HS Summary'!$C$55,2)</f>
        <v>890.4</v>
      </c>
      <c r="P20" s="41"/>
    </row>
    <row r="21" customFormat="false" ht="15" hidden="false" customHeight="false" outlineLevel="0" collapsed="false">
      <c r="A21" s="40" t="n">
        <v>18</v>
      </c>
      <c r="B21" s="40" t="s">
        <v>38</v>
      </c>
      <c r="C21" s="41" t="s">
        <v>213</v>
      </c>
      <c r="D21" s="41" t="s">
        <v>214</v>
      </c>
      <c r="E21" s="41" t="s">
        <v>215</v>
      </c>
      <c r="F21" s="41" t="s">
        <v>216</v>
      </c>
      <c r="G21" s="42" t="n">
        <v>1440</v>
      </c>
      <c r="H21" s="40" t="n">
        <v>8</v>
      </c>
      <c r="I21" s="43" t="n">
        <v>0.089</v>
      </c>
      <c r="J21" s="40" t="s">
        <v>157</v>
      </c>
      <c r="K21" s="44" t="n">
        <f aca="false">ROUND(G21*I21,3)</f>
        <v>128.16</v>
      </c>
      <c r="L21" s="44" t="n">
        <v>136</v>
      </c>
      <c r="M21" s="44" t="n">
        <v>1.061</v>
      </c>
      <c r="N21" s="45" t="n">
        <v>1527.8</v>
      </c>
      <c r="O21" s="45" t="n">
        <f aca="false">ROUND(N21*'HS Summary'!$C$55,2)</f>
        <v>1420.59</v>
      </c>
      <c r="P21" s="41"/>
    </row>
    <row r="22" customFormat="false" ht="15" hidden="false" customHeight="false" outlineLevel="0" collapsed="false">
      <c r="A22" s="40" t="n">
        <v>19</v>
      </c>
      <c r="B22" s="40" t="s">
        <v>66</v>
      </c>
      <c r="C22" s="41" t="s">
        <v>217</v>
      </c>
      <c r="D22" s="41" t="s">
        <v>67</v>
      </c>
      <c r="E22" s="41" t="s">
        <v>218</v>
      </c>
      <c r="F22" s="41" t="s">
        <v>219</v>
      </c>
      <c r="G22" s="42" t="n">
        <v>360</v>
      </c>
      <c r="H22" s="40" t="n">
        <v>3</v>
      </c>
      <c r="I22" s="43" t="n">
        <v>0.083</v>
      </c>
      <c r="J22" s="40" t="s">
        <v>157</v>
      </c>
      <c r="K22" s="44" t="n">
        <f aca="false">ROUND(G22*I22,3)</f>
        <v>29.88</v>
      </c>
      <c r="L22" s="44" t="n">
        <v>33</v>
      </c>
      <c r="M22" s="44" t="n">
        <v>2.005</v>
      </c>
      <c r="N22" s="45" t="n">
        <v>721.8</v>
      </c>
      <c r="O22" s="45" t="n">
        <f aca="false">ROUND(N22*'HS Summary'!$C$55,2)</f>
        <v>671.15</v>
      </c>
      <c r="P22" s="41"/>
    </row>
    <row r="23" customFormat="false" ht="22.35" hidden="false" customHeight="false" outlineLevel="0" collapsed="false">
      <c r="A23" s="40" t="n">
        <v>20</v>
      </c>
      <c r="B23" s="40" t="s">
        <v>111</v>
      </c>
      <c r="C23" s="41" t="s">
        <v>220</v>
      </c>
      <c r="D23" s="41" t="s">
        <v>112</v>
      </c>
      <c r="E23" s="41" t="s">
        <v>221</v>
      </c>
      <c r="F23" s="41" t="s">
        <v>222</v>
      </c>
      <c r="G23" s="42" t="n">
        <v>600</v>
      </c>
      <c r="H23" s="40" t="n">
        <v>1</v>
      </c>
      <c r="I23" s="43" t="n">
        <v>0.015</v>
      </c>
      <c r="J23" s="40" t="s">
        <v>157</v>
      </c>
      <c r="K23" s="44" t="n">
        <f aca="false">ROUND(G23*I23,3)</f>
        <v>9</v>
      </c>
      <c r="L23" s="44" t="n">
        <v>10</v>
      </c>
      <c r="M23" s="44" t="n">
        <v>0.283</v>
      </c>
      <c r="N23" s="45" t="n">
        <v>169.8</v>
      </c>
      <c r="O23" s="45" t="n">
        <f aca="false">ROUND(N23*'HS Summary'!$C$55,2)</f>
        <v>157.89</v>
      </c>
      <c r="P23" s="41"/>
    </row>
    <row r="24" customFormat="false" ht="22.35" hidden="false" customHeight="false" outlineLevel="0" collapsed="false">
      <c r="A24" s="40" t="n">
        <v>21</v>
      </c>
      <c r="B24" s="40" t="s">
        <v>106</v>
      </c>
      <c r="C24" s="41" t="s">
        <v>223</v>
      </c>
      <c r="D24" s="41" t="s">
        <v>107</v>
      </c>
      <c r="E24" s="41" t="s">
        <v>224</v>
      </c>
      <c r="F24" s="41" t="s">
        <v>225</v>
      </c>
      <c r="G24" s="42" t="n">
        <v>200</v>
      </c>
      <c r="H24" s="40" t="n">
        <v>1</v>
      </c>
      <c r="I24" s="43" t="n">
        <v>0.045</v>
      </c>
      <c r="J24" s="40" t="s">
        <v>157</v>
      </c>
      <c r="K24" s="44" t="n">
        <f aca="false">ROUND(G24*I24,3)</f>
        <v>9</v>
      </c>
      <c r="L24" s="44" t="n">
        <v>10</v>
      </c>
      <c r="M24" s="44" t="n">
        <v>1.132</v>
      </c>
      <c r="N24" s="45" t="n">
        <v>226.4</v>
      </c>
      <c r="O24" s="45" t="n">
        <f aca="false">ROUND(N24*'HS Summary'!$C$55,2)</f>
        <v>210.51</v>
      </c>
      <c r="P24" s="41"/>
    </row>
    <row r="25" customFormat="false" ht="15" hidden="false" customHeight="false" outlineLevel="0" collapsed="false">
      <c r="A25" s="40" t="n">
        <v>22</v>
      </c>
      <c r="B25" s="40" t="s">
        <v>16</v>
      </c>
      <c r="C25" s="41" t="s">
        <v>226</v>
      </c>
      <c r="D25" s="41" t="s">
        <v>227</v>
      </c>
      <c r="E25" s="41" t="s">
        <v>228</v>
      </c>
      <c r="F25" s="41" t="s">
        <v>229</v>
      </c>
      <c r="G25" s="42" t="n">
        <v>1200</v>
      </c>
      <c r="H25" s="40" t="n">
        <v>8</v>
      </c>
      <c r="I25" s="43" t="n">
        <v>0.107</v>
      </c>
      <c r="J25" s="40" t="s">
        <v>157</v>
      </c>
      <c r="K25" s="44" t="n">
        <f aca="false">ROUND(G25*I25,3)</f>
        <v>128.4</v>
      </c>
      <c r="L25" s="44" t="n">
        <v>136</v>
      </c>
      <c r="M25" s="44" t="n">
        <v>0.463</v>
      </c>
      <c r="N25" s="45" t="n">
        <v>555</v>
      </c>
      <c r="O25" s="45" t="n">
        <f aca="false">ROUND(N25*'HS Summary'!$C$55,2)</f>
        <v>516.06</v>
      </c>
      <c r="P25" s="41"/>
    </row>
    <row r="26" customFormat="false" ht="22.35" hidden="false" customHeight="false" outlineLevel="0" collapsed="false">
      <c r="A26" s="40" t="n">
        <v>23</v>
      </c>
      <c r="B26" s="40" t="s">
        <v>26</v>
      </c>
      <c r="C26" s="41" t="s">
        <v>230</v>
      </c>
      <c r="D26" s="41" t="s">
        <v>231</v>
      </c>
      <c r="E26" s="41" t="s">
        <v>232</v>
      </c>
      <c r="F26" s="41" t="s">
        <v>183</v>
      </c>
      <c r="G26" s="42" t="n">
        <v>2000</v>
      </c>
      <c r="H26" s="40" t="n">
        <v>10</v>
      </c>
      <c r="I26" s="43" t="n">
        <v>0.065</v>
      </c>
      <c r="J26" s="40" t="s">
        <v>157</v>
      </c>
      <c r="K26" s="44" t="n">
        <f aca="false">ROUND(G26*I26,3)</f>
        <v>130</v>
      </c>
      <c r="L26" s="44" t="n">
        <v>140</v>
      </c>
      <c r="M26" s="44" t="n">
        <v>0.665</v>
      </c>
      <c r="N26" s="45" t="n">
        <v>1330</v>
      </c>
      <c r="O26" s="45" t="n">
        <f aca="false">ROUND(N26*'HS Summary'!$C$55,2)</f>
        <v>1236.67</v>
      </c>
      <c r="P26" s="41"/>
    </row>
    <row r="27" customFormat="false" ht="15" hidden="false" customHeight="false" outlineLevel="0" collapsed="false">
      <c r="A27" s="40" t="n">
        <v>24</v>
      </c>
      <c r="B27" s="40" t="s">
        <v>40</v>
      </c>
      <c r="C27" s="41" t="s">
        <v>233</v>
      </c>
      <c r="D27" s="41" t="s">
        <v>41</v>
      </c>
      <c r="E27" s="41" t="s">
        <v>234</v>
      </c>
      <c r="F27" s="41" t="s">
        <v>235</v>
      </c>
      <c r="G27" s="42" t="n">
        <v>720</v>
      </c>
      <c r="H27" s="40" t="n">
        <v>12</v>
      </c>
      <c r="I27" s="43" t="n">
        <v>0.333</v>
      </c>
      <c r="J27" s="40" t="s">
        <v>157</v>
      </c>
      <c r="K27" s="44" t="n">
        <f aca="false">ROUND(G27*I27,3)</f>
        <v>239.76</v>
      </c>
      <c r="L27" s="44" t="n">
        <v>252</v>
      </c>
      <c r="M27" s="44" t="n">
        <v>3.268</v>
      </c>
      <c r="N27" s="45" t="n">
        <v>2353</v>
      </c>
      <c r="O27" s="45" t="n">
        <f aca="false">ROUND(N27*'HS Summary'!$C$55,2)</f>
        <v>2187.89</v>
      </c>
      <c r="P27" s="41"/>
    </row>
    <row r="28" customFormat="false" ht="22.35" hidden="false" customHeight="false" outlineLevel="0" collapsed="false">
      <c r="A28" s="40" t="n">
        <v>25</v>
      </c>
      <c r="B28" s="40" t="s">
        <v>55</v>
      </c>
      <c r="C28" s="41" t="s">
        <v>236</v>
      </c>
      <c r="D28" s="41" t="s">
        <v>237</v>
      </c>
      <c r="E28" s="41" t="s">
        <v>238</v>
      </c>
      <c r="F28" s="41" t="s">
        <v>239</v>
      </c>
      <c r="G28" s="42" t="n">
        <v>180</v>
      </c>
      <c r="H28" s="40" t="n">
        <v>3</v>
      </c>
      <c r="I28" s="43" t="n">
        <v>0.1</v>
      </c>
      <c r="J28" s="40" t="s">
        <v>157</v>
      </c>
      <c r="K28" s="44" t="n">
        <f aca="false">ROUND(G28*I28,3)</f>
        <v>18</v>
      </c>
      <c r="L28" s="44" t="n">
        <v>21</v>
      </c>
      <c r="M28" s="44" t="n">
        <v>2.011</v>
      </c>
      <c r="N28" s="45" t="n">
        <v>362</v>
      </c>
      <c r="O28" s="45" t="n">
        <f aca="false">ROUND(N28*'HS Summary'!$C$55,2)</f>
        <v>336.6</v>
      </c>
      <c r="P28" s="41"/>
    </row>
    <row r="29" customFormat="false" ht="22.35" hidden="false" customHeight="false" outlineLevel="0" collapsed="false">
      <c r="A29" s="40" t="n">
        <v>26</v>
      </c>
      <c r="B29" s="40" t="s">
        <v>51</v>
      </c>
      <c r="C29" s="41" t="s">
        <v>240</v>
      </c>
      <c r="D29" s="41" t="s">
        <v>52</v>
      </c>
      <c r="E29" s="41" t="s">
        <v>241</v>
      </c>
      <c r="F29" s="41" t="s">
        <v>242</v>
      </c>
      <c r="G29" s="42" t="n">
        <v>920</v>
      </c>
      <c r="H29" s="40" t="n">
        <v>8</v>
      </c>
      <c r="I29" s="43" t="n">
        <v>0.083</v>
      </c>
      <c r="J29" s="40" t="s">
        <v>157</v>
      </c>
      <c r="K29" s="44" t="n">
        <f aca="false">ROUND(G29*I29,3)</f>
        <v>76.36</v>
      </c>
      <c r="L29" s="44" t="n">
        <v>84.333</v>
      </c>
      <c r="M29" s="44" t="n">
        <v>1.649</v>
      </c>
      <c r="N29" s="45" t="n">
        <v>1517.1</v>
      </c>
      <c r="O29" s="45" t="n">
        <f aca="false">ROUND(N29*'HS Summary'!$C$55,2)</f>
        <v>1410.64</v>
      </c>
      <c r="P29" s="41"/>
    </row>
    <row r="30" customFormat="false" ht="15" hidden="false" customHeight="false" outlineLevel="0" collapsed="false">
      <c r="A30" s="40" t="n">
        <v>27</v>
      </c>
      <c r="B30" s="40" t="s">
        <v>53</v>
      </c>
      <c r="C30" s="41" t="s">
        <v>243</v>
      </c>
      <c r="D30" s="41" t="s">
        <v>244</v>
      </c>
      <c r="E30" s="41" t="s">
        <v>187</v>
      </c>
      <c r="F30" s="41" t="s">
        <v>188</v>
      </c>
      <c r="G30" s="42" t="n">
        <v>150</v>
      </c>
      <c r="H30" s="40" t="n">
        <v>2</v>
      </c>
      <c r="I30" s="43" t="n">
        <v>0.433</v>
      </c>
      <c r="J30" s="40" t="s">
        <v>157</v>
      </c>
      <c r="K30" s="44" t="n">
        <f aca="false">ROUND(G30*I30,3)</f>
        <v>64.95</v>
      </c>
      <c r="L30" s="44" t="n">
        <v>66</v>
      </c>
      <c r="M30" s="44" t="n">
        <v>4.995</v>
      </c>
      <c r="N30" s="45" t="n">
        <v>749.3</v>
      </c>
      <c r="O30" s="45" t="n">
        <f aca="false">ROUND(N30*'HS Summary'!$C$55,2)</f>
        <v>696.72</v>
      </c>
      <c r="P30" s="41"/>
    </row>
    <row r="31" customFormat="false" ht="32.8" hidden="false" customHeight="false" outlineLevel="0" collapsed="false">
      <c r="A31" s="40" t="n">
        <v>28</v>
      </c>
      <c r="B31" s="40" t="s">
        <v>108</v>
      </c>
      <c r="C31" s="41" t="s">
        <v>245</v>
      </c>
      <c r="D31" s="41" t="s">
        <v>109</v>
      </c>
      <c r="E31" s="41" t="s">
        <v>246</v>
      </c>
      <c r="F31" s="41" t="s">
        <v>247</v>
      </c>
      <c r="G31" s="42" t="n">
        <v>400</v>
      </c>
      <c r="H31" s="40" t="n">
        <v>2</v>
      </c>
      <c r="I31" s="43" t="n">
        <v>0.075</v>
      </c>
      <c r="J31" s="40" t="s">
        <v>157</v>
      </c>
      <c r="K31" s="44" t="n">
        <f aca="false">ROUND(G31*I31,3)</f>
        <v>30</v>
      </c>
      <c r="L31" s="44" t="n">
        <v>32</v>
      </c>
      <c r="M31" s="44" t="n">
        <v>0.524</v>
      </c>
      <c r="N31" s="45" t="n">
        <v>209.6</v>
      </c>
      <c r="O31" s="45" t="n">
        <f aca="false">ROUND(N31*'HS Summary'!$C$55,2)</f>
        <v>194.89</v>
      </c>
      <c r="P31" s="41"/>
    </row>
    <row r="32" customFormat="false" ht="22.35" hidden="false" customHeight="false" outlineLevel="0" collapsed="false">
      <c r="A32" s="40" t="n">
        <v>29</v>
      </c>
      <c r="B32" s="40" t="s">
        <v>72</v>
      </c>
      <c r="C32" s="41" t="s">
        <v>248</v>
      </c>
      <c r="D32" s="41" t="s">
        <v>249</v>
      </c>
      <c r="E32" s="41" t="s">
        <v>250</v>
      </c>
      <c r="F32" s="41" t="s">
        <v>183</v>
      </c>
      <c r="G32" s="42" t="n">
        <v>120</v>
      </c>
      <c r="H32" s="40" t="n">
        <v>2</v>
      </c>
      <c r="I32" s="43" t="n">
        <v>0.367</v>
      </c>
      <c r="J32" s="40" t="s">
        <v>157</v>
      </c>
      <c r="K32" s="44" t="n">
        <f aca="false">ROUND(G32*I32,3)</f>
        <v>44.04</v>
      </c>
      <c r="L32" s="44" t="n">
        <v>46</v>
      </c>
      <c r="M32" s="44" t="n">
        <v>3.616</v>
      </c>
      <c r="N32" s="45" t="n">
        <v>433.9</v>
      </c>
      <c r="O32" s="45" t="n">
        <f aca="false">ROUND(N32*'HS Summary'!$C$55,2)</f>
        <v>403.45</v>
      </c>
      <c r="P32" s="41"/>
    </row>
    <row r="33" customFormat="false" ht="22.35" hidden="false" customHeight="false" outlineLevel="0" collapsed="false">
      <c r="A33" s="40" t="n">
        <v>30</v>
      </c>
      <c r="B33" s="40" t="s">
        <v>63</v>
      </c>
      <c r="C33" s="41" t="s">
        <v>251</v>
      </c>
      <c r="D33" s="41" t="s">
        <v>64</v>
      </c>
      <c r="E33" s="41" t="s">
        <v>252</v>
      </c>
      <c r="F33" s="41" t="s">
        <v>253</v>
      </c>
      <c r="G33" s="42" t="n">
        <v>1000</v>
      </c>
      <c r="H33" s="40" t="n">
        <v>2</v>
      </c>
      <c r="I33" s="43" t="n">
        <v>0.038</v>
      </c>
      <c r="J33" s="40" t="s">
        <v>157</v>
      </c>
      <c r="K33" s="44" t="n">
        <f aca="false">ROUND(G33*I33,3)</f>
        <v>38</v>
      </c>
      <c r="L33" s="44" t="n">
        <v>40</v>
      </c>
      <c r="M33" s="44" t="n">
        <v>0.894</v>
      </c>
      <c r="N33" s="45" t="n">
        <v>894</v>
      </c>
      <c r="O33" s="45" t="n">
        <f aca="false">ROUND(N33*'HS Summary'!$C$55,2)</f>
        <v>831.27</v>
      </c>
      <c r="P33" s="41"/>
    </row>
    <row r="34" customFormat="false" ht="15" hidden="false" customHeight="false" outlineLevel="0" collapsed="false">
      <c r="A34" s="40" t="n">
        <v>31</v>
      </c>
      <c r="B34" s="40" t="s">
        <v>55</v>
      </c>
      <c r="C34" s="41" t="s">
        <v>254</v>
      </c>
      <c r="D34" s="41" t="s">
        <v>255</v>
      </c>
      <c r="E34" s="41" t="s">
        <v>256</v>
      </c>
      <c r="F34" s="41" t="s">
        <v>257</v>
      </c>
      <c r="G34" s="42" t="n">
        <v>600</v>
      </c>
      <c r="H34" s="40" t="n">
        <v>6</v>
      </c>
      <c r="I34" s="43" t="n">
        <v>0.03</v>
      </c>
      <c r="J34" s="40" t="s">
        <v>157</v>
      </c>
      <c r="K34" s="44" t="n">
        <f aca="false">ROUND(G34*I34,3)</f>
        <v>18</v>
      </c>
      <c r="L34" s="44" t="n">
        <v>24</v>
      </c>
      <c r="M34" s="44" t="n">
        <v>0.656</v>
      </c>
      <c r="N34" s="45" t="n">
        <v>393.6</v>
      </c>
      <c r="O34" s="45" t="n">
        <f aca="false">ROUND(N34*'HS Summary'!$C$55,2)</f>
        <v>365.98</v>
      </c>
      <c r="P34" s="41"/>
    </row>
    <row r="35" customFormat="false" ht="15" hidden="false" customHeight="false" outlineLevel="0" collapsed="false">
      <c r="A35" s="40" t="n">
        <v>32</v>
      </c>
      <c r="B35" s="40" t="s">
        <v>96</v>
      </c>
      <c r="C35" s="41" t="s">
        <v>258</v>
      </c>
      <c r="D35" s="41" t="s">
        <v>97</v>
      </c>
      <c r="E35" s="41" t="s">
        <v>259</v>
      </c>
      <c r="F35" s="41" t="s">
        <v>260</v>
      </c>
      <c r="G35" s="42" t="n">
        <v>200</v>
      </c>
      <c r="H35" s="40" t="n">
        <v>2</v>
      </c>
      <c r="I35" s="43" t="n">
        <v>0.12</v>
      </c>
      <c r="J35" s="40" t="s">
        <v>157</v>
      </c>
      <c r="K35" s="44" t="n">
        <f aca="false">ROUND(G35*I35,3)</f>
        <v>24</v>
      </c>
      <c r="L35" s="44" t="n">
        <v>26</v>
      </c>
      <c r="M35" s="44" t="n">
        <v>1.835</v>
      </c>
      <c r="N35" s="45" t="n">
        <v>367</v>
      </c>
      <c r="O35" s="45" t="n">
        <f aca="false">ROUND(N35*'HS Summary'!$C$55,2)</f>
        <v>341.25</v>
      </c>
      <c r="P35" s="41"/>
    </row>
    <row r="36" customFormat="false" ht="22.35" hidden="false" customHeight="false" outlineLevel="0" collapsed="false">
      <c r="A36" s="40" t="n">
        <v>33</v>
      </c>
      <c r="B36" s="40" t="s">
        <v>92</v>
      </c>
      <c r="C36" s="41" t="s">
        <v>261</v>
      </c>
      <c r="D36" s="41" t="s">
        <v>93</v>
      </c>
      <c r="E36" s="41" t="s">
        <v>262</v>
      </c>
      <c r="F36" s="41" t="s">
        <v>263</v>
      </c>
      <c r="G36" s="42" t="n">
        <v>1400</v>
      </c>
      <c r="H36" s="40" t="n">
        <v>7</v>
      </c>
      <c r="I36" s="43" t="n">
        <v>0.045</v>
      </c>
      <c r="J36" s="40" t="s">
        <v>157</v>
      </c>
      <c r="K36" s="44" t="n">
        <f aca="false">ROUND(G36*I36,3)</f>
        <v>63</v>
      </c>
      <c r="L36" s="44" t="n">
        <v>70</v>
      </c>
      <c r="M36" s="44" t="n">
        <v>0.278</v>
      </c>
      <c r="N36" s="45" t="n">
        <v>389.2</v>
      </c>
      <c r="O36" s="45" t="n">
        <f aca="false">ROUND(N36*'HS Summary'!$C$55,2)</f>
        <v>361.89</v>
      </c>
      <c r="P36" s="41"/>
    </row>
    <row r="37" customFormat="false" ht="22.35" hidden="false" customHeight="false" outlineLevel="0" collapsed="false">
      <c r="A37" s="40" t="n">
        <v>34</v>
      </c>
      <c r="B37" s="40" t="s">
        <v>24</v>
      </c>
      <c r="C37" s="41" t="s">
        <v>264</v>
      </c>
      <c r="D37" s="41" t="s">
        <v>265</v>
      </c>
      <c r="E37" s="41" t="s">
        <v>266</v>
      </c>
      <c r="F37" s="41" t="s">
        <v>183</v>
      </c>
      <c r="G37" s="42" t="n">
        <v>288</v>
      </c>
      <c r="H37" s="40" t="n">
        <v>4</v>
      </c>
      <c r="I37" s="43" t="n">
        <v>0.292</v>
      </c>
      <c r="J37" s="40" t="s">
        <v>157</v>
      </c>
      <c r="K37" s="44" t="n">
        <f aca="false">ROUND(G37*I37,3)</f>
        <v>84.096</v>
      </c>
      <c r="L37" s="44" t="n">
        <v>88</v>
      </c>
      <c r="M37" s="44" t="n">
        <v>2.2</v>
      </c>
      <c r="N37" s="45" t="n">
        <v>633.6</v>
      </c>
      <c r="O37" s="45" t="n">
        <f aca="false">ROUND(N37*'HS Summary'!$C$55,2)</f>
        <v>589.14</v>
      </c>
      <c r="P37" s="41"/>
    </row>
    <row r="38" customFormat="false" ht="15" hidden="false" customHeight="false" outlineLevel="0" collapsed="false">
      <c r="A38" s="40" t="n">
        <v>35</v>
      </c>
      <c r="B38" s="40" t="s">
        <v>94</v>
      </c>
      <c r="C38" s="41" t="s">
        <v>267</v>
      </c>
      <c r="D38" s="41" t="s">
        <v>95</v>
      </c>
      <c r="E38" s="41" t="s">
        <v>268</v>
      </c>
      <c r="F38" s="41" t="s">
        <v>269</v>
      </c>
      <c r="G38" s="42" t="n">
        <v>2000</v>
      </c>
      <c r="H38" s="40" t="n">
        <v>2</v>
      </c>
      <c r="I38" s="43" t="n">
        <v>0.018</v>
      </c>
      <c r="J38" s="40" t="s">
        <v>157</v>
      </c>
      <c r="K38" s="44" t="n">
        <f aca="false">ROUND(G38*I38,3)</f>
        <v>36</v>
      </c>
      <c r="L38" s="44" t="n">
        <v>38</v>
      </c>
      <c r="M38" s="44" t="n">
        <v>0.19</v>
      </c>
      <c r="N38" s="45" t="n">
        <v>380</v>
      </c>
      <c r="O38" s="45" t="n">
        <f aca="false">ROUND(N38*'HS Summary'!$C$55,2)</f>
        <v>353.34</v>
      </c>
      <c r="P38" s="41"/>
    </row>
    <row r="39" customFormat="false" ht="22.35" hidden="false" customHeight="false" outlineLevel="0" collapsed="false">
      <c r="A39" s="40" t="n">
        <v>36</v>
      </c>
      <c r="B39" s="40" t="s">
        <v>87</v>
      </c>
      <c r="C39" s="41" t="s">
        <v>270</v>
      </c>
      <c r="D39" s="41" t="s">
        <v>88</v>
      </c>
      <c r="E39" s="41" t="s">
        <v>271</v>
      </c>
      <c r="F39" s="41" t="s">
        <v>272</v>
      </c>
      <c r="G39" s="42" t="n">
        <v>300</v>
      </c>
      <c r="H39" s="40" t="n">
        <v>3</v>
      </c>
      <c r="I39" s="43" t="n">
        <v>0.08</v>
      </c>
      <c r="J39" s="40" t="s">
        <v>157</v>
      </c>
      <c r="K39" s="44" t="n">
        <f aca="false">ROUND(G39*I39,3)</f>
        <v>24</v>
      </c>
      <c r="L39" s="44" t="n">
        <v>27</v>
      </c>
      <c r="M39" s="44" t="n">
        <v>1.66</v>
      </c>
      <c r="N39" s="45" t="n">
        <v>498</v>
      </c>
      <c r="O39" s="45" t="n">
        <f aca="false">ROUND(N39*'HS Summary'!$C$55,2)</f>
        <v>463.06</v>
      </c>
      <c r="P39" s="41"/>
    </row>
    <row r="40" customFormat="false" ht="22.35" hidden="false" customHeight="false" outlineLevel="0" collapsed="false">
      <c r="A40" s="40" t="n">
        <v>37</v>
      </c>
      <c r="B40" s="40" t="s">
        <v>102</v>
      </c>
      <c r="C40" s="41" t="s">
        <v>273</v>
      </c>
      <c r="D40" s="41" t="s">
        <v>103</v>
      </c>
      <c r="E40" s="41" t="s">
        <v>274</v>
      </c>
      <c r="F40" s="41" t="s">
        <v>275</v>
      </c>
      <c r="G40" s="42" t="n">
        <v>500</v>
      </c>
      <c r="H40" s="40" t="n">
        <v>1</v>
      </c>
      <c r="I40" s="43" t="n">
        <v>0.014</v>
      </c>
      <c r="J40" s="40" t="s">
        <v>157</v>
      </c>
      <c r="K40" s="44" t="n">
        <f aca="false">ROUND(G40*I40,3)</f>
        <v>7</v>
      </c>
      <c r="L40" s="44" t="n">
        <v>8</v>
      </c>
      <c r="M40" s="44" t="n">
        <v>0.55</v>
      </c>
      <c r="N40" s="45" t="n">
        <v>275</v>
      </c>
      <c r="O40" s="45" t="n">
        <f aca="false">ROUND(N40*'HS Summary'!$C$55,2)</f>
        <v>255.7</v>
      </c>
      <c r="P40" s="41"/>
    </row>
    <row r="41" customFormat="false" ht="53.7" hidden="false" customHeight="false" outlineLevel="0" collapsed="false">
      <c r="A41" s="40" t="n">
        <v>38</v>
      </c>
      <c r="B41" s="40" t="s">
        <v>38</v>
      </c>
      <c r="C41" s="41" t="s">
        <v>276</v>
      </c>
      <c r="D41" s="41" t="s">
        <v>277</v>
      </c>
      <c r="E41" s="41" t="s">
        <v>278</v>
      </c>
      <c r="F41" s="41" t="s">
        <v>279</v>
      </c>
      <c r="G41" s="42" t="n">
        <v>300</v>
      </c>
      <c r="H41" s="40" t="n">
        <v>6</v>
      </c>
      <c r="I41" s="43" t="n">
        <v>0.22</v>
      </c>
      <c r="J41" s="40" t="s">
        <v>157</v>
      </c>
      <c r="K41" s="44" t="n">
        <f aca="false">ROUND(G41*I41,3)</f>
        <v>66</v>
      </c>
      <c r="L41" s="44" t="n">
        <v>72</v>
      </c>
      <c r="M41" s="44" t="n">
        <v>1.364</v>
      </c>
      <c r="N41" s="45" t="n">
        <v>409.2</v>
      </c>
      <c r="O41" s="45" t="n">
        <f aca="false">ROUND(N41*'HS Summary'!$C$55,2)</f>
        <v>380.49</v>
      </c>
      <c r="P41" s="41"/>
    </row>
    <row r="42" customFormat="false" ht="15" hidden="false" customHeight="false" outlineLevel="0" collapsed="false">
      <c r="A42" s="40" t="n">
        <v>39</v>
      </c>
      <c r="B42" s="40" t="s">
        <v>100</v>
      </c>
      <c r="C42" s="41" t="s">
        <v>280</v>
      </c>
      <c r="D42" s="41" t="s">
        <v>101</v>
      </c>
      <c r="E42" s="41" t="s">
        <v>281</v>
      </c>
      <c r="F42" s="41" t="s">
        <v>282</v>
      </c>
      <c r="G42" s="42" t="n">
        <v>150</v>
      </c>
      <c r="H42" s="40" t="n">
        <v>2</v>
      </c>
      <c r="I42" s="43" t="n">
        <v>0.16</v>
      </c>
      <c r="J42" s="40" t="s">
        <v>157</v>
      </c>
      <c r="K42" s="44" t="n">
        <f aca="false">ROUND(G42*I42,3)</f>
        <v>24</v>
      </c>
      <c r="L42" s="44" t="n">
        <v>25.5</v>
      </c>
      <c r="M42" s="44" t="n">
        <v>1.86</v>
      </c>
      <c r="N42" s="45" t="n">
        <v>279</v>
      </c>
      <c r="O42" s="45" t="n">
        <f aca="false">ROUND(N42*'HS Summary'!$C$55,2)</f>
        <v>259.42</v>
      </c>
      <c r="P42" s="41"/>
    </row>
    <row r="43" customFormat="false" ht="15" hidden="false" customHeight="false" outlineLevel="0" collapsed="false">
      <c r="A43" s="40" t="n">
        <v>40</v>
      </c>
      <c r="B43" s="40" t="s">
        <v>59</v>
      </c>
      <c r="C43" s="41" t="s">
        <v>283</v>
      </c>
      <c r="D43" s="41" t="s">
        <v>60</v>
      </c>
      <c r="E43" s="41" t="s">
        <v>284</v>
      </c>
      <c r="F43" s="41" t="s">
        <v>188</v>
      </c>
      <c r="G43" s="42" t="n">
        <v>300</v>
      </c>
      <c r="H43" s="40" t="n">
        <v>6</v>
      </c>
      <c r="I43" s="43" t="n">
        <v>0.4</v>
      </c>
      <c r="J43" s="40" t="s">
        <v>157</v>
      </c>
      <c r="K43" s="44" t="n">
        <f aca="false">ROUND(G43*I43,3)</f>
        <v>120</v>
      </c>
      <c r="L43" s="44" t="n">
        <v>126</v>
      </c>
      <c r="M43" s="44" t="n">
        <v>4.35</v>
      </c>
      <c r="N43" s="45" t="n">
        <v>1305</v>
      </c>
      <c r="O43" s="45" t="n">
        <f aca="false">ROUND(N43*'HS Summary'!$C$55,2)</f>
        <v>1213.43</v>
      </c>
      <c r="P43" s="41"/>
    </row>
    <row r="44" customFormat="false" ht="15" hidden="false" customHeight="false" outlineLevel="0" collapsed="false">
      <c r="A44" s="40" t="n">
        <v>41</v>
      </c>
      <c r="B44" s="40" t="s">
        <v>61</v>
      </c>
      <c r="C44" s="41" t="s">
        <v>285</v>
      </c>
      <c r="D44" s="41" t="s">
        <v>62</v>
      </c>
      <c r="E44" s="41" t="s">
        <v>286</v>
      </c>
      <c r="F44" s="41" t="s">
        <v>188</v>
      </c>
      <c r="G44" s="42" t="n">
        <v>120</v>
      </c>
      <c r="H44" s="40" t="n">
        <v>4</v>
      </c>
      <c r="I44" s="43" t="n">
        <v>0.767</v>
      </c>
      <c r="J44" s="40" t="s">
        <v>157</v>
      </c>
      <c r="K44" s="44" t="n">
        <f aca="false">ROUND(G44*I44,3)</f>
        <v>92.04</v>
      </c>
      <c r="L44" s="44" t="n">
        <v>96</v>
      </c>
      <c r="M44" s="44" t="n">
        <v>7.55</v>
      </c>
      <c r="N44" s="45" t="n">
        <v>906</v>
      </c>
      <c r="O44" s="45" t="n">
        <f aca="false">ROUND(N44*'HS Summary'!$C$55,2)</f>
        <v>842.43</v>
      </c>
      <c r="P44" s="41"/>
    </row>
    <row r="45" customFormat="false" ht="15" hidden="false" customHeight="false" outlineLevel="0" collapsed="false">
      <c r="A45" s="40" t="n">
        <v>42</v>
      </c>
      <c r="B45" s="40" t="s">
        <v>79</v>
      </c>
      <c r="C45" s="41" t="s">
        <v>287</v>
      </c>
      <c r="D45" s="41" t="s">
        <v>80</v>
      </c>
      <c r="E45" s="41" t="s">
        <v>288</v>
      </c>
      <c r="F45" s="41"/>
      <c r="G45" s="42" t="n">
        <v>100</v>
      </c>
      <c r="H45" s="40" t="n">
        <v>10</v>
      </c>
      <c r="I45" s="43" t="n">
        <v>1.7</v>
      </c>
      <c r="J45" s="40" t="s">
        <v>157</v>
      </c>
      <c r="K45" s="44" t="n">
        <f aca="false">ROUND(G45*I45,3)</f>
        <v>170</v>
      </c>
      <c r="L45" s="44" t="n">
        <v>180</v>
      </c>
      <c r="M45" s="44" t="n">
        <v>5.955</v>
      </c>
      <c r="N45" s="45" t="n">
        <v>595.5</v>
      </c>
      <c r="O45" s="45" t="n">
        <f aca="false">ROUND(N45*'HS Summary'!$C$55,2)</f>
        <v>553.71</v>
      </c>
      <c r="P45" s="41"/>
    </row>
    <row r="46" customFormat="false" ht="15" hidden="false" customHeight="false" outlineLevel="0" collapsed="false">
      <c r="A46" s="40" t="n">
        <v>43</v>
      </c>
      <c r="B46" s="40" t="s">
        <v>113</v>
      </c>
      <c r="C46" s="41" t="s">
        <v>289</v>
      </c>
      <c r="D46" s="41" t="s">
        <v>114</v>
      </c>
      <c r="E46" s="41" t="s">
        <v>290</v>
      </c>
      <c r="F46" s="41" t="s">
        <v>170</v>
      </c>
      <c r="G46" s="42" t="n">
        <v>160</v>
      </c>
      <c r="H46" s="40" t="n">
        <v>4</v>
      </c>
      <c r="I46" s="43" t="n">
        <v>0.4</v>
      </c>
      <c r="J46" s="40" t="s">
        <v>157</v>
      </c>
      <c r="K46" s="44" t="n">
        <f aca="false">ROUND(G46*I46,3)</f>
        <v>64</v>
      </c>
      <c r="L46" s="44" t="n">
        <v>68</v>
      </c>
      <c r="M46" s="44" t="n">
        <v>1.025</v>
      </c>
      <c r="N46" s="45" t="n">
        <v>164</v>
      </c>
      <c r="O46" s="45" t="n">
        <f aca="false">ROUND(N46*'HS Summary'!$C$55,2)</f>
        <v>152.49</v>
      </c>
      <c r="P46" s="41"/>
    </row>
    <row r="47" customFormat="false" ht="32.8" hidden="false" customHeight="false" outlineLevel="0" collapsed="false">
      <c r="A47" s="40" t="n">
        <v>44</v>
      </c>
      <c r="B47" s="40" t="s">
        <v>38</v>
      </c>
      <c r="C47" s="41" t="s">
        <v>291</v>
      </c>
      <c r="D47" s="41" t="s">
        <v>292</v>
      </c>
      <c r="E47" s="41" t="s">
        <v>293</v>
      </c>
      <c r="F47" s="41" t="s">
        <v>294</v>
      </c>
      <c r="G47" s="42" t="n">
        <v>120</v>
      </c>
      <c r="H47" s="40" t="n">
        <v>3</v>
      </c>
      <c r="I47" s="43" t="n">
        <v>0.25</v>
      </c>
      <c r="J47" s="40" t="s">
        <v>157</v>
      </c>
      <c r="K47" s="44" t="n">
        <f aca="false">ROUND(G47*I47,3)</f>
        <v>30</v>
      </c>
      <c r="L47" s="44" t="n">
        <v>33</v>
      </c>
      <c r="M47" s="44" t="n">
        <v>2.88</v>
      </c>
      <c r="N47" s="45" t="n">
        <v>345.6</v>
      </c>
      <c r="O47" s="45" t="n">
        <f aca="false">ROUND(N47*'HS Summary'!$C$55,2)</f>
        <v>321.35</v>
      </c>
      <c r="P47" s="41"/>
    </row>
    <row r="48" customFormat="false" ht="64.15" hidden="false" customHeight="false" outlineLevel="0" collapsed="false">
      <c r="A48" s="40" t="n">
        <v>45</v>
      </c>
      <c r="B48" s="40" t="s">
        <v>74</v>
      </c>
      <c r="C48" s="41" t="s">
        <v>295</v>
      </c>
      <c r="D48" s="41" t="s">
        <v>75</v>
      </c>
      <c r="E48" s="41" t="s">
        <v>296</v>
      </c>
      <c r="F48" s="41" t="s">
        <v>297</v>
      </c>
      <c r="G48" s="42" t="n">
        <v>150</v>
      </c>
      <c r="H48" s="40" t="n">
        <v>3</v>
      </c>
      <c r="I48" s="43" t="n">
        <v>0.26</v>
      </c>
      <c r="J48" s="40" t="s">
        <v>157</v>
      </c>
      <c r="K48" s="44" t="n">
        <f aca="false">ROUND(G48*I48,3)</f>
        <v>39</v>
      </c>
      <c r="L48" s="44" t="n">
        <v>42</v>
      </c>
      <c r="M48" s="44" t="n">
        <v>4.304</v>
      </c>
      <c r="N48" s="45" t="n">
        <v>645.6</v>
      </c>
      <c r="O48" s="45" t="n">
        <f aca="false">ROUND(N48*'HS Summary'!$C$55,2)</f>
        <v>600.3</v>
      </c>
      <c r="P48" s="41"/>
    </row>
    <row r="49" customFormat="false" ht="15" hidden="false" customHeight="false" outlineLevel="0" collapsed="false">
      <c r="A49" s="40" t="n">
        <v>46</v>
      </c>
      <c r="B49" s="40" t="s">
        <v>55</v>
      </c>
      <c r="C49" s="41" t="s">
        <v>298</v>
      </c>
      <c r="D49" s="41" t="s">
        <v>299</v>
      </c>
      <c r="E49" s="41" t="s">
        <v>300</v>
      </c>
      <c r="F49" s="41" t="s">
        <v>301</v>
      </c>
      <c r="G49" s="42" t="n">
        <v>400</v>
      </c>
      <c r="H49" s="40" t="n">
        <v>4</v>
      </c>
      <c r="I49" s="43" t="n">
        <v>0.06</v>
      </c>
      <c r="J49" s="40" t="s">
        <v>157</v>
      </c>
      <c r="K49" s="44" t="n">
        <f aca="false">ROUND(G49*I49,3)</f>
        <v>24</v>
      </c>
      <c r="L49" s="44" t="n">
        <v>28</v>
      </c>
      <c r="M49" s="44" t="n">
        <v>1.55</v>
      </c>
      <c r="N49" s="45" t="n">
        <v>620</v>
      </c>
      <c r="O49" s="45" t="n">
        <f aca="false">ROUND(N49*'HS Summary'!$C$55,2)</f>
        <v>576.49</v>
      </c>
      <c r="P49" s="41"/>
    </row>
    <row r="50" customFormat="false" ht="15" hidden="false" customHeight="false" outlineLevel="0" collapsed="false">
      <c r="A50" s="40" t="n">
        <v>47</v>
      </c>
      <c r="B50" s="40" t="s">
        <v>57</v>
      </c>
      <c r="C50" s="41" t="s">
        <v>302</v>
      </c>
      <c r="D50" s="41" t="s">
        <v>58</v>
      </c>
      <c r="E50" s="41" t="s">
        <v>303</v>
      </c>
      <c r="F50" s="41" t="s">
        <v>304</v>
      </c>
      <c r="G50" s="42" t="n">
        <v>1500</v>
      </c>
      <c r="H50" s="40" t="n">
        <v>7</v>
      </c>
      <c r="I50" s="43" t="n">
        <v>0.126</v>
      </c>
      <c r="J50" s="40" t="s">
        <v>157</v>
      </c>
      <c r="K50" s="44" t="n">
        <f aca="false">ROUND(G50*I50,3)</f>
        <v>189</v>
      </c>
      <c r="L50" s="44" t="n">
        <v>196.262</v>
      </c>
      <c r="M50" s="44" t="n">
        <v>0.917</v>
      </c>
      <c r="N50" s="45" t="n">
        <v>1375.5</v>
      </c>
      <c r="O50" s="45" t="n">
        <f aca="false">ROUND(N50*'HS Summary'!$C$55,2)</f>
        <v>1278.98</v>
      </c>
      <c r="P50" s="41"/>
    </row>
    <row r="51" customFormat="false" ht="15" hidden="false" customHeight="false" outlineLevel="0" collapsed="false">
      <c r="A51" s="40" t="n">
        <v>48</v>
      </c>
      <c r="B51" s="40" t="s">
        <v>44</v>
      </c>
      <c r="C51" s="41" t="s">
        <v>305</v>
      </c>
      <c r="D51" s="41" t="s">
        <v>306</v>
      </c>
      <c r="E51" s="41" t="s">
        <v>307</v>
      </c>
      <c r="F51" s="41"/>
      <c r="G51" s="42" t="n">
        <v>504</v>
      </c>
      <c r="H51" s="40" t="n">
        <v>21</v>
      </c>
      <c r="I51" s="43" t="n">
        <v>0.333</v>
      </c>
      <c r="J51" s="40" t="s">
        <v>157</v>
      </c>
      <c r="K51" s="44" t="n">
        <f aca="false">ROUND(G51*I51,3)</f>
        <v>167.832</v>
      </c>
      <c r="L51" s="44" t="n">
        <v>189</v>
      </c>
      <c r="M51" s="44" t="n">
        <v>1.571</v>
      </c>
      <c r="N51" s="45" t="n">
        <v>791.8</v>
      </c>
      <c r="O51" s="45" t="n">
        <f aca="false">ROUND(N51*'HS Summary'!$C$55,2)</f>
        <v>736.24</v>
      </c>
      <c r="P51" s="41"/>
    </row>
    <row r="52" customFormat="false" ht="15" hidden="false" customHeight="false" outlineLevel="0" collapsed="false">
      <c r="A52" s="40" t="n">
        <v>49</v>
      </c>
      <c r="B52" s="40" t="s">
        <v>104</v>
      </c>
      <c r="C52" s="41" t="s">
        <v>308</v>
      </c>
      <c r="D52" s="41" t="s">
        <v>105</v>
      </c>
      <c r="E52" s="41" t="s">
        <v>309</v>
      </c>
      <c r="F52" s="41" t="s">
        <v>257</v>
      </c>
      <c r="G52" s="42" t="n">
        <v>420</v>
      </c>
      <c r="H52" s="40" t="n">
        <v>7</v>
      </c>
      <c r="I52" s="43" t="n">
        <v>0.167</v>
      </c>
      <c r="J52" s="40" t="s">
        <v>157</v>
      </c>
      <c r="K52" s="44" t="n">
        <f aca="false">ROUND(G52*I52,3)</f>
        <v>70.14</v>
      </c>
      <c r="L52" s="44" t="n">
        <v>77</v>
      </c>
      <c r="M52" s="44" t="n">
        <v>0.637</v>
      </c>
      <c r="N52" s="45" t="n">
        <v>267.5</v>
      </c>
      <c r="O52" s="45" t="n">
        <f aca="false">ROUND(N52*'HS Summary'!$C$55,2)</f>
        <v>248.73</v>
      </c>
      <c r="P52" s="41"/>
    </row>
    <row r="53" customFormat="false" ht="22.35" hidden="false" customHeight="false" outlineLevel="0" collapsed="false">
      <c r="A53" s="40" t="n">
        <v>50</v>
      </c>
      <c r="B53" s="40" t="s">
        <v>24</v>
      </c>
      <c r="C53" s="41" t="s">
        <v>310</v>
      </c>
      <c r="D53" s="41" t="s">
        <v>311</v>
      </c>
      <c r="E53" s="41" t="s">
        <v>312</v>
      </c>
      <c r="F53" s="41"/>
      <c r="G53" s="42" t="n">
        <v>168</v>
      </c>
      <c r="H53" s="40" t="n">
        <v>1</v>
      </c>
      <c r="I53" s="43" t="n">
        <v>0.167</v>
      </c>
      <c r="J53" s="40" t="s">
        <v>157</v>
      </c>
      <c r="K53" s="44" t="n">
        <f aca="false">ROUND(G53*I53,3)</f>
        <v>28.056</v>
      </c>
      <c r="L53" s="44" t="n">
        <v>29</v>
      </c>
      <c r="M53" s="44" t="n">
        <v>0.857</v>
      </c>
      <c r="N53" s="45" t="n">
        <v>144</v>
      </c>
      <c r="O53" s="45" t="n">
        <f aca="false">ROUND(N53*'HS Summary'!$C$55,2)</f>
        <v>133.9</v>
      </c>
      <c r="P53" s="41"/>
    </row>
    <row r="54" customFormat="false" ht="15" hidden="false" customHeight="false" outlineLevel="0" collapsed="false">
      <c r="A54" s="40" t="n">
        <v>51</v>
      </c>
      <c r="B54" s="40" t="s">
        <v>38</v>
      </c>
      <c r="C54" s="41" t="s">
        <v>313</v>
      </c>
      <c r="D54" s="41" t="s">
        <v>314</v>
      </c>
      <c r="E54" s="41" t="s">
        <v>315</v>
      </c>
      <c r="F54" s="41" t="s">
        <v>316</v>
      </c>
      <c r="G54" s="42" t="n">
        <v>500</v>
      </c>
      <c r="H54" s="40" t="n">
        <v>3</v>
      </c>
      <c r="I54" s="43" t="n">
        <v>0.061</v>
      </c>
      <c r="J54" s="40" t="s">
        <v>157</v>
      </c>
      <c r="K54" s="44" t="n">
        <f aca="false">ROUND(G54*I54,3)</f>
        <v>30.5</v>
      </c>
      <c r="L54" s="44" t="n">
        <v>33.333</v>
      </c>
      <c r="M54" s="44" t="n">
        <v>0.727</v>
      </c>
      <c r="N54" s="45" t="n">
        <v>363.5</v>
      </c>
      <c r="O54" s="45" t="n">
        <f aca="false">ROUND(N54*'HS Summary'!$C$55,2)</f>
        <v>337.99</v>
      </c>
      <c r="P54" s="41"/>
    </row>
    <row r="55" customFormat="false" ht="15" hidden="false" customHeight="false" outlineLevel="0" collapsed="false">
      <c r="A55" s="40" t="n">
        <v>52</v>
      </c>
      <c r="B55" s="40" t="s">
        <v>83</v>
      </c>
      <c r="C55" s="41" t="s">
        <v>317</v>
      </c>
      <c r="D55" s="41" t="s">
        <v>84</v>
      </c>
      <c r="E55" s="41" t="s">
        <v>318</v>
      </c>
      <c r="F55" s="41" t="s">
        <v>183</v>
      </c>
      <c r="G55" s="42" t="n">
        <v>96</v>
      </c>
      <c r="H55" s="40" t="n">
        <v>12</v>
      </c>
      <c r="I55" s="43" t="n">
        <v>1.25</v>
      </c>
      <c r="J55" s="40" t="s">
        <v>157</v>
      </c>
      <c r="K55" s="44" t="n">
        <f aca="false">ROUND(G55*I55,3)</f>
        <v>120</v>
      </c>
      <c r="L55" s="44" t="n">
        <v>132</v>
      </c>
      <c r="M55" s="44" t="n">
        <v>5.454</v>
      </c>
      <c r="N55" s="45" t="n">
        <v>523.6</v>
      </c>
      <c r="O55" s="45" t="n">
        <f aca="false">ROUND(N55*'HS Summary'!$C$55,2)</f>
        <v>486.86</v>
      </c>
      <c r="P55" s="41"/>
    </row>
    <row r="56" customFormat="false" ht="22.35" hidden="false" customHeight="false" outlineLevel="0" collapsed="false">
      <c r="A56" s="40" t="n">
        <v>53</v>
      </c>
      <c r="B56" s="40" t="s">
        <v>98</v>
      </c>
      <c r="C56" s="41" t="s">
        <v>319</v>
      </c>
      <c r="D56" s="41" t="s">
        <v>99</v>
      </c>
      <c r="E56" s="41" t="s">
        <v>320</v>
      </c>
      <c r="F56" s="41" t="s">
        <v>170</v>
      </c>
      <c r="G56" s="42" t="n">
        <v>420</v>
      </c>
      <c r="H56" s="40" t="n">
        <v>3</v>
      </c>
      <c r="I56" s="43" t="n">
        <v>0.1</v>
      </c>
      <c r="J56" s="40" t="s">
        <v>157</v>
      </c>
      <c r="K56" s="44" t="n">
        <f aca="false">ROUND(G56*I56,3)</f>
        <v>42</v>
      </c>
      <c r="L56" s="44" t="n">
        <v>45</v>
      </c>
      <c r="M56" s="44" t="n">
        <v>0.72</v>
      </c>
      <c r="N56" s="45" t="n">
        <v>302.4</v>
      </c>
      <c r="O56" s="45" t="n">
        <f aca="false">ROUND(N56*'HS Summary'!$C$55,2)</f>
        <v>281.18</v>
      </c>
      <c r="P56" s="41"/>
    </row>
    <row r="57" customFormat="false" ht="43.25" hidden="false" customHeight="false" outlineLevel="0" collapsed="false">
      <c r="A57" s="40" t="n">
        <v>54</v>
      </c>
      <c r="B57" s="40" t="s">
        <v>26</v>
      </c>
      <c r="C57" s="41" t="s">
        <v>321</v>
      </c>
      <c r="D57" s="41" t="s">
        <v>322</v>
      </c>
      <c r="E57" s="41" t="s">
        <v>323</v>
      </c>
      <c r="F57" s="41" t="s">
        <v>324</v>
      </c>
      <c r="G57" s="42" t="n">
        <v>120</v>
      </c>
      <c r="H57" s="40" t="n">
        <v>2</v>
      </c>
      <c r="I57" s="43" t="n">
        <v>0.35</v>
      </c>
      <c r="J57" s="40" t="s">
        <v>157</v>
      </c>
      <c r="K57" s="44" t="n">
        <f aca="false">ROUND(G57*I57,3)</f>
        <v>42</v>
      </c>
      <c r="L57" s="44" t="n">
        <v>44</v>
      </c>
      <c r="M57" s="44" t="n">
        <v>1.7</v>
      </c>
      <c r="N57" s="45" t="n">
        <v>204</v>
      </c>
      <c r="O57" s="45" t="n">
        <f aca="false">ROUND(N57*'HS Summary'!$C$55,2)</f>
        <v>189.69</v>
      </c>
      <c r="P57" s="41"/>
    </row>
    <row r="58" customFormat="false" ht="22.35" hidden="false" customHeight="false" outlineLevel="0" collapsed="false">
      <c r="A58" s="40" t="n">
        <v>55</v>
      </c>
      <c r="B58" s="40" t="s">
        <v>90</v>
      </c>
      <c r="C58" s="41" t="s">
        <v>325</v>
      </c>
      <c r="D58" s="41" t="s">
        <v>91</v>
      </c>
      <c r="E58" s="41" t="s">
        <v>326</v>
      </c>
      <c r="F58" s="41" t="s">
        <v>327</v>
      </c>
      <c r="G58" s="42" t="n">
        <v>960</v>
      </c>
      <c r="H58" s="40" t="n">
        <v>3</v>
      </c>
      <c r="I58" s="43" t="n">
        <v>0.034</v>
      </c>
      <c r="J58" s="40" t="s">
        <v>157</v>
      </c>
      <c r="K58" s="44" t="n">
        <f aca="false">ROUND(G58*I58,3)</f>
        <v>32.64</v>
      </c>
      <c r="L58" s="44" t="n">
        <v>36</v>
      </c>
      <c r="M58" s="44" t="n">
        <v>0.503</v>
      </c>
      <c r="N58" s="45" t="n">
        <v>482.9</v>
      </c>
      <c r="O58" s="45" t="n">
        <f aca="false">ROUND(N58*'HS Summary'!$C$55,2)</f>
        <v>449.01</v>
      </c>
      <c r="P58" s="41"/>
    </row>
    <row r="59" customFormat="false" ht="22.35" hidden="false" customHeight="false" outlineLevel="0" collapsed="false">
      <c r="A59" s="40" t="n">
        <v>56</v>
      </c>
      <c r="B59" s="40" t="s">
        <v>76</v>
      </c>
      <c r="C59" s="41" t="s">
        <v>328</v>
      </c>
      <c r="D59" s="41" t="s">
        <v>77</v>
      </c>
      <c r="E59" s="41" t="s">
        <v>329</v>
      </c>
      <c r="F59" s="41" t="s">
        <v>330</v>
      </c>
      <c r="G59" s="42" t="n">
        <v>144</v>
      </c>
      <c r="H59" s="40" t="n">
        <v>12</v>
      </c>
      <c r="I59" s="43" t="n">
        <v>2.417</v>
      </c>
      <c r="J59" s="40" t="s">
        <v>157</v>
      </c>
      <c r="K59" s="44" t="n">
        <f aca="false">ROUND(G59*I59,3)</f>
        <v>348.048</v>
      </c>
      <c r="L59" s="44" t="n">
        <v>360</v>
      </c>
      <c r="M59" s="44" t="n">
        <v>4.446</v>
      </c>
      <c r="N59" s="45" t="n">
        <v>640.2</v>
      </c>
      <c r="O59" s="45" t="n">
        <f aca="false">ROUND(N59*'HS Summary'!$C$55,2)</f>
        <v>595.28</v>
      </c>
      <c r="P59" s="41"/>
    </row>
    <row r="60" customFormat="false" ht="15" hidden="false" customHeight="false" outlineLevel="0" collapsed="false">
      <c r="A60" s="40" t="n">
        <v>57</v>
      </c>
      <c r="B60" s="40" t="s">
        <v>34</v>
      </c>
      <c r="C60" s="41" t="s">
        <v>331</v>
      </c>
      <c r="D60" s="41" t="s">
        <v>35</v>
      </c>
      <c r="E60" s="41" t="s">
        <v>332</v>
      </c>
      <c r="F60" s="41" t="s">
        <v>333</v>
      </c>
      <c r="G60" s="42" t="n">
        <v>900</v>
      </c>
      <c r="H60" s="40" t="n">
        <v>18</v>
      </c>
      <c r="I60" s="43" t="n">
        <v>0.4</v>
      </c>
      <c r="J60" s="40" t="s">
        <v>157</v>
      </c>
      <c r="K60" s="44" t="n">
        <f aca="false">ROUND(G60*I60,3)</f>
        <v>360</v>
      </c>
      <c r="L60" s="44" t="n">
        <v>378</v>
      </c>
      <c r="M60" s="44" t="n">
        <v>4.28</v>
      </c>
      <c r="N60" s="45" t="n">
        <v>3852</v>
      </c>
      <c r="O60" s="45" t="n">
        <f aca="false">ROUND(N60*'HS Summary'!$C$55,2)</f>
        <v>3581.7</v>
      </c>
      <c r="P60" s="41"/>
    </row>
    <row r="61" customFormat="false" ht="22.35" hidden="false" customHeight="false" outlineLevel="0" collapsed="false">
      <c r="A61" s="40" t="n">
        <v>58</v>
      </c>
      <c r="B61" s="40" t="s">
        <v>30</v>
      </c>
      <c r="C61" s="41" t="s">
        <v>334</v>
      </c>
      <c r="D61" s="41" t="s">
        <v>31</v>
      </c>
      <c r="E61" s="41" t="s">
        <v>335</v>
      </c>
      <c r="F61" s="41" t="s">
        <v>188</v>
      </c>
      <c r="G61" s="42" t="n">
        <v>2100</v>
      </c>
      <c r="H61" s="40" t="n">
        <v>42</v>
      </c>
      <c r="I61" s="43" t="n">
        <v>0.42</v>
      </c>
      <c r="J61" s="40" t="s">
        <v>157</v>
      </c>
      <c r="K61" s="44" t="n">
        <f aca="false">ROUND(G61*I61,3)</f>
        <v>882</v>
      </c>
      <c r="L61" s="44" t="n">
        <v>924</v>
      </c>
      <c r="M61" s="44" t="n">
        <v>2.048</v>
      </c>
      <c r="N61" s="45" t="n">
        <v>4300.8</v>
      </c>
      <c r="O61" s="45" t="n">
        <f aca="false">ROUND(N61*'HS Summary'!$C$55,2)</f>
        <v>3999.01</v>
      </c>
      <c r="P61" s="41"/>
    </row>
    <row r="62" customFormat="false" ht="15" hidden="false" customHeight="false" outlineLevel="0" collapsed="false">
      <c r="A62" s="40" t="n">
        <v>59</v>
      </c>
      <c r="B62" s="40" t="s">
        <v>32</v>
      </c>
      <c r="C62" s="41" t="s">
        <v>336</v>
      </c>
      <c r="D62" s="41" t="s">
        <v>33</v>
      </c>
      <c r="E62" s="41" t="s">
        <v>337</v>
      </c>
      <c r="F62" s="41" t="s">
        <v>338</v>
      </c>
      <c r="G62" s="42" t="n">
        <v>4350</v>
      </c>
      <c r="H62" s="40" t="n">
        <v>21</v>
      </c>
      <c r="I62" s="43" t="n">
        <v>0.1</v>
      </c>
      <c r="J62" s="40" t="s">
        <v>157</v>
      </c>
      <c r="K62" s="44" t="n">
        <f aca="false">ROUND(G62*I62,3)</f>
        <v>435</v>
      </c>
      <c r="L62" s="44" t="n">
        <v>456.75</v>
      </c>
      <c r="M62" s="44" t="n">
        <v>0.958</v>
      </c>
      <c r="N62" s="45" t="n">
        <v>4167.3</v>
      </c>
      <c r="O62" s="45" t="n">
        <f aca="false">ROUND(N62*'HS Summary'!$C$55,2)</f>
        <v>3874.88</v>
      </c>
      <c r="P62" s="41"/>
    </row>
    <row r="63" customFormat="false" ht="15" hidden="false" customHeight="false" outlineLevel="0" collapsed="false">
      <c r="A63" s="40" t="n">
        <v>60</v>
      </c>
      <c r="B63" s="40" t="s">
        <v>46</v>
      </c>
      <c r="C63" s="41" t="s">
        <v>339</v>
      </c>
      <c r="D63" s="41" t="s">
        <v>47</v>
      </c>
      <c r="E63" s="41" t="s">
        <v>340</v>
      </c>
      <c r="F63" s="41" t="s">
        <v>341</v>
      </c>
      <c r="G63" s="42" t="n">
        <v>1200</v>
      </c>
      <c r="H63" s="40" t="n">
        <v>15</v>
      </c>
      <c r="I63" s="43" t="n">
        <v>0.213</v>
      </c>
      <c r="J63" s="40" t="s">
        <v>157</v>
      </c>
      <c r="K63" s="44" t="n">
        <f aca="false">ROUND(G63*I63,3)</f>
        <v>255.6</v>
      </c>
      <c r="L63" s="44" t="n">
        <v>270</v>
      </c>
      <c r="M63" s="44" t="n">
        <v>1.53</v>
      </c>
      <c r="N63" s="45" t="n">
        <v>1836</v>
      </c>
      <c r="O63" s="45" t="n">
        <f aca="false">ROUND(N63*'HS Summary'!$C$55,2)</f>
        <v>1707.17</v>
      </c>
      <c r="P63" s="41"/>
    </row>
    <row r="64" customFormat="false" ht="15" hidden="false" customHeight="false" outlineLevel="0" collapsed="false">
      <c r="A64" s="29" t="s">
        <v>115</v>
      </c>
      <c r="B64" s="29"/>
      <c r="C64" s="29"/>
      <c r="D64" s="29"/>
      <c r="E64" s="29"/>
      <c r="F64" s="29"/>
      <c r="G64" s="30" t="n">
        <f aca="false">SUM(G4:G63)</f>
        <v>57134</v>
      </c>
      <c r="H64" s="29" t="n">
        <f aca="false">SUM(H4:H63)</f>
        <v>608</v>
      </c>
      <c r="I64" s="29"/>
      <c r="J64" s="29"/>
      <c r="K64" s="31" t="n">
        <f aca="false">ROUND(SUM(K4:K63),3)</f>
        <v>9935.941</v>
      </c>
      <c r="L64" s="31" t="n">
        <f aca="false">ROUND(SUM(L4:L63),3)</f>
        <v>10480.778</v>
      </c>
      <c r="M64" s="29"/>
      <c r="N64" s="32" t="n">
        <f aca="false">ROUND(SUM(N4:N63),2)</f>
        <v>81320.3</v>
      </c>
      <c r="O64" s="32" t="n">
        <f aca="false">ROUND(SUM(O4:O63),2)</f>
        <v>75614</v>
      </c>
      <c r="P64" s="29"/>
    </row>
  </sheetData>
  <autoFilter ref="A3:P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342</v>
      </c>
    </row>
    <row r="3" customFormat="false" ht="19.5" hidden="false" customHeight="true" outlineLevel="0" collapsed="false">
      <c r="A3" s="53" t="s">
        <v>343</v>
      </c>
    </row>
    <row r="4" customFormat="false" ht="25.5" hidden="false" customHeight="true" outlineLevel="0" collapsed="false">
      <c r="A4" s="54" t="s">
        <v>344</v>
      </c>
    </row>
    <row r="5" customFormat="false" ht="15" hidden="false" customHeight="true" outlineLevel="0" collapsed="false">
      <c r="A5" s="54" t="s">
        <v>345</v>
      </c>
    </row>
    <row r="6" customFormat="false" ht="15" hidden="false" customHeight="true" outlineLevel="0" collapsed="false">
      <c r="A6" s="54"/>
    </row>
    <row r="7" customFormat="false" ht="25.5" hidden="false" customHeight="true" outlineLevel="0" collapsed="false">
      <c r="A7" s="54" t="s">
        <v>346</v>
      </c>
    </row>
    <row r="8" customFormat="false" ht="25.5" hidden="false" customHeight="true" outlineLevel="0" collapsed="false">
      <c r="A8" s="54" t="s">
        <v>347</v>
      </c>
    </row>
    <row r="9" customFormat="false" ht="15" hidden="false" customHeight="true" outlineLevel="0" collapsed="false">
      <c r="A9" s="54" t="s">
        <v>348</v>
      </c>
    </row>
    <row r="10" customFormat="false" ht="15" hidden="false" customHeight="true" outlineLevel="0" collapsed="false">
      <c r="A10" s="54"/>
    </row>
    <row r="11" customFormat="false" ht="15" hidden="false" customHeight="true" outlineLevel="0" collapsed="false">
      <c r="A11" s="54" t="s">
        <v>349</v>
      </c>
    </row>
    <row r="12" customFormat="false" ht="25.5" hidden="false" customHeight="true" outlineLevel="0" collapsed="false">
      <c r="A12" s="54" t="s">
        <v>350</v>
      </c>
    </row>
    <row r="13" customFormat="false" ht="25.5" hidden="false" customHeight="true" outlineLevel="0" collapsed="false">
      <c r="A13" s="54" t="s">
        <v>351</v>
      </c>
    </row>
    <row r="14" customFormat="false" ht="15" hidden="false" customHeight="true" outlineLevel="0" collapsed="false">
      <c r="A14" s="54"/>
    </row>
    <row r="15" customFormat="false" ht="15" hidden="false" customHeight="true" outlineLevel="0" collapsed="false">
      <c r="A15" s="54" t="s">
        <v>352</v>
      </c>
    </row>
    <row r="17" customFormat="false" ht="19.5" hidden="false" customHeight="true" outlineLevel="0" collapsed="false">
      <c r="A17" s="55" t="s">
        <v>353</v>
      </c>
    </row>
    <row r="18" customFormat="false" ht="25.5" hidden="false" customHeight="true" outlineLevel="0" collapsed="false">
      <c r="A18" s="54" t="s">
        <v>354</v>
      </c>
    </row>
    <row r="19" customFormat="false" ht="25.5" hidden="false" customHeight="true" outlineLevel="0" collapsed="false">
      <c r="A19" s="54" t="s">
        <v>355</v>
      </c>
    </row>
    <row r="20" customFormat="false" ht="15" hidden="false" customHeight="true" outlineLevel="0" collapsed="false">
      <c r="A20" s="54"/>
    </row>
    <row r="21" customFormat="false" ht="25.5" hidden="false" customHeight="true" outlineLevel="0" collapsed="false">
      <c r="A21" s="54" t="s">
        <v>356</v>
      </c>
    </row>
    <row r="22" customFormat="false" ht="25.5" hidden="false" customHeight="true" outlineLevel="0" collapsed="false">
      <c r="A22" s="54" t="s">
        <v>357</v>
      </c>
    </row>
    <row r="23" customFormat="false" ht="25.5" hidden="false" customHeight="true" outlineLevel="0" collapsed="false">
      <c r="A23" s="54" t="s">
        <v>358</v>
      </c>
    </row>
    <row r="24" customFormat="false" ht="25.5" hidden="false" customHeight="true" outlineLevel="0" collapsed="false">
      <c r="A24" s="54" t="s">
        <v>359</v>
      </c>
    </row>
    <row r="26" customFormat="false" ht="19.5" hidden="false" customHeight="true" outlineLevel="0" collapsed="false">
      <c r="A26" s="56" t="s">
        <v>360</v>
      </c>
    </row>
    <row r="27" customFormat="false" ht="15" hidden="false" customHeight="true" outlineLevel="0" collapsed="false">
      <c r="A27" s="54" t="s">
        <v>361</v>
      </c>
    </row>
    <row r="28" customFormat="false" ht="25.5" hidden="false" customHeight="true" outlineLevel="0" collapsed="false">
      <c r="A28" s="54" t="s">
        <v>362</v>
      </c>
    </row>
    <row r="29" customFormat="false" ht="15" hidden="false" customHeight="true" outlineLevel="0" collapsed="false">
      <c r="A29" s="54" t="s">
        <v>363</v>
      </c>
    </row>
    <row r="30" customFormat="false" ht="15" hidden="false" customHeight="true" outlineLevel="0" collapsed="false">
      <c r="A30" s="54"/>
    </row>
    <row r="31" customFormat="false" ht="15" hidden="false" customHeight="true" outlineLevel="0" collapsed="false">
      <c r="A31" s="54" t="s">
        <v>364</v>
      </c>
    </row>
    <row r="32" customFormat="false" ht="25.5" hidden="false" customHeight="true" outlineLevel="0" collapsed="false">
      <c r="A32" s="54" t="s">
        <v>365</v>
      </c>
    </row>
    <row r="33" customFormat="false" ht="25.5" hidden="false" customHeight="true" outlineLevel="0" collapsed="false">
      <c r="A33" s="54" t="s">
        <v>366</v>
      </c>
    </row>
    <row r="34" customFormat="false" ht="15" hidden="false" customHeight="true" outlineLevel="0" collapsed="false">
      <c r="A34" s="54" t="s">
        <v>367</v>
      </c>
    </row>
    <row r="36" customFormat="false" ht="19.5" hidden="false" customHeight="true" outlineLevel="0" collapsed="false">
      <c r="A36" s="56" t="s">
        <v>368</v>
      </c>
    </row>
    <row r="37" customFormat="false" ht="25.5" hidden="false" customHeight="true" outlineLevel="0" collapsed="false">
      <c r="A37" s="54" t="s">
        <v>369</v>
      </c>
    </row>
    <row r="38" customFormat="false" ht="15" hidden="false" customHeight="true" outlineLevel="0" collapsed="false">
      <c r="A38" s="54" t="s">
        <v>370</v>
      </c>
    </row>
    <row r="39" customFormat="false" ht="25.5" hidden="false" customHeight="true" outlineLevel="0" collapsed="false">
      <c r="A39" s="54" t="s">
        <v>371</v>
      </c>
    </row>
    <row r="40" customFormat="false" ht="15" hidden="false" customHeight="true" outlineLevel="0" collapsed="false">
      <c r="A40" s="54" t="s">
        <v>372</v>
      </c>
    </row>
    <row r="41" customFormat="false" ht="15" hidden="false" customHeight="true" outlineLevel="0" collapsed="false">
      <c r="A41" s="54" t="s">
        <v>373</v>
      </c>
    </row>
    <row r="43" customFormat="false" ht="19.5" hidden="false" customHeight="true" outlineLevel="0" collapsed="false">
      <c r="A43" s="56" t="s">
        <v>374</v>
      </c>
    </row>
    <row r="44" customFormat="false" ht="25.5" hidden="false" customHeight="true" outlineLevel="0" collapsed="false">
      <c r="A44" s="54" t="s">
        <v>375</v>
      </c>
    </row>
    <row r="45" customFormat="false" ht="25.5" hidden="false" customHeight="true" outlineLevel="0" collapsed="false">
      <c r="A45" s="54" t="s">
        <v>376</v>
      </c>
    </row>
    <row r="46" customFormat="false" ht="25.5" hidden="false" customHeight="true" outlineLevel="0" collapsed="false">
      <c r="A46" s="54" t="s">
        <v>377</v>
      </c>
    </row>
    <row r="47" customFormat="false" ht="25.5" hidden="false" customHeight="true" outlineLevel="0" collapsed="false">
      <c r="A47" s="54" t="s">
        <v>378</v>
      </c>
    </row>
    <row r="48" customFormat="false" ht="15" hidden="false" customHeight="true" outlineLevel="0" collapsed="false">
      <c r="A48" s="54" t="s">
        <v>379</v>
      </c>
    </row>
    <row r="50" customFormat="false" ht="19.5" hidden="false" customHeight="true" outlineLevel="0" collapsed="false">
      <c r="A50" s="57" t="s">
        <v>380</v>
      </c>
    </row>
    <row r="51" customFormat="false" ht="25.5" hidden="false" customHeight="true" outlineLevel="0" collapsed="false">
      <c r="A51" s="54" t="s">
        <v>381</v>
      </c>
    </row>
    <row r="52" customFormat="false" ht="15" hidden="false" customHeight="true" outlineLevel="0" collapsed="false">
      <c r="A52" s="54" t="s">
        <v>382</v>
      </c>
    </row>
    <row r="53" customFormat="false" ht="15" hidden="false" customHeight="true" outlineLevel="0" collapsed="false">
      <c r="A53" s="54" t="s">
        <v>383</v>
      </c>
    </row>
    <row r="54" customFormat="false" ht="15" hidden="false" customHeight="true" outlineLevel="0" collapsed="false">
      <c r="A54" s="54" t="s">
        <v>384</v>
      </c>
    </row>
    <row r="55" customFormat="false" ht="15" hidden="false" customHeight="true" outlineLevel="0" collapsed="false">
      <c r="A55" s="54" t="s">
        <v>385</v>
      </c>
    </row>
    <row r="57" customFormat="false" ht="19.5" hidden="false" customHeight="true" outlineLevel="0" collapsed="false">
      <c r="A57" s="57" t="s">
        <v>386</v>
      </c>
    </row>
    <row r="58" customFormat="false" ht="25.5" hidden="false" customHeight="true" outlineLevel="0" collapsed="false">
      <c r="A58" s="54" t="s">
        <v>387</v>
      </c>
    </row>
    <row r="59" customFormat="false" ht="25.5" hidden="false" customHeight="true" outlineLevel="0" collapsed="false">
      <c r="A59" s="54" t="s">
        <v>388</v>
      </c>
    </row>
    <row r="60" customFormat="false" ht="25.5" hidden="false" customHeight="true" outlineLevel="0" collapsed="false">
      <c r="A60" s="54" t="s">
        <v>389</v>
      </c>
    </row>
    <row r="61" customFormat="false" ht="15" hidden="false" customHeight="true" outlineLevel="0" collapsed="false">
      <c r="A61" s="54" t="s">
        <v>390</v>
      </c>
    </row>
    <row r="63" customFormat="false" ht="19.5" hidden="false" customHeight="true" outlineLevel="0" collapsed="false">
      <c r="A63" s="55" t="s">
        <v>391</v>
      </c>
    </row>
    <row r="64" customFormat="false" ht="15" hidden="false" customHeight="true" outlineLevel="0" collapsed="false">
      <c r="A64" s="54" t="s">
        <v>392</v>
      </c>
    </row>
    <row r="65" customFormat="false" ht="15" hidden="false" customHeight="true" outlineLevel="0" collapsed="false">
      <c r="A65" s="54" t="s">
        <v>393</v>
      </c>
    </row>
    <row r="66" customFormat="false" ht="15" hidden="false" customHeight="true" outlineLevel="0" collapsed="false">
      <c r="A66" s="54" t="s">
        <v>394</v>
      </c>
    </row>
    <row r="67" customFormat="false" ht="25.5" hidden="false" customHeight="true" outlineLevel="0" collapsed="false">
      <c r="A67" s="54" t="s">
        <v>395</v>
      </c>
    </row>
    <row r="68" customFormat="false" ht="25.5" hidden="false" customHeight="true" outlineLevel="0" collapsed="false">
      <c r="A68" s="54" t="s">
        <v>396</v>
      </c>
    </row>
    <row r="70" customFormat="false" ht="19.5" hidden="false" customHeight="true" outlineLevel="0" collapsed="false">
      <c r="A70" s="55" t="s">
        <v>12</v>
      </c>
    </row>
    <row r="71" customFormat="false" ht="15" hidden="false" customHeight="true" outlineLevel="0" collapsed="false">
      <c r="A71" s="54" t="s">
        <v>397</v>
      </c>
    </row>
    <row r="72" customFormat="false" ht="15" hidden="false" customHeight="true" outlineLevel="0" collapsed="false">
      <c r="A72" s="54" t="s">
        <v>398</v>
      </c>
    </row>
    <row r="73" customFormat="false" ht="25.5" hidden="false" customHeight="true" outlineLevel="0" collapsed="false">
      <c r="A73" s="54" t="s">
        <v>399</v>
      </c>
    </row>
    <row r="74" customFormat="false" ht="25.5" hidden="false" customHeight="true" outlineLevel="0" collapsed="false">
      <c r="A74" s="54" t="s">
        <v>400</v>
      </c>
    </row>
    <row r="76" customFormat="false" ht="19.5" hidden="false" customHeight="true" outlineLevel="0" collapsed="false">
      <c r="A76" s="55" t="s">
        <v>401</v>
      </c>
    </row>
    <row r="77" customFormat="false" ht="15" hidden="false" customHeight="true" outlineLevel="0" collapsed="false">
      <c r="A77" s="54" t="s">
        <v>402</v>
      </c>
    </row>
    <row r="78" customFormat="false" ht="25.5" hidden="false" customHeight="true" outlineLevel="0" collapsed="false">
      <c r="A78" s="54" t="s">
        <v>403</v>
      </c>
    </row>
    <row r="79" customFormat="false" ht="15" hidden="false" customHeight="true" outlineLevel="0" collapsed="false">
      <c r="A79" s="54" t="s">
        <v>404</v>
      </c>
    </row>
    <row r="80" customFormat="false" ht="15" hidden="false" customHeight="true" outlineLevel="0" collapsed="false">
      <c r="A80" s="54" t="s">
        <v>405</v>
      </c>
    </row>
    <row r="81" customFormat="false" ht="15" hidden="false" customHeight="true" outlineLevel="0" collapsed="false">
      <c r="A81" s="54" t="s">
        <v>406</v>
      </c>
    </row>
    <row r="82" customFormat="false" ht="15" hidden="false" customHeight="true" outlineLevel="0" collapsed="false">
      <c r="A82" s="54" t="s">
        <v>407</v>
      </c>
    </row>
    <row r="83" customFormat="false" ht="15" hidden="false" customHeight="true" outlineLevel="0" collapsed="false">
      <c r="A83" s="54" t="s">
        <v>408</v>
      </c>
    </row>
    <row r="84" customFormat="false" ht="25.5" hidden="false" customHeight="true" outlineLevel="0" collapsed="false">
      <c r="A84" s="54" t="s">
        <v>409</v>
      </c>
    </row>
    <row r="86" customFormat="false" ht="19.5" hidden="false" customHeight="true" outlineLevel="0" collapsed="false">
      <c r="A86" s="55" t="s">
        <v>410</v>
      </c>
    </row>
    <row r="87" customFormat="false" ht="25.5" hidden="false" customHeight="true" outlineLevel="0" collapsed="false">
      <c r="A87" s="54" t="s">
        <v>411</v>
      </c>
    </row>
    <row r="88" customFormat="false" ht="15" hidden="false" customHeight="true" outlineLevel="0" collapsed="false">
      <c r="A88" s="54" t="s">
        <v>412</v>
      </c>
    </row>
    <row r="89" customFormat="false" ht="15" hidden="false" customHeight="true" outlineLevel="0" collapsed="false">
      <c r="A89" s="54" t="s">
        <v>413</v>
      </c>
    </row>
    <row r="90" customFormat="false" ht="25.5" hidden="false" customHeight="true" outlineLevel="0" collapsed="false">
      <c r="A90" s="54" t="s">
        <v>414</v>
      </c>
    </row>
    <row r="91" customFormat="false" ht="15" hidden="false" customHeight="true" outlineLevel="0" collapsed="false">
      <c r="A91" s="54" t="s">
        <v>415</v>
      </c>
    </row>
    <row r="92" customFormat="false" ht="15" hidden="false" customHeight="true" outlineLevel="0" collapsed="false">
      <c r="A92" s="54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2026-09-16T09:02:07Z</dcterms:created>
  <dc:creator>openpyxl</dc:creator>
  <dc:description/>
  <dc:language>en-US</dc:language>
  <cp:lastModifiedBy/>
  <dcterms:modified xsi:type="dcterms:W3CDTF">2026-09-16T09:02:07Z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