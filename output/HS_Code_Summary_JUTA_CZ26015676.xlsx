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40" customWidth="1" min="4" max="4"/>
    <col width="11" customWidth="1" min="5" max="5"/>
    <col width="16" customWidth="1" min="6" max="6"/>
    <col width="15" customWidth="1" min="7" max="7"/>
    <col width="15" customWidth="1" min="8" max="8"/>
    <col width="17" customWidth="1" min="9" max="9"/>
    <col width="26" customWidth="1" min="10" max="10"/>
    <col width="11" customWidth="1" min="11" max="11"/>
    <col width="70" customWidth="1" min="12" max="12"/>
  </cols>
  <sheetData>
    <row r="1">
      <c r="A1" s="1" t="inlineStr">
        <is>
          <t>Odesílatel (sender)</t>
        </is>
      </c>
      <c r="B1" s="1" t="inlineStr">
        <is>
          <t>HS kód (KN)</t>
        </is>
      </c>
      <c r="C1" s="1" t="inlineStr">
        <is>
          <t>TARIC</t>
        </is>
      </c>
      <c r="D1" s="1" t="inlineStr">
        <is>
          <t>Popis zboží</t>
        </is>
      </c>
      <c r="E1" s="1" t="inlineStr">
        <is>
          <t>Země původu (COO)</t>
        </is>
      </c>
      <c r="F1" s="1" t="inlineStr">
        <is>
          <t>Celkové množství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Celková hodnota USD (Total)</t>
        </is>
      </c>
      <c r="J1" s="1" t="inlineStr">
        <is>
          <t>Incoterm</t>
        </is>
      </c>
      <c r="K1" s="1" t="inlineStr">
        <is>
          <t>Příznak</t>
        </is>
      </c>
      <c r="L1" s="1" t="inlineStr">
        <is>
          <t>Poznámka / CBAM / Antidumping / Preference</t>
        </is>
      </c>
    </row>
    <row r="2" ht="105" customHeight="1">
      <c r="A2" s="2" t="inlineStr">
        <is>
          <t>Nirmal Fibres Pvt. Ltd., Gajraula, IN</t>
        </is>
      </c>
      <c r="B2" s="2" t="inlineStr">
        <is>
          <t>55032000</t>
        </is>
      </c>
      <c r="C2" s="2" t="inlineStr">
        <is>
          <t>5503200000</t>
        </is>
      </c>
      <c r="D2" s="2" t="inlineStr">
        <is>
          <t>Polyester Staple Fibre – LIGHT BLUE 3148 3D X 64MM (item 3COLB3148CL64)</t>
        </is>
      </c>
      <c r="E2" s="2" t="inlineStr">
        <is>
          <t>IN</t>
        </is>
      </c>
      <c r="F2" s="2" t="inlineStr">
        <is>
          <t>100 balíků (bales)</t>
        </is>
      </c>
      <c r="G2" s="3" t="n">
        <v>27534.3</v>
      </c>
      <c r="H2" s="3" t="n">
        <v>27634.3</v>
      </c>
      <c r="I2" s="4" t="n">
        <v>29681.98</v>
      </c>
      <c r="J2" s="2" t="inlineStr">
        <is>
          <t>DDP Dvůr Králové nad Labem (Incoterms 2010)</t>
        </is>
      </c>
      <c r="K2" s="5" t="inlineStr">
        <is>
          <t>REX / PREF</t>
        </is>
      </c>
      <c r="L2" s="2" t="inlineStr">
        <is>
          <t>⚠️ Popis jen v angličtině – klient nezaslal český popis. Prohlášení o původu (GSP) s REX INREX0295021012EC021 na faktuře – OVĚŘIT v TARIC, zda GSP pro IN u kap. 55 platí (graduace S-11a). CBAM: ne. Antidumping: žádné známé opatření (ověřit v TARIC). Melt and pour: nepoužije se (není ocel/železo).</t>
        </is>
      </c>
    </row>
    <row r="3">
      <c r="A3" s="6" t="inlineStr">
        <is>
          <t>CELKEM</t>
        </is>
      </c>
      <c r="B3" s="6" t="n"/>
      <c r="C3" s="6" t="n"/>
      <c r="D3" s="6" t="n"/>
      <c r="E3" s="6" t="n"/>
      <c r="F3" s="6" t="inlineStr">
        <is>
          <t>100 balíků</t>
        </is>
      </c>
      <c r="G3" s="7" t="n">
        <v>27534.3</v>
      </c>
      <c r="H3" s="7" t="n">
        <v>27634.3</v>
      </c>
      <c r="I3" s="8" t="n">
        <v>29681.98</v>
      </c>
      <c r="J3" s="6" t="n"/>
      <c r="K3" s="6" t="n"/>
      <c r="L3" s="6" t="n"/>
    </row>
    <row r="5">
      <c r="A5" s="9" t="inlineStr">
        <is>
          <t>Legenda:</t>
        </is>
      </c>
    </row>
    <row r="6">
      <c r="A6" s="10" t="inlineStr">
        <is>
          <t>🟢 ZELENÁ</t>
        </is>
      </c>
      <c r="B6" t="inlineStr">
        <is>
          <t>Preferenční věta / REX na faktuře – zkontrolovat nárok na preferenci v TARIC</t>
        </is>
      </c>
    </row>
    <row r="7">
      <c r="A7" t="inlineStr">
        <is>
          <t>Hodnota</t>
        </is>
      </c>
      <c r="B7" t="inlineStr">
        <is>
          <t>Částka „Total DDP Value“ z faktury NFPL-2011-26-27 (USD 29 681,98) – bez dalších úprav</t>
        </is>
      </c>
    </row>
    <row r="8">
      <c r="A8" t="inlineStr">
        <is>
          <t>Hmotnosti</t>
        </is>
      </c>
      <c r="B8" t="inlineStr">
        <is>
          <t>Packing list NFPL-2011-26-27: 100 balíků, NW 27 534,300 kg / GW 27 634,300 kg (shoda s HBL i SWB)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9">
        <f>== ZÁSILKA ===</f>
        <v/>
      </c>
    </row>
    <row r="2">
      <c r="A2" t="inlineStr">
        <is>
          <t>Klient / příjemce (CZ): JUTA a.s., Zavod07, Na Borkach 89, 544 01 Dvůr Králové nad Labem (kupující: Dukelská 417)</t>
        </is>
      </c>
    </row>
    <row r="3">
      <c r="A3" t="inlineStr">
        <is>
          <t>Odesílatel / vývozce: Nirmal Fibres Pvt. Ltd., 3rd KM Moradabad Road, Gajraula, Amroha, U.P., India (IEC 0295021012)</t>
        </is>
      </c>
    </row>
    <row r="4">
      <c r="A4" t="inlineStr">
        <is>
          <t>Reference: CZ26015676 / TAL20260710002</t>
        </is>
      </c>
    </row>
    <row r="5">
      <c r="A5" t="inlineStr">
        <is>
          <t>Kontejner: FANU1416576 (1×40HC), plomby HLG8787658, BOLT52426544</t>
        </is>
      </c>
    </row>
    <row r="6">
      <c r="A6" t="inlineStr">
        <is>
          <t>Hapag-Lloyd SWB: HLCUDE1260955780 – BALTIMORE EXPRESS 641W, Mundra → Wilhelmshaven, ETA 14.11.2026</t>
        </is>
      </c>
    </row>
    <row r="7">
      <c r="A7" t="inlineStr">
        <is>
          <t>House MTD (Expo Freight): 17826274929 – consignee TO ORDER, notify JUTA a.s.</t>
        </is>
      </c>
    </row>
    <row r="8">
      <c r="A8" t="inlineStr">
        <is>
          <t>Celní řízení: Metrans Prague Terminal, Uhříněves – CZ521050; režim volný oběh (SAD)</t>
        </is>
      </c>
    </row>
    <row r="9">
      <c r="A9" t="inlineStr">
        <is>
          <t>Faktura: NFPL-2011-26-27 ze dne 18.09.2026 (REVISE INVOICE); PO 07MA-2026-0601; proforma NFPL-PI-684/26-27</t>
        </is>
      </c>
    </row>
    <row r="10">
      <c r="A10" t="inlineStr"/>
    </row>
    <row r="11">
      <c r="A11" s="9">
        <f>== INCOTERM ===</f>
        <v/>
      </c>
    </row>
    <row r="12">
      <c r="A12" t="inlineStr">
        <is>
          <t>DDP Dvůr Králové nad Labem (Incoterms 2010) – uvedeno na faktuře, packing listu i HBL.</t>
        </is>
      </c>
    </row>
    <row r="13">
      <c r="A13" t="inlineStr"/>
    </row>
    <row r="14">
      <c r="A14" s="9">
        <f>== HODNOTA (pravidlo Total) ===</f>
        <v/>
      </c>
    </row>
    <row r="15">
      <c r="A15" t="inlineStr">
        <is>
          <t>Total DDP Value: USD 29 681,98 (100 balíků; 27 534,300 kg NW × 1,078 USD/kg).</t>
        </is>
      </c>
    </row>
    <row r="16">
      <c r="A16" t="inlineStr">
        <is>
          <t>Faktura uvádí: „Value for calculating Import duty (Goods Cost + Insurance + Sea Freight)“ = USD 29 681,98.</t>
        </is>
      </c>
    </row>
    <row r="17">
      <c r="A17" t="inlineStr">
        <is>
          <t>Doprava z e-mailu: EU úsek 1 149 EUR, vnitrostátní úsek 2 681 EUR – k rozhodnutí, zda/jak promítnout do celní hodnoty / základu DPH.</t>
        </is>
      </c>
    </row>
    <row r="18">
      <c r="A18" t="inlineStr">
        <is>
          <t>LC PRAGLI0013466 (ČSOB) zní na USD 102 960,00 – pravděpodobně více dílčích dodávek (packing list označen „1st“).</t>
        </is>
      </c>
    </row>
    <row r="19">
      <c r="A19" t="inlineStr"/>
    </row>
    <row r="20">
      <c r="A20" s="9">
        <f>== PŮVOD / PREFERENCE ===</f>
        <v/>
      </c>
    </row>
    <row r="21">
      <c r="A21" t="inlineStr">
        <is>
          <t>Země původu: Indie (faktura, packing list, HBL).</t>
        </is>
      </c>
    </row>
    <row r="22">
      <c r="A22" t="inlineStr">
        <is>
          <t>PREFERENČNÍ VĚTA na faktuře (GSP, kritérium „P“) – REX: INREX0295021012EC021.</t>
        </is>
      </c>
    </row>
    <row r="23">
      <c r="A23" t="inlineStr">
        <is>
          <t>⚠️ Ověřit nárok: Indie je u GSP graduována pro sekci S-11a (textil, kap. 50–60) – preference pro 5503200000 nemusí platit; zkontrolovat v TARIC k datu přijetí JSD.</t>
        </is>
      </c>
    </row>
    <row r="24">
      <c r="A24" t="inlineStr">
        <is>
          <t>⚠️ Formální vady věty: uvádí „GSP of Czech Republic“ místo „European Union“; kritérium „P“ (zcela získané) je u polyesterového vlákna nezvyklé (spíše „W“).</t>
        </is>
      </c>
    </row>
    <row r="25">
      <c r="A25" t="inlineStr"/>
    </row>
    <row r="26">
      <c r="A26" s="9">
        <f>== CBAM / ANTIDUMPING / MELT AND POUR ===</f>
        <v/>
      </c>
    </row>
    <row r="27">
      <c r="A27" t="inlineStr">
        <is>
          <t>CBAM: kap. 55 nespadá pod CBAM – kontrola registru nebyla nutná (JUTA a.s. v registru CBAM_receivers_CZ.xlsx není).</t>
        </is>
      </c>
    </row>
    <row r="28">
      <c r="A28" t="inlineStr">
        <is>
          <t>Antidumping: žádné známé platné opatření na PES staplová vlákna z Indie – ověřit v TARIC.</t>
        </is>
      </c>
    </row>
    <row r="29">
      <c r="A29" t="inlineStr">
        <is>
          <t>Melt and pour: nepoužije se (nejde o ocel/železo).</t>
        </is>
      </c>
    </row>
    <row r="30">
      <c r="A30" t="inlineStr"/>
    </row>
    <row r="31">
      <c r="A31" s="9">
        <f>== NESROVNALOSTI K VYŘEŠENÍ ===</f>
        <v/>
      </c>
    </row>
    <row r="32">
      <c r="A32" t="inlineStr">
        <is>
          <t>Port of discharge: faktura + packing list uvádí HAMBURG, SWB + e-mail WILHELMSHAVEN.</t>
        </is>
      </c>
    </row>
    <row r="33">
      <c r="A33" t="inlineStr">
        <is>
          <t>HBL 17826274929 je pouze DRAFT, consignee TO ORDER, „OBR – Original Bill Required“ – před propuštěním je nutný řádně indosovaný originál HBL.</t>
        </is>
      </c>
    </row>
    <row r="34">
      <c r="A34" t="inlineStr">
        <is>
          <t>Popis zboží: klient nezaslal český popis – v souhrnu je anglický popis z faktury/packing listu.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2026-10-30T15:38:11Z</dcterms:created>
  <dcterms:modified xmlns:dcterms="http://purl.org/dc/terms/" xmlns:xsi="http://www.w3.org/2001/XMLSchema-instance" xsi:type="dcterms:W3CDTF">2026-10-30T15:38:11Z</dcterms:modified>
</cp:coreProperties>
</file>