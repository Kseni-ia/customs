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Položky (detail)" sheetId="2" state="visible" r:id="rId2"/>
    <sheet name="Poznámky a kontro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i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6E4C3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top"/>
    </xf>
    <xf numFmtId="4" fontId="0" fillId="0" borderId="1" applyAlignment="1" pivotButton="0" quotePrefix="0" xfId="0">
      <alignment horizontal="right" vertical="top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5" borderId="1" pivotButton="0" quotePrefix="0" xfId="0"/>
    <xf numFmtId="3" fontId="2" fillId="5" borderId="1" applyAlignment="1" pivotButton="0" quotePrefix="0" xfId="0">
      <alignment horizontal="right"/>
    </xf>
    <xf numFmtId="4" fontId="2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pivotButton="0" quotePrefix="0" xfId="0"/>
    <xf numFmtId="0" fontId="2" fillId="4" borderId="1" pivotButton="0" quotePrefix="0" xfId="0"/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right" vertical="top"/>
    </xf>
    <xf numFmtId="4" fontId="3" fillId="6" borderId="1" applyAlignment="1" pivotButton="0" quotePrefix="0" xfId="0">
      <alignment horizontal="right" vertical="top"/>
    </xf>
    <xf numFmtId="0" fontId="0" fillId="3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6" customWidth="1" min="3" max="3"/>
    <col width="10" customWidth="1" min="4" max="4"/>
    <col width="11" customWidth="1" min="5" max="5"/>
    <col width="13" customWidth="1" min="6" max="6"/>
    <col width="13" customWidth="1" min="7" max="7"/>
    <col width="14" customWidth="1" min="8" max="8"/>
    <col width="13" customWidth="1" min="9" max="9"/>
    <col width="16" customWidth="1" min="10" max="10"/>
    <col width="62" customWidth="1" min="11" max="11"/>
  </cols>
  <sheetData>
    <row r="1" ht="42" customHeight="1">
      <c r="A1" s="1" t="inlineStr">
        <is>
          <t>Odesílatel (sender)</t>
        </is>
      </c>
      <c r="B1" s="1" t="inlineStr">
        <is>
          <t>HS kód / KN</t>
        </is>
      </c>
      <c r="C1" s="1" t="inlineStr">
        <is>
          <t>Popis zboží (CZ)</t>
        </is>
      </c>
      <c r="D1" s="1" t="inlineStr">
        <is>
          <t>Země původu (COO)</t>
        </is>
      </c>
      <c r="E1" s="1" t="inlineStr">
        <is>
          <t>Množství (ks)</t>
        </is>
      </c>
      <c r="F1" s="1" t="inlineStr">
        <is>
          <t>Čistá hmotnost NW (kg)</t>
        </is>
      </c>
      <c r="G1" s="1" t="inlineStr">
        <is>
          <t>Hrubá hmotnost GW (kg)</t>
        </is>
      </c>
      <c r="H1" s="1" t="inlineStr">
        <is>
          <t>Celní hodnota USD (FOB)</t>
        </is>
      </c>
      <c r="I1" s="1" t="inlineStr">
        <is>
          <t>Incoterm</t>
        </is>
      </c>
      <c r="J1" s="1" t="inlineStr">
        <is>
          <t>Příznak</t>
        </is>
      </c>
      <c r="K1" s="1" t="inlineStr">
        <is>
          <t>Poznámka / TARIC / CBAM / Antidumping</t>
        </is>
      </c>
    </row>
    <row r="2" ht="58" customHeight="1">
      <c r="A2" s="2" t="inlineStr">
        <is>
          <t>ANJI MAOCHANG FURNITURE CO., LTD.
198 Yangugang Road, 3rd Floor, Dipu town,
Anji County, Zhejiang, CHINA</t>
        </is>
      </c>
      <c r="B2" s="3" t="inlineStr">
        <is>
          <t>94013900</t>
        </is>
      </c>
      <c r="C2" s="2" t="inlineStr">
        <is>
          <t>Otočná sedadla s výškovým nastavením, jiná než dřevěná – kosmetické/pracovní otočné židle „KIRA technician chair“ (otočná židle kulatá, pochromovaný podstavec, čalounění koženka)</t>
        </is>
      </c>
      <c r="D2" s="4" t="inlineStr">
        <is>
          <t>CN</t>
        </is>
      </c>
      <c r="E2" s="5" t="n">
        <v>308</v>
      </c>
      <c r="F2" s="6" t="n">
        <v>2186.8</v>
      </c>
      <c r="G2" s="6" t="n">
        <v>2494.8</v>
      </c>
      <c r="H2" s="6" t="n">
        <v>6157.6</v>
      </c>
      <c r="I2" s="3" t="inlineStr">
        <is>
          <t>FOB Ningbo</t>
        </is>
      </c>
      <c r="J2" s="7" t="inlineStr">
        <is>
          <t>CCT/VPV KN</t>
        </is>
      </c>
      <c r="K2" s="2" t="inlineStr">
        <is>
          <t>HS kód odvozen postupem CCT/VPV KN (ve zdrojových dokladech nebyl uveden; shoduje se s kódem deklarovaným odesílatelem na B/L). KN 9401 39 00 – TARIC 9401 39 00 00. Clo erga omnes CN: 0 % (ověřit v TARIC CZ k datu podání). CBAM: NE. Antidumping: nezjištěno.</t>
        </is>
      </c>
    </row>
    <row r="3" ht="72" customHeight="1">
      <c r="A3" s="2" t="inlineStr">
        <is>
          <t>ANJI MAOCHANG FURNITURE CO., LTD.
198 Yangugang Road, 3rd Floor, Dipu town,
Anji County, Zhejiang, CHINA</t>
        </is>
      </c>
      <c r="B3" s="3" t="inlineStr">
        <is>
          <t>94017100</t>
        </is>
      </c>
      <c r="C3" s="2" t="inlineStr">
        <is>
          <t>Ostatní čalouněná sedadla s kovovou kostrou – křesla „ETAN client chair“ se stříbrným (kovovým) rámem a křeslo „MC-221“ (křeslo do jídelny nebo kanceláře, čalounění koženka)</t>
        </is>
      </c>
      <c r="D3" s="4" t="inlineStr">
        <is>
          <t>CN</t>
        </is>
      </c>
      <c r="E3" s="5" t="n">
        <v>254</v>
      </c>
      <c r="F3" s="6" t="n">
        <v>2149.7</v>
      </c>
      <c r="G3" s="6" t="n">
        <v>2413.7</v>
      </c>
      <c r="H3" s="6" t="n">
        <v>6642.4</v>
      </c>
      <c r="I3" s="3" t="inlineStr">
        <is>
          <t>FOB Ningbo</t>
        </is>
      </c>
      <c r="J3" s="8" t="inlineStr">
        <is>
          <t>CCT/VPV KN – OVĚŘIT</t>
        </is>
      </c>
      <c r="K3" s="2" t="inlineStr">
        <is>
          <t>HS kód odvozen postupem CCT/VPV KN (ve zdrojových dokladech nebyl uveden). KN 9401 71 00. Clo erga omnes CN: 0 % (ověřit v TARIC CZ k datu podání). CBAM: NE. Antidumping: nezjištěno. ⚠ OVĚŘIT u odesílatele: (a) zda ETAN není rovněž otočné sedadlo s výškovým nastavením (pak 9401 39 00), (b) materiál kostry u MC-221 – při dřevěné kostře patří do 9401 61 00.</t>
        </is>
      </c>
    </row>
    <row r="4">
      <c r="A4" s="9" t="inlineStr">
        <is>
          <t>CELKEM</t>
        </is>
      </c>
      <c r="B4" s="9" t="n"/>
      <c r="C4" s="9" t="n"/>
      <c r="D4" s="9" t="n"/>
      <c r="E4" s="10" t="n">
        <v>562</v>
      </c>
      <c r="F4" s="11" t="n">
        <v>4336.5</v>
      </c>
      <c r="G4" s="11" t="n">
        <v>4908.5</v>
      </c>
      <c r="H4" s="11" t="n">
        <v>12800</v>
      </c>
      <c r="I4" s="12" t="inlineStr">
        <is>
          <t>FOB Ningbo</t>
        </is>
      </c>
      <c r="J4" s="9" t="n"/>
      <c r="K4" s="9" t="n"/>
    </row>
    <row r="6">
      <c r="A6" s="13" t="inlineStr">
        <is>
          <t>Legenda a kontrolní údaje</t>
        </is>
      </c>
    </row>
    <row r="7" ht="28" customHeight="1">
      <c r="A7" s="14" t="inlineStr">
        <is>
          <t>Zásilka</t>
        </is>
      </c>
      <c r="C7" s="15" t="inlineStr">
        <is>
          <t>NSN Cosmetic s.r.o. – zásilka 2605491 · faktura / S/C č. 26200131C ze dne 21.7.2026 · B/L ENBBRV2605491 · kontejner CAAU5953508 · 408 kartonů · 68 CBM</t>
        </is>
      </c>
    </row>
    <row r="8" ht="28" customHeight="1">
      <c r="A8" s="14" t="inlineStr">
        <is>
          <t>Incoterm</t>
        </is>
      </c>
      <c r="C8" s="15" t="inlineStr">
        <is>
          <t>FOB Ningbo (uvedeno na faktuře: „AMOUNT IN RMB / FOB NINGBO“). Přeprava „FREIGHT COLLECT / AS ARRANGED“.</t>
        </is>
      </c>
    </row>
    <row r="9" ht="28" customHeight="1">
      <c r="A9" s="14" t="inlineStr">
        <is>
          <t>Měna</t>
        </is>
      </c>
      <c r="C9" s="15" t="inlineStr">
        <is>
          <t>USD. Pozn.: záhlaví faktury uvádí „AMOUNT IN RMB“, avšak částky jsou v $ a slovní součet zní „SAY TWELVE THOUSAND EIGHT HUNDRED USD ONLY“; instrukce uvádí 12 800 USD. → měna je USD.</t>
        </is>
      </c>
    </row>
    <row r="10" ht="28" customHeight="1">
      <c r="A10" s="14" t="inlineStr">
        <is>
          <t>Celní hodnota</t>
        </is>
      </c>
      <c r="C10" s="15" t="inlineStr">
        <is>
          <t>⚠ Uvedená hodnota je FOB Ningbo. Do celní hodnoty je nutno PŘIPOČÍST náklady na přepravu a pojištění do místa vstupu do EU (freight collect – částka v dokladech není uvedena).</t>
        </is>
      </c>
    </row>
    <row r="11" ht="28" customHeight="1">
      <c r="A11" s="14" t="inlineStr">
        <is>
          <t>Sleva</t>
        </is>
      </c>
      <c r="C11" s="15" t="inlineStr">
        <is>
          <t>Na faktuře není uvedena žádná obchodní sleva → proporcionální rozpuštění slevy se neuplatní.</t>
        </is>
      </c>
    </row>
    <row r="12" ht="28" customHeight="1">
      <c r="A12" s="14" t="inlineStr">
        <is>
          <t>Kontrola součtů</t>
        </is>
      </c>
      <c r="C12" s="15" t="inlineStr">
        <is>
          <t>Ks 308 + 254 = 562 ✓ (faktura i PL) · NW 2 186,80 + 2 149,70 = 4 336,50 kg ✓ (PL) · GW 2 494,80 + 2 413,70 = 4 908,50 kg ✓ (PL i B/L) · Hodnota 6 157,60 + 6 642,40 = 12 800,00 USD ✓</t>
        </is>
      </c>
    </row>
    <row r="14">
      <c r="A14" s="16" t="inlineStr">
        <is>
          <t>🟡 ŽLUTÁ</t>
        </is>
      </c>
      <c r="C14" s="15" t="inlineStr">
        <is>
          <t>HS kód odvozen pravidlem CCT/VPV KN (nebyl ve zdrojových dokladech)</t>
        </is>
      </c>
    </row>
    <row r="15">
      <c r="A15" s="17" t="inlineStr">
        <is>
          <t>🟠 ORANŽOVÁ</t>
        </is>
      </c>
      <c r="C15" s="15" t="inlineStr">
        <is>
          <t>HS kód odvozen pravidlem CCT/VPV KN + je nutné ověření u odesílatele</t>
        </is>
      </c>
    </row>
  </sheetData>
  <mergeCells count="8">
    <mergeCell ref="C7:K7"/>
    <mergeCell ref="C15:K15"/>
    <mergeCell ref="C11:K11"/>
    <mergeCell ref="C10:K10"/>
    <mergeCell ref="C14:K14"/>
    <mergeCell ref="C9:K9"/>
    <mergeCell ref="C8:K8"/>
    <mergeCell ref="C12:K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12" customWidth="1" min="3" max="3"/>
    <col width="11" customWidth="1" min="4" max="4"/>
    <col width="9" customWidth="1" min="5" max="5"/>
    <col width="10" customWidth="1" min="6" max="6"/>
    <col width="10" customWidth="1" min="7" max="7"/>
    <col width="13" customWidth="1" min="8" max="8"/>
    <col width="13" customWidth="1" min="9" max="9"/>
    <col width="12" customWidth="1" min="10" max="10"/>
    <col width="12" customWidth="1" min="11" max="11"/>
    <col width="22" customWidth="1" min="12" max="12"/>
  </cols>
  <sheetData>
    <row r="1" ht="42" customHeight="1">
      <c r="A1" s="1" t="inlineStr">
        <is>
          <t>Model (dle faktury)</t>
        </is>
      </c>
      <c r="B1" s="1" t="inlineStr">
        <is>
          <t>Popis zboží (CZ)</t>
        </is>
      </c>
      <c r="C1" s="1" t="inlineStr">
        <is>
          <t>HS kód / KN</t>
        </is>
      </c>
      <c r="D1" s="1" t="inlineStr">
        <is>
          <t>Množství (ks)</t>
        </is>
      </c>
      <c r="E1" s="1" t="inlineStr">
        <is>
          <t>Kartony</t>
        </is>
      </c>
      <c r="F1" s="1" t="inlineStr">
        <is>
          <t>NW/ks (kg)</t>
        </is>
      </c>
      <c r="G1" s="1" t="inlineStr">
        <is>
          <t>GW/ks (kg)</t>
        </is>
      </c>
      <c r="H1" s="1" t="inlineStr">
        <is>
          <t>NW celkem (kg)</t>
        </is>
      </c>
      <c r="I1" s="1" t="inlineStr">
        <is>
          <t>GW celkem (kg)</t>
        </is>
      </c>
      <c r="J1" s="1" t="inlineStr">
        <is>
          <t>Jedn. cena USD</t>
        </is>
      </c>
      <c r="K1" s="1" t="inlineStr">
        <is>
          <t>Hodnota USD</t>
        </is>
      </c>
      <c r="L1" s="1" t="inlineStr">
        <is>
          <t>Rozměr balení (cm)</t>
        </is>
      </c>
    </row>
    <row r="2" ht="32" customHeight="1">
      <c r="A2" s="2" t="inlineStr">
        <is>
          <t>ETAN CLIENT CHAIR SILVER FRAME</t>
        </is>
      </c>
      <c r="B2" s="2" t="inlineStr">
        <is>
          <t>Křeslo do jídelny nebo kanceláře, čalounění koženka, stříbrný (kovový) rám</t>
        </is>
      </c>
      <c r="C2" s="4" t="inlineStr">
        <is>
          <t>94017100</t>
        </is>
      </c>
      <c r="D2" s="5" t="n">
        <v>192</v>
      </c>
      <c r="E2" s="5" t="n"/>
      <c r="F2" s="6" t="n">
        <v>8.300000000000001</v>
      </c>
      <c r="G2" s="6" t="n">
        <v>9.300000000000001</v>
      </c>
      <c r="H2" s="6" t="n">
        <v>1593.6</v>
      </c>
      <c r="I2" s="6" t="n">
        <v>1785.6</v>
      </c>
      <c r="J2" s="6" t="n">
        <v>25.7</v>
      </c>
      <c r="K2" s="6" t="n">
        <v>4934.4</v>
      </c>
      <c r="L2" s="2" t="inlineStr">
        <is>
          <t>55*47*43 / 72*52*54</t>
        </is>
      </c>
    </row>
    <row r="3" ht="32" customHeight="1">
      <c r="A3" s="2" t="inlineStr">
        <is>
          <t>ETAN CLIENT CHAIR SILVER FRAME (gold color)</t>
        </is>
      </c>
      <c r="B3" s="2" t="inlineStr">
        <is>
          <t>Křeslo do jídelny nebo kanceláře, čalounění koženka, stříbrný (kovový) rám, zlaté provedení</t>
        </is>
      </c>
      <c r="C3" s="4" t="inlineStr">
        <is>
          <t>94017100</t>
        </is>
      </c>
      <c r="D3" s="5" t="n">
        <v>52</v>
      </c>
      <c r="E3" s="5" t="n"/>
      <c r="F3" s="6" t="n">
        <v>8.300000000000001</v>
      </c>
      <c r="G3" s="6" t="n">
        <v>9.300000000000001</v>
      </c>
      <c r="H3" s="6" t="n">
        <v>431.6</v>
      </c>
      <c r="I3" s="6" t="n">
        <v>483.6</v>
      </c>
      <c r="J3" s="6" t="n">
        <v>26.5</v>
      </c>
      <c r="K3" s="6" t="n">
        <v>1378</v>
      </c>
      <c r="L3" s="2" t="inlineStr">
        <is>
          <t>55*47*43 / 72*52*54</t>
        </is>
      </c>
    </row>
    <row r="4" ht="32" customHeight="1">
      <c r="A4" s="18" t="inlineStr">
        <is>
          <t xml:space="preserve">  ↳ součet řádku PL „ETAN CLIENT CHAIR“</t>
        </is>
      </c>
      <c r="B4" s="18" t="inlineStr"/>
      <c r="C4" s="19" t="inlineStr"/>
      <c r="D4" s="20" t="n">
        <v>244</v>
      </c>
      <c r="E4" s="20" t="n">
        <v>244</v>
      </c>
      <c r="F4" s="21" t="inlineStr"/>
      <c r="G4" s="21" t="inlineStr"/>
      <c r="H4" s="21" t="n">
        <v>2025.2</v>
      </c>
      <c r="I4" s="21" t="n">
        <v>2269.2</v>
      </c>
      <c r="J4" s="21" t="inlineStr"/>
      <c r="K4" s="21" t="n">
        <v>6312.4</v>
      </c>
      <c r="L4" s="18" t="inlineStr"/>
    </row>
    <row r="5" ht="32" customHeight="1">
      <c r="A5" s="2" t="inlineStr">
        <is>
          <t>KIRA TECHNICIAN CHAIR</t>
        </is>
      </c>
      <c r="B5" s="2" t="inlineStr">
        <is>
          <t>Otočná židle kulatá s pochromovaným podstavcem, výškově stavitelná, čalounění koženka</t>
        </is>
      </c>
      <c r="C5" s="4" t="inlineStr">
        <is>
          <t>94013900</t>
        </is>
      </c>
      <c r="D5" s="5" t="n">
        <v>244</v>
      </c>
      <c r="E5" s="5" t="n"/>
      <c r="F5" s="6" t="n">
        <v>7.1</v>
      </c>
      <c r="G5" s="6" t="n">
        <v>8.1</v>
      </c>
      <c r="H5" s="6" t="n">
        <v>1732.4</v>
      </c>
      <c r="I5" s="6" t="n">
        <v>1976.4</v>
      </c>
      <c r="J5" s="6" t="n">
        <v>20.2</v>
      </c>
      <c r="K5" s="6" t="n">
        <v>4928.8</v>
      </c>
      <c r="L5" s="2" t="inlineStr">
        <is>
          <t>61*56,5*52</t>
        </is>
      </c>
    </row>
    <row r="6" ht="32" customHeight="1">
      <c r="A6" s="2" t="inlineStr">
        <is>
          <t>KIRA TECHNICIAN CHAIR (gold color)</t>
        </is>
      </c>
      <c r="B6" s="2" t="inlineStr">
        <is>
          <t>Otočná židle kulatá s pochromovaným podstavcem, výškově stavitelná, čalounění koženka, zlaté provedení</t>
        </is>
      </c>
      <c r="C6" s="4" t="inlineStr">
        <is>
          <t>94013900</t>
        </is>
      </c>
      <c r="D6" s="5" t="n">
        <v>64</v>
      </c>
      <c r="E6" s="5" t="n"/>
      <c r="F6" s="6" t="n">
        <v>7.1</v>
      </c>
      <c r="G6" s="6" t="n">
        <v>8.1</v>
      </c>
      <c r="H6" s="6" t="n">
        <v>454.4</v>
      </c>
      <c r="I6" s="6" t="n">
        <v>518.4</v>
      </c>
      <c r="J6" s="6" t="n">
        <v>19.2</v>
      </c>
      <c r="K6" s="6" t="n">
        <v>1228.8</v>
      </c>
      <c r="L6" s="2" t="inlineStr">
        <is>
          <t>61*56,5*52</t>
        </is>
      </c>
    </row>
    <row r="7" ht="32" customHeight="1">
      <c r="A7" s="18" t="inlineStr">
        <is>
          <t xml:space="preserve">  ↳ součet řádku PL (KIRA)</t>
        </is>
      </c>
      <c r="B7" s="18" t="inlineStr"/>
      <c r="C7" s="19" t="inlineStr"/>
      <c r="D7" s="20" t="n">
        <v>308</v>
      </c>
      <c r="E7" s="20" t="n">
        <v>154</v>
      </c>
      <c r="F7" s="21" t="inlineStr"/>
      <c r="G7" s="21" t="inlineStr"/>
      <c r="H7" s="21" t="n">
        <v>2186.8</v>
      </c>
      <c r="I7" s="21" t="n">
        <v>2494.8</v>
      </c>
      <c r="J7" s="21" t="inlineStr"/>
      <c r="K7" s="21" t="n">
        <v>6157.6</v>
      </c>
      <c r="L7" s="18" t="inlineStr"/>
    </row>
    <row r="8" ht="32" customHeight="1">
      <c r="A8" s="2" t="inlineStr">
        <is>
          <t>MC-221</t>
        </is>
      </c>
      <c r="B8" s="2" t="inlineStr">
        <is>
          <t>Křeslo do jídelny nebo kanceláře, čalounění koženka (materiál kostry v dokladech neuveden)</t>
        </is>
      </c>
      <c r="C8" s="4" t="inlineStr">
        <is>
          <t>94017100</t>
        </is>
      </c>
      <c r="D8" s="5" t="n">
        <v>10</v>
      </c>
      <c r="E8" s="5" t="n">
        <v>10</v>
      </c>
      <c r="F8" s="6" t="n">
        <v>12.45</v>
      </c>
      <c r="G8" s="6" t="n">
        <v>14.45</v>
      </c>
      <c r="H8" s="6" t="n">
        <v>124.5</v>
      </c>
      <c r="I8" s="6" t="n">
        <v>144.5</v>
      </c>
      <c r="J8" s="6" t="n">
        <v>33</v>
      </c>
      <c r="K8" s="6" t="n">
        <v>330</v>
      </c>
      <c r="L8" s="2" t="inlineStr">
        <is>
          <t>59*59*61</t>
        </is>
      </c>
    </row>
    <row r="9">
      <c r="A9" s="9" t="inlineStr">
        <is>
          <t>CELKEM</t>
        </is>
      </c>
      <c r="B9" s="9" t="n"/>
      <c r="C9" s="9" t="n"/>
      <c r="D9" s="10" t="n">
        <v>562</v>
      </c>
      <c r="E9" s="10" t="n">
        <v>408</v>
      </c>
      <c r="F9" s="9" t="n"/>
      <c r="G9" s="9" t="n"/>
      <c r="H9" s="11" t="n">
        <v>4336.5</v>
      </c>
      <c r="I9" s="11" t="n">
        <v>4908.5</v>
      </c>
      <c r="J9" s="9" t="n"/>
      <c r="K9" s="11" t="n">
        <v>12800</v>
      </c>
      <c r="L9" s="9" t="n"/>
    </row>
    <row r="11" ht="42" customHeight="1">
      <c r="A11" s="22" t="inlineStr">
        <is>
          <t>Pozn. k hmotnostem: dílčí NW/GW u řádků ETAN a KIRA jsou rozpočteny podle počtu kusů (NW/ks 8,30 resp. 7,10 kg; GW/ks 9,30 resp. 8,10 kg). Součty přesně odpovídají packing listu i B/L.</t>
        </is>
      </c>
    </row>
    <row r="12" ht="42" customHeight="1">
      <c r="A12" s="22" t="inlineStr">
        <is>
          <t>⚠ Nesrovnalost v packing listu: sloupec UNIT/G.W. a UNIT/N.W. uvádí u řádku ETAN 18,60 / 16,60 kg, ale rozpočet na 244 ks odpovídá 9,30 / 8,30 kg na kus (tj. uvedené jednotkové hodnoty odpovídají 2 kusům). Celkové hmotnosti jsou v pořádku a souhlasí s B/L – doporučuji ověřit u odesílatele počet kusů/kartonů u položky ETAN (244 ks v 244 kartonech vs. 2 rozměry balení).</t>
        </is>
      </c>
    </row>
  </sheetData>
  <mergeCells count="2">
    <mergeCell ref="A11:L11"/>
    <mergeCell ref="A12:L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4">
        <f>== ZÁSILKA / STRANY (stav k 15.9.2026) ===</f>
        <v/>
      </c>
    </row>
    <row r="2">
      <c r="A2" s="15" t="inlineStr">
        <is>
          <t>Klient / příjemce (CZ): NSN Cosmetic s.r.o. – IČO 04127137, DIČ CZ04127137, tel. 00420 723 441 209, e-mail NSN1@SEZNAM.CZ</t>
        </is>
      </c>
    </row>
    <row r="3">
      <c r="A3" s="15" t="inlineStr">
        <is>
          <t>Adresa vyclení: Plovdivská 3266/2, 143 00 Praha 4 – Modřany    |    Adresa doručení: Břežanská 314, 252 41 Zlatníky-Hodkovice (kontakt: Tran The Thoai, tel. 723441209, 8:00–17:00)</t>
        </is>
      </c>
    </row>
    <row r="4">
      <c r="A4" s="15" t="inlineStr">
        <is>
          <t>Odesílatel (sender): ANJI MAOCHANG FURNITURE CO., LTD., 198 Yangugang Road, 3rd Floor, Dipu town, Anji County, Zhejiang Province, CHINA</t>
        </is>
      </c>
    </row>
    <row r="5">
      <c r="A5" s="15" t="inlineStr">
        <is>
          <t>Notify: MARITIME BOHEMIA S.R.O., Pod Vinicí 409/29, 143 00 Praha 4 – Modřany, EORI CZ27110699, kontakt Hassan Amouneh</t>
        </is>
      </c>
    </row>
    <row r="6">
      <c r="A6" s="15" t="inlineStr">
        <is>
          <t>Doklady: Commercial Invoice + Packing List č. 26200131C (21.7.2026), B/L ENBBRV2605491 (MAERSK), plavidlo MURCIA MAERSK 630W, Ningbo → Mělník / Praha, on board 28.7.2026</t>
        </is>
      </c>
    </row>
    <row r="7">
      <c r="A7" s="15" t="inlineStr">
        <is>
          <t>Režim dle instrukce: JSD – propuštění do volného oběhu (nikoli T1).</t>
        </is>
      </c>
    </row>
    <row r="8">
      <c r="A8" s="23" t="inlineStr">
        <is>
          <t>⚠ Nesoulad v názvu příjemce: instrukce uvádí „NSN Cosmetic s.r.o“, faktura a B/L „NSN COSMETICS s.r.o.“ – sjednotit dle výpisu z OR před podáním JSD.</t>
        </is>
      </c>
    </row>
    <row r="9">
      <c r="A9" s="23" t="inlineStr">
        <is>
          <t>⚠ EORI příjemce není v dokladech uvedeno (CZ27110699 patří notify party Maritime Bohemia). Doplnit EORI NSN Cosmetic s.r.o. před podáním.</t>
        </is>
      </c>
    </row>
    <row r="10">
      <c r="A10" s="15" t="inlineStr"/>
    </row>
    <row r="11">
      <c r="A11" s="24">
        <f>== ⚠️ HS KÓDY ODVOZENY PRAVIDLEM CCT/VPV KN ===</f>
        <v/>
      </c>
    </row>
    <row r="12">
      <c r="A12" s="25" t="inlineStr">
        <is>
          <t>Ve zdrojových dokladech NEBYL uveden žádný HS kód na úrovni položek – sloupec „HS kód“ v instrukci k celnímu odbavení je prázdný. Všechny HS kódy v tomto souhrnu jsem odvodil postupem CCT/VPV KN podle reference/Common_Customs_Tariff_EU_CZ.pptx.</t>
        </is>
      </c>
    </row>
    <row r="13">
      <c r="A13" s="15" t="inlineStr"/>
    </row>
    <row r="14">
      <c r="A14" s="14" t="inlineStr">
        <is>
          <t>Položky klasifikované pravidlem CCT/VPV KN:</t>
        </is>
      </c>
    </row>
    <row r="15">
      <c r="A15" s="15" t="inlineStr"/>
    </row>
    <row r="16">
      <c r="A16" s="14" t="inlineStr">
        <is>
          <t>1) KIRA TECHNICIAN CHAIR (+ gold color) → KN 9401 39 00  /  TARIC 9401 39 00 00</t>
        </is>
      </c>
    </row>
    <row r="17">
      <c r="A17" s="15" t="inlineStr">
        <is>
          <t xml:space="preserve">   CO TO JE? – otočná židle (kulatá) pro obsluhu v kosmetickém/nehtovém studiu, tj. sedadlo.</t>
        </is>
      </c>
    </row>
    <row r="18">
      <c r="A18" s="15" t="inlineStr">
        <is>
          <t xml:space="preserve">   Z ČEHO TO JE? – pochromovaný kovový podstavec, čalounění z koženky (imitace usně); kostra nikoli dřevěná.</t>
        </is>
      </c>
    </row>
    <row r="19">
      <c r="A19" s="15" t="inlineStr">
        <is>
          <t xml:space="preserve">   K ČEMU SLOUŽÍ? – k sezení obsluhy při práci; otočný sedák s výškovým nastavením (plynový píst).</t>
        </is>
      </c>
    </row>
    <row r="20">
      <c r="A20" s="15" t="inlineStr">
        <is>
          <t xml:space="preserve">   Postup: TŘÍDA XX → KAPITOLA 94 „Nábytek…“ → poznámky ke kap. 94 zboží nevylučují → číslo HS 9401 „Sedadla (jiná než čísla 9402), též proměnitelná v lůžka, a jejich části a součásti“ → dle VPV 1 a VPV 6 položka „Otočná sedadla s výškovým nastavením“ → podpoložka 9401 39 00 KN (jiná než dřevěná; 9401 31 00 je pro dřevěná).</t>
        </is>
      </c>
    </row>
    <row r="21">
      <c r="A21" s="15" t="inlineStr">
        <is>
          <t xml:space="preserve">   Shoda: tento kód (94013900) deklaroval odesílatel i na B/L → klasifikace potvrzena nezávislým zdrojem.</t>
        </is>
      </c>
    </row>
    <row r="22">
      <c r="A22" s="15" t="inlineStr"/>
    </row>
    <row r="23">
      <c r="A23" s="14" t="inlineStr">
        <is>
          <t>2) ETAN CLIENT CHAIR SILVER FRAME (+ gold color) a MC-221 → KN 9401 71 00</t>
        </is>
      </c>
    </row>
    <row r="24">
      <c r="A24" s="15" t="inlineStr">
        <is>
          <t xml:space="preserve">   CO TO JE? – křeslo do jídelny nebo kanceláře / křeslo pro klienta, tj. sedadlo.</t>
        </is>
      </c>
    </row>
    <row r="25">
      <c r="A25" s="15" t="inlineStr">
        <is>
          <t xml:space="preserve">   Z ČEHO TO JE? – stříbrný (kovový) rám, čalounění z koženky (imitace usně).</t>
        </is>
      </c>
    </row>
    <row r="26">
      <c r="A26" s="15" t="inlineStr">
        <is>
          <t xml:space="preserve">   K ČEMU SLOUŽÍ? – k sezení klienta/zaměstnance; není deklarováno jako otočné ani výškově stavitelné.</t>
        </is>
      </c>
    </row>
    <row r="27">
      <c r="A27" s="15" t="inlineStr">
        <is>
          <t xml:space="preserve">   Postup: TŘÍDA XX → KAPITOLA 94 → číslo HS 9401 → dle VPV 1 a VPV 6 nejde o otočné sedadlo s výškovým nastavením ani o sedadlo proměnitelné v lůžko → položka „Ostatní sedadla, s kovovými rámy (kostrami)“ → čalouněná → podpoložka 9401 71 00 KN.</t>
        </is>
      </c>
    </row>
    <row r="28">
      <c r="A28" s="24" t="inlineStr">
        <is>
          <t xml:space="preserve">   ⚠ K OVĚŘENÍ U ODESÍLATELE – dva otevřené body:</t>
        </is>
      </c>
    </row>
    <row r="29">
      <c r="A29" s="25" t="inlineStr">
        <is>
          <t xml:space="preserve">     (a) ETAN – pokud jde rovněž o otočné sedadlo s výškovým nastavením, patří do 9401 39 00, nikoli 9401 71 00.</t>
        </is>
      </c>
    </row>
    <row r="30">
      <c r="A30" s="25" t="inlineStr">
        <is>
          <t xml:space="preserve">     (b) MC-221 – materiál kostry není v dokladech uveden. Při dřevěné kostře patří do 9401 61 00 (čalouněná sedadla s dřevěnou kostrou), nikoli 9401 71 00. Prozatím sloučeno do 9401 71 00 shodně s ETAN, protože slovní popis je v instrukci totožný („Křeslo do jídelny nebo kanceláře koženka“).</t>
        </is>
      </c>
    </row>
    <row r="31">
      <c r="A31" s="15" t="inlineStr">
        <is>
          <t xml:space="preserve">   Odesílatel uvedl na B/L pro celou zásilku jediný kód 94013900; pro tyto položky jej nepovažuji za správný, protože nejsou popsány jako otočné/výškově stavitelné.</t>
        </is>
      </c>
    </row>
    <row r="32">
      <c r="A32" s="15" t="inlineStr">
        <is>
          <t xml:space="preserve">   V případě přetrvávajících pochybností eskalovat na tarifní tým: customs.tariff@mauriceward.com (dle reference/Common_Customs_Tariff_EU_CZ.pptx).</t>
        </is>
      </c>
    </row>
    <row r="33">
      <c r="A33" s="15" t="inlineStr"/>
    </row>
    <row r="34">
      <c r="A34" s="24">
        <f>== COO / PREFERENČNÍ PŮVOD – preferenční věta ===</f>
        <v/>
      </c>
    </row>
    <row r="35">
      <c r="A35" s="15" t="inlineStr">
        <is>
          <t>Země původu: ČÍNA (CN) – zboží vyrobeno a odesláno z Anji County, Zhejiang.</t>
        </is>
      </c>
    </row>
    <row r="36">
      <c r="A36" s="24" t="inlineStr">
        <is>
          <t>❌ PREFERENČNÍ VĚTA NENÍ NA FAKTUŘE UVEDENA. Faktura č. 26200131C neobsahuje žádné prohlášení o preferenčním původu.</t>
        </is>
      </c>
    </row>
    <row r="37">
      <c r="A37" s="15" t="inlineStr">
        <is>
          <t>EU nemá s Čínou dohodu o volném obchodu a Čína je vyřazena ze systému GSP (graduace) → preferenční sazební zacházení NELZE uplatnit. Uplatní se standardní smluvní (erga omnes) celní sazba pro třetí země.</t>
        </is>
      </c>
    </row>
    <row r="38">
      <c r="A38" s="15" t="inlineStr">
        <is>
          <t>Dopad na clo je v tomto případě nulový, protože smluvní sazba pro KN 9401 39 00 i 9401 71 00 je 0 % – POVINNĚ OVĚŘIT v TARIC CZ k datu podání JSD.</t>
        </is>
      </c>
    </row>
    <row r="39">
      <c r="A39" s="15" t="inlineStr"/>
    </row>
    <row r="40">
      <c r="A40" s="24">
        <f>== REX ČÍSLO NA FAKTUŘE ===</f>
        <v/>
      </c>
    </row>
    <row r="41">
      <c r="A41" s="24" t="inlineStr">
        <is>
          <t>❌ NA FAKTUŘE NENÍ UVEDENO ŽÁDNÉ REX ČÍSLO. Faktura neobsahuje číslo registrovaného vývozce ani číslo celního povolení vývozce.</t>
        </is>
      </c>
    </row>
    <row r="42">
      <c r="A42" s="15" t="inlineStr">
        <is>
          <t>Uvádím výslovně, protože absence REX je podstatná: bez REX (a bez preferenční věty) nelze uplatnit nárok na preferenční původ. V tomto případě to není blokující – Čína na preferenci nárok nemá – ale do spisu patří poznámka, že doklad REX neobsahuje.</t>
        </is>
      </c>
    </row>
    <row r="43">
      <c r="A43" s="15" t="inlineStr"/>
    </row>
    <row r="44">
      <c r="A44" s="14">
        <f>== CBAM ===</f>
        <v/>
      </c>
    </row>
    <row r="45">
      <c r="A45" s="15" t="inlineStr">
        <is>
          <t>CBAM se na tuto zásilku NEVZTAHUJE. Zboží kapitoly 94 (sedadla, KN 9401 39 00 a 9401 71 00) není uvedeno v příloze I nařízení (EU) 2023/956 – CBAM pokrývá cement, elektřinu, hnojiva, železo a ocel (kap. 72/73), hliník (kap. 76) a vodík. V zásilce není žádný CBAM zbožový kód.</t>
        </is>
      </c>
    </row>
    <row r="46">
      <c r="A46" s="23" t="inlineStr">
        <is>
          <t>Kontrola registru pro úplnost: příjemce „NSN Cosmetic s.r.o.“ (IČO 04127137) NENÍ uveden v reference/CBAM_receivers_CZ.xlsx (list List1, 96 firem) – ani podle názvu, ani podle EORI. Vzhledem k tomu, že zásilka žádné CBAM zboží neobsahuje, není nutné status nyní dohledávat; pro budoucí zásilky s CBAM zbožím bude třeba firmu do registru doplnit.</t>
        </is>
      </c>
    </row>
    <row r="47">
      <c r="A47" s="15" t="inlineStr">
        <is>
          <t>→ Do JSD neuvádět žádný Y kód (Y128 / Y238 / Y137) – CBAM není dotčen.</t>
        </is>
      </c>
    </row>
    <row r="48">
      <c r="A48" s="15" t="inlineStr"/>
    </row>
    <row r="49">
      <c r="A49" s="14">
        <f>== ANTIDUMPING ===</f>
        <v/>
      </c>
    </row>
    <row r="50">
      <c r="A50" s="15" t="inlineStr">
        <is>
          <t>Pro KN 9401 39 00 ani 9401 71 00 s původem v Číně nebylo zjištěno platné antidumpingové ani vyrovnávací clo.</t>
        </is>
      </c>
    </row>
    <row r="51">
      <c r="A51" s="15" t="inlineStr">
        <is>
          <t>Doporučení: standardně ověřit v TARIC CZ (opatření „Nástroje na ochranu obchodu“) k datu podání JSD – na sedadla/nábytek z ČLR v současnosti AD opatření neevidujeme.</t>
        </is>
      </c>
    </row>
    <row r="52">
      <c r="A52" s="15" t="inlineStr"/>
    </row>
    <row r="53">
      <c r="A53" s="14">
        <f>== INCOTERM ===</f>
        <v/>
      </c>
    </row>
    <row r="54">
      <c r="A54" s="15" t="inlineStr">
        <is>
          <t>FOB Ningbo – uvedeno na faktuře („AMOUNT IN RMB / FOB NINGBO“), doprava „FREIGHT COLLECT“ / „FREIGHT AS ARRANGED“ dle B/L.</t>
        </is>
      </c>
    </row>
    <row r="55">
      <c r="A55" s="24" t="inlineStr">
        <is>
          <t>⚠ Protože jde o FOB, fakturovaná hodnota 12 800 USD NENÍ celní hodnotou. Do celní hodnoty je nutno připočíst náklady na přepravu a pojištění až do místa vstupu na celní území EU. Částka přepravného není v dokladech uvedena (freight collect) – vyžádat od Maritime Bohemia / Maersk před podáním JSD.</t>
        </is>
      </c>
    </row>
    <row r="56">
      <c r="A56" s="15" t="inlineStr"/>
    </row>
    <row r="57">
      <c r="A57" s="14">
        <f>== OBCHODNÍ SLEVA ===</f>
        <v/>
      </c>
    </row>
    <row r="58">
      <c r="A58" s="15" t="inlineStr">
        <is>
          <t>Faktura neuvádí žádnou obchodní slevu (součet položek 12 800,00 USD = fakturovaný celkem). Proporcionální rozpuštění slevy se proto neuplatňuje.</t>
        </is>
      </c>
    </row>
    <row r="59">
      <c r="A59" s="15" t="inlineStr"/>
    </row>
    <row r="60">
      <c r="A60" s="14">
        <f>== KONTROLA DOKLADŮ A SOUČTŮ ===</f>
        <v/>
      </c>
    </row>
    <row r="61">
      <c r="A61" s="15" t="inlineStr">
        <is>
          <t>✓ Kusy: faktura 192+52+244+64+10 = 562 ks = packing list 562 ks = instrukce (308+244+10) ✓</t>
        </is>
      </c>
    </row>
    <row r="62">
      <c r="A62" s="15" t="inlineStr">
        <is>
          <t>✓ Kartony: packing list 244+154+10 = 408 = B/L (CAAU5953508 / 408 CARTONS) = instrukce „Celkem 408 kartonů“ ✓</t>
        </is>
      </c>
    </row>
    <row r="63">
      <c r="A63" s="15" t="inlineStr">
        <is>
          <t>✓ Hrubá hmotnost: packing list 4 908,50 kg = B/L 4908.500 KGS ✓   |   Čistá hmotnost: 4 336,50 kg ✓   |   Objem 68,000 CBM ✓</t>
        </is>
      </c>
    </row>
    <row r="64">
      <c r="A64" s="15" t="inlineStr">
        <is>
          <t>✓ Hodnota: 4 934,40 + 1 378,00 + 4 928,80 + 1 228,80 + 330,00 = 12 800,00 USD = slovní součet faktury i instrukce ✓</t>
        </is>
      </c>
    </row>
    <row r="65">
      <c r="A65" s="23" t="inlineStr">
        <is>
          <t>⚠ Měna: záhlaví faktury uvádí „AMOUNT IN RMB“, částky jsou však v $ a slovní součet i instrukce uvádějí USD → měna je USD, záhlaví faktury je chybné. Doporučuji vyžádat opravenou fakturu.</t>
        </is>
      </c>
    </row>
    <row r="66">
      <c r="A66" s="23" t="inlineStr">
        <is>
          <t>⚠ Jednotkové hmotnosti v packing listu u položky ETAN (18,60 / 16,60 kg) neodpovídají rozpočtu na 244 ks (9,30 / 8,30 kg na kus) – uvedené jednotkové hodnoty odpovídají 2 kusům. Celkové hmotnosti souhlasí s B/L, takže souhrn je správný; ověřit u odesílatele počet kusů vs. kartonů u ETAN (244 ks v 244 kartonech, ale uvedeny dva rozměry balení).</t>
        </is>
      </c>
    </row>
    <row r="67">
      <c r="A67" s="15" t="inlineStr"/>
    </row>
    <row r="68">
      <c r="A68" s="24">
        <f>== ⚠️ POZOR: B/L POKRÝVÁ DVA KONTEJNERY, DOKLADY JEN JEDEN ===</f>
        <v/>
      </c>
    </row>
    <row r="69">
      <c r="A69" s="25" t="inlineStr">
        <is>
          <t>B/L ENBBRV2605491 je vystaven na 1 118 kartonů / 12 394,500 kg / 136,000 CBM ve dvou kontejnerech:</t>
        </is>
      </c>
    </row>
    <row r="70">
      <c r="A70" s="25" t="inlineStr">
        <is>
          <t xml:space="preserve">   • CAAU5953508 / 40'HQ / CN9016173 / 408 kartonů / 4 908,500 kg / 68,000 CBM  ← POKRYTO touto fakturou, packing listem i instrukcí; zpracováno v tomto souhrnu</t>
        </is>
      </c>
    </row>
    <row r="71">
      <c r="A71" s="25" t="inlineStr">
        <is>
          <t xml:space="preserve">   • MRKU3227650 / 40'HQ / CN9016172 / 710 kartonů / 7 486,000 kg / 68,000 CBM  ← NEPOKRYTO – k tomuto kontejneru nebyla dodána faktura ani packing list</t>
        </is>
      </c>
    </row>
    <row r="72">
      <c r="A72" s="24" t="inlineStr">
        <is>
          <t>→ Buď jde o dílčí odbavení (pak je třeba na B/L uplatnit dělení zásilky), nebo chybí doklady k druhému kontejneru. Vyžádat od klienta fakturu a packing list ke kontejneru MRKU3227650.</t>
        </is>
      </c>
    </row>
    <row r="73">
      <c r="A73" s="15" t="inlineStr"/>
    </row>
    <row r="74">
      <c r="A74" s="14">
        <f>== INSTRUKCE K DORUČENÍ ===</f>
        <v/>
      </c>
    </row>
    <row r="75">
      <c r="A75" s="15" t="inlineStr">
        <is>
          <t>Doručení kamionem: ANO   |   VZV na vykládce: ANO   |   Hydraulická rampa: NE   |   Fixní rampa: NE   |   Auto s hydraulickým čelem a paletovým vozíkem: NE</t>
        </is>
      </c>
    </row>
    <row r="76">
      <c r="A76" s="15" t="inlineStr">
        <is>
          <t>Speciální požadavky klienta: „máme vysokozdvižný vozík na vykládku“.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2026-09-15T11:45:50Z</dcterms:created>
  <dcterms:modified xsi:type="dcterms:W3CDTF">2026-09-15T11:45:50Z</dcterms:modified>
</cp:coreProperties>
</file>