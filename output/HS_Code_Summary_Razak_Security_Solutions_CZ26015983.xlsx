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 faktury" sheetId="2" state="visible" r:id="rId2"/>
    <sheet xmlns:r="http://schemas.openxmlformats.org/officeDocument/2006/relationships"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8" customWidth="1" min="9" max="9"/>
    <col width="14" customWidth="1" min="10" max="10"/>
    <col width="70" customWidth="1" min="11" max="11"/>
  </cols>
  <sheetData>
    <row r="1">
      <c r="A1" s="1" t="inlineStr">
        <is>
          <t>Odesílatel</t>
        </is>
      </c>
      <c r="B1" s="1" t="inlineStr">
        <is>
          <t>HS kód</t>
        </is>
      </c>
      <c r="C1" s="1" t="inlineStr">
        <is>
          <t>Popis zboží (CZ – dle klienta)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Hodnota USD – Total (faktura)</t>
        </is>
      </c>
      <c r="I1" s="1" t="inlineStr">
        <is>
          <t>Incoterm</t>
        </is>
      </c>
      <c r="J1" s="1" t="inlineStr">
        <is>
          <t>Příznak</t>
        </is>
      </c>
      <c r="K1" s="1" t="inlineStr">
        <is>
          <t>Poznámka / TARIC / CBAM / Antidumping</t>
        </is>
      </c>
    </row>
    <row r="2" ht="150" customHeight="1">
      <c r="A2" s="2" t="inlineStr">
        <is>
          <t>Zhejiang Epowsens Electronics Co., Ltd (CN)</t>
        </is>
      </c>
      <c r="B2" s="2" t="inlineStr">
        <is>
          <t>85319000</t>
        </is>
      </c>
      <c r="C2" s="2" t="inlineStr">
        <is>
          <t>Části a součásti elektrických akustických nebo vizuálních signalizačních přístrojů
Popis zboží: 1) plastový bezpečnostní prvek s lankem uvnitř, baterie, aktustomagnetický prvek, uvnitř kovový plíšek; 2) Plastové lanko s očky; 3+4) Bezpečnostní etikety - papír a uvnitř kovová cívka, lepidlo; 5) Akustomagnetická etiketa - plast a uvnitř jsou 3 kovové plíšky</t>
        </is>
      </c>
      <c r="D2" s="2" t="inlineStr">
        <is>
          <t>CN</t>
        </is>
      </c>
      <c r="E2" s="2" t="n">
        <v>417000</v>
      </c>
      <c r="F2" s="2" t="n">
        <v>826</v>
      </c>
      <c r="G2" s="2" t="n">
        <v>930</v>
      </c>
      <c r="H2" s="2" t="n">
        <v>13120</v>
      </c>
      <c r="I2" s="2" t="inlineStr">
        <is>
          <t>FOB Xi'an (Xian, CN)</t>
        </is>
      </c>
      <c r="J2" s="3" t="inlineStr">
        <is>
          <t>OVĚŘIT KN</t>
        </is>
      </c>
      <c r="K2" s="3" t="inlineStr">
        <is>
          <t>Kód 85319000 zadal klient. ⚠️ V KN 2026 se podpoložka 8531 90 dále člení (8531 90 15 / 8531 90 85) – 8místný kód 8531 90 00 pravděpodobně není platný; navrhuji 8531 90 85 00 (Ostatní části) – ověřit v TARIC před podáním JSD. ⚠️ Pol. 2 (Two loop Lanyard – plastové lanko s očky) samostatně: zvážit, zda nejde o předmět z plastu (kap. 39, pozn. 1 g) ke tř. XVI) – ověřit. Hodnota = částka 'TOTAL FOB: USD 13120' z faktury; obsahuje železniční dopravné CHN→Praha 950 USD (zboží 12 170 USD). CBAM: ne. Antidumping: ne (pro 8531 z CN nezjištěno). Melt &amp; pour: n/a (nejde o výrobky z oceli/železa kap. 72/73).</t>
        </is>
      </c>
    </row>
    <row r="3">
      <c r="A3" s="4" t="inlineStr">
        <is>
          <t>CELKEM</t>
        </is>
      </c>
      <c r="B3" s="4" t="n"/>
      <c r="C3" s="4" t="n"/>
      <c r="D3" s="4" t="n"/>
      <c r="E3" s="4" t="n">
        <v>417000</v>
      </c>
      <c r="F3" s="4" t="n">
        <v>826</v>
      </c>
      <c r="G3" s="4" t="n">
        <v>930</v>
      </c>
      <c r="H3" s="4" t="n">
        <v>13120</v>
      </c>
      <c r="I3" s="4" t="n"/>
      <c r="J3" s="4" t="n"/>
      <c r="K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Č.</t>
        </is>
      </c>
      <c r="B1" s="1" t="inlineStr">
        <is>
          <t>Popis (faktura EN)</t>
        </is>
      </c>
      <c r="C1" s="1" t="inlineStr">
        <is>
          <t>Popis zboží (CZ – dle klienta, doslovně)</t>
        </is>
      </c>
      <c r="D1" s="1" t="inlineStr">
        <is>
          <t>HS kód (klient)</t>
        </is>
      </c>
      <c r="E1" s="1" t="inlineStr">
        <is>
          <t>Množství (ks)</t>
        </is>
      </c>
      <c r="F1" s="1" t="inlineStr">
        <is>
          <t>Jedn. cena USD (FOB Xian)</t>
        </is>
      </c>
      <c r="G1" s="1" t="inlineStr">
        <is>
          <t>Částka USD</t>
        </is>
      </c>
      <c r="H1" s="1" t="inlineStr">
        <is>
          <t>Hrubá hmotnost (kg)</t>
        </is>
      </c>
      <c r="I1" s="1" t="inlineStr">
        <is>
          <t>Čistá hmotnost (kg)</t>
        </is>
      </c>
      <c r="J1" s="1" t="inlineStr">
        <is>
          <t>Objem (m³)</t>
        </is>
      </c>
    </row>
    <row r="2">
      <c r="A2" s="2" t="n">
        <v>1</v>
      </c>
      <c r="B2" s="2" t="inlineStr">
        <is>
          <t>AS001 Big Spider Grey,AM,100CM lanyard</t>
        </is>
      </c>
      <c r="C2" s="2" t="inlineStr">
        <is>
          <t>plastový bezpečnostní prvek s lankem uvnitř, baterie, aktustomagnetický prvek, uvnitř kovový plíšek</t>
        </is>
      </c>
      <c r="D2" s="2" t="inlineStr">
        <is>
          <t>85319000</t>
        </is>
      </c>
      <c r="E2" s="2" t="n">
        <v>7000</v>
      </c>
      <c r="F2" s="2" t="n">
        <v>1.33</v>
      </c>
      <c r="G2" s="2" t="n">
        <v>9310</v>
      </c>
      <c r="H2" s="2" t="n">
        <v>710</v>
      </c>
      <c r="I2" s="2" t="n">
        <v>630</v>
      </c>
      <c r="J2" s="2" t="n">
        <v>3.4</v>
      </c>
    </row>
    <row r="3">
      <c r="A3" s="2" t="n">
        <v>2</v>
      </c>
      <c r="B3" s="2" t="inlineStr">
        <is>
          <t>Two loop Lanyard White 11CM</t>
        </is>
      </c>
      <c r="C3" s="2" t="inlineStr">
        <is>
          <t>Plastové lanko s očky</t>
        </is>
      </c>
      <c r="D3" s="2" t="inlineStr">
        <is>
          <t>85319000</t>
        </is>
      </c>
      <c r="E3" s="2" t="n">
        <v>10000</v>
      </c>
      <c r="F3" s="2" t="n">
        <v>0.026</v>
      </c>
      <c r="G3" s="2" t="n">
        <v>260</v>
      </c>
      <c r="H3" s="2" t="n">
        <v>14</v>
      </c>
      <c r="I3" s="2" t="n">
        <v>13</v>
      </c>
      <c r="J3" s="2" t="n">
        <v>0.03</v>
      </c>
    </row>
    <row r="4">
      <c r="A4" s="2" t="n">
        <v>3</v>
      </c>
      <c r="B4" s="2" t="inlineStr">
        <is>
          <t>RF Label 4x4 BC frozen</t>
        </is>
      </c>
      <c r="C4" s="2" t="inlineStr">
        <is>
          <t>Bezpečnostní etikety - papír a uvnitř kovová cívka, lepidlo</t>
        </is>
      </c>
      <c r="D4" s="2" t="inlineStr">
        <is>
          <t>85319000</t>
        </is>
      </c>
      <c r="E4" s="2" t="n">
        <v>120000</v>
      </c>
      <c r="F4" s="2" t="n">
        <v>0.0075</v>
      </c>
      <c r="G4" s="2" t="n">
        <v>900</v>
      </c>
      <c r="H4" s="2" t="n">
        <v>63</v>
      </c>
      <c r="I4" s="2" t="n">
        <v>56</v>
      </c>
      <c r="J4" s="2" t="n">
        <v>0.2</v>
      </c>
    </row>
    <row r="5">
      <c r="A5" s="2" t="n">
        <v>4</v>
      </c>
      <c r="B5" s="2" t="inlineStr">
        <is>
          <t>RF Label 4x4 BC Normal</t>
        </is>
      </c>
      <c r="C5" s="2" t="inlineStr">
        <is>
          <t>Bezpečnostní etikety - papír a uvnitř kovová cívka, lepidlo</t>
        </is>
      </c>
      <c r="D5" s="2" t="inlineStr">
        <is>
          <t>85319000</t>
        </is>
      </c>
      <c r="E5" s="2" t="n">
        <v>120000</v>
      </c>
      <c r="F5" s="2" t="n">
        <v>0.0055</v>
      </c>
      <c r="G5" s="2" t="n">
        <v>660</v>
      </c>
      <c r="H5" s="2" t="n">
        <v>63</v>
      </c>
      <c r="I5" s="2" t="n">
        <v>57</v>
      </c>
      <c r="J5" s="2" t="n">
        <v>0.2</v>
      </c>
    </row>
    <row r="6">
      <c r="A6" s="2" t="n">
        <v>5</v>
      </c>
      <c r="B6" s="2" t="inlineStr">
        <is>
          <t>AM Label with Barcode only</t>
        </is>
      </c>
      <c r="C6" s="2" t="inlineStr">
        <is>
          <t>Akustomagnetická etiketa - plast a uvnitř jsou 3 kovové plíšky</t>
        </is>
      </c>
      <c r="D6" s="2" t="inlineStr">
        <is>
          <t>85319000</t>
        </is>
      </c>
      <c r="E6" s="2" t="n">
        <v>160000</v>
      </c>
      <c r="F6" s="2" t="n">
        <v>0.0065</v>
      </c>
      <c r="G6" s="2" t="n">
        <v>1040</v>
      </c>
      <c r="H6" s="2" t="n">
        <v>80</v>
      </c>
      <c r="I6" s="2" t="n">
        <v>70</v>
      </c>
      <c r="J6" s="2" t="n">
        <v>0.466</v>
      </c>
    </row>
    <row r="7">
      <c r="A7" s="2" t="n">
        <v>6</v>
      </c>
      <c r="B7" s="2" t="inlineStr">
        <is>
          <t>Rail freight from CHN to Prague</t>
        </is>
      </c>
      <c r="C7" s="2" t="inlineStr">
        <is>
          <t>(dopravné – součást faktury)</t>
        </is>
      </c>
      <c r="D7" s="2" t="n"/>
      <c r="E7" s="2" t="n"/>
      <c r="F7" s="2" t="n"/>
      <c r="G7" s="2" t="n">
        <v>950</v>
      </c>
      <c r="H7" s="2" t="n"/>
      <c r="I7" s="2" t="n"/>
      <c r="J7" s="2" t="n"/>
    </row>
    <row r="8">
      <c r="A8" s="5" t="inlineStr"/>
      <c r="B8" s="5" t="inlineStr">
        <is>
          <t>TOTAL FOB (dle faktury)</t>
        </is>
      </c>
      <c r="C8" s="5" t="n"/>
      <c r="D8" s="5" t="n"/>
      <c r="E8" s="5" t="n">
        <v>417000</v>
      </c>
      <c r="F8" s="5" t="n"/>
      <c r="G8" s="5" t="n">
        <v>13120</v>
      </c>
      <c r="H8" s="5" t="n">
        <v>930</v>
      </c>
      <c r="I8" s="5" t="n">
        <v>826</v>
      </c>
      <c r="J8" s="5" t="n">
        <v>4.296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>
        <f>== ZÁSILKA ===</f>
        <v/>
      </c>
    </row>
    <row r="2">
      <c r="A2" s="7" t="inlineStr">
        <is>
          <t>Ref.: CZ26015983 / RAZAK SECURITY SOLUTION – vyclení do volného oběhu (VO). Příjezd příští týden na Austromar (Praha).</t>
        </is>
      </c>
    </row>
    <row r="3">
      <c r="A3" s="7" t="inlineStr">
        <is>
          <t>Odesílatel: Zhejiang Epowsens Electronics Co., Ltd, No.23 Yinchuan Road, Kaihua county, Quzhou, Zhejiang, China</t>
        </is>
      </c>
    </row>
    <row r="4">
      <c r="A4" s="7" t="inlineStr">
        <is>
          <t>Příjemce: RAZAK SECURITY SOLUTIONS (Ing. Lenka Maxová), IČO 03819051, Tyršova 787, 252 16 Nučice u Rudné</t>
        </is>
      </c>
    </row>
    <row r="5">
      <c r="A5" s="7" t="inlineStr">
        <is>
          <t>Faktura EPS260928 ze dne 28.09.2026; Packing list EPS260928; Rail consignment note PRXANB609400320L (Air Sea Transport Inc.)</t>
        </is>
      </c>
    </row>
    <row r="6">
      <c r="A6" s="7" t="inlineStr">
        <is>
          <t>Vlak V.WB261010, odjezd 10.10.2026, Xian → Praha; kontejner CMAU7597839 / plomba 342897 / 40HQ; 2 palety (91 kartonů), GW 930 kg, NW 826 kg, 4,296 m³</t>
        </is>
      </c>
    </row>
    <row r="7">
      <c r="A7" s="7" t="inlineStr">
        <is>
          <t>SCP pošle K. Buckingham, jakmile bude k dispozici.</t>
        </is>
      </c>
    </row>
    <row r="8">
      <c r="A8" s="7" t="inlineStr"/>
    </row>
    <row r="9">
      <c r="A9" s="6">
        <f>== HODNOTA / INCOTERM ===</f>
        <v/>
      </c>
    </row>
    <row r="10">
      <c r="A10" s="7" t="inlineStr">
        <is>
          <t>Hodnota dle faktury – řádek 'TOTAL FOB: USD 13120' (použita jako Total).</t>
        </is>
      </c>
    </row>
    <row r="11">
      <c r="A11" s="7" t="inlineStr">
        <is>
          <t xml:space="preserve">  Z toho zboží 12 170 USD + 'Rail freight from CHN to Prague' 950 USD.</t>
        </is>
      </c>
    </row>
    <row r="12">
      <c r="A12" s="8" t="inlineStr">
        <is>
          <t>Incoterm: FOB Xi'an (jednotkové ceny 'FOB xian'). ⚠️ Nesoulad: FOB je námořní doložka, přeprava je po železnici a faktura navíc obsahuje dopravné až do Prahy (Freight prepaid dle nákladního listu) – fakticky spíš CPT Praha. Ověřit s klientem/odesílatelem.</t>
        </is>
      </c>
    </row>
    <row r="13">
      <c r="A13" s="7" t="inlineStr">
        <is>
          <t xml:space="preserve">  Pro celní hodnotu: dopravné za úsek po hranici EU lze z celní hodnoty vyloučit – potřebujeme rozpad dopravného (do hranice EU / v EU).</t>
        </is>
      </c>
    </row>
    <row r="14">
      <c r="A14" s="7" t="inlineStr">
        <is>
          <t>Tuzemský úsek: 10 000 CZK – zahrnout do základu DPH.</t>
        </is>
      </c>
    </row>
    <row r="15">
      <c r="A15" s="7" t="inlineStr"/>
    </row>
    <row r="16">
      <c r="A16" s="6">
        <f>== PŮVOD / PREFERENCE ===</f>
        <v/>
      </c>
    </row>
    <row r="17">
      <c r="A17" s="7" t="inlineStr">
        <is>
          <t>Země původu: Čína (CN) – 'Made in China' na faktuře i v PL.</t>
        </is>
      </c>
    </row>
    <row r="18">
      <c r="A18" s="8" t="inlineStr">
        <is>
          <t>Preferenční věta: NENÍ (na faktuře ani v dalších dokladech). EU nemá s Čínou preferenční dohodu → běžná sazba cla třetích zemí.</t>
        </is>
      </c>
    </row>
    <row r="19">
      <c r="A19" s="8" t="inlineStr">
        <is>
          <t>REX číslo: NENÍ uvedeno na faktuře.</t>
        </is>
      </c>
    </row>
    <row r="20">
      <c r="A20" s="7" t="inlineStr"/>
    </row>
    <row r="21">
      <c r="A21" s="6">
        <f>== CBAM / ANTIDUMPING / MELT &amp; POUR ===</f>
        <v/>
      </c>
    </row>
    <row r="22">
      <c r="A22" s="7" t="inlineStr">
        <is>
          <t>CBAM: HS 8531 nepodléhá CBAM. (Pro informaci: RAZAK SECURITY SOLUTIONS není v registru reference/CBAM_receivers_CZ.xlsx.)</t>
        </is>
      </c>
    </row>
    <row r="23">
      <c r="A23" s="7" t="inlineStr">
        <is>
          <t>Antidumping: pro 8531 z CN nezjištěno.</t>
        </is>
      </c>
    </row>
    <row r="24">
      <c r="A24" s="7" t="inlineStr">
        <is>
          <t>Melt &amp; pour: nevztahuje se – nejde o výrobky z oceli/železa (kap. 72/73).</t>
        </is>
      </c>
    </row>
    <row r="25">
      <c r="A25" s="7" t="inlineStr"/>
    </row>
    <row r="26">
      <c r="A26" s="6">
        <f>== ZAŘAZENÍ – K OVĚŘENÍ ===</f>
        <v/>
      </c>
    </row>
    <row r="27">
      <c r="A27" s="7" t="inlineStr">
        <is>
          <t>Klient zadal pro všechny položky 85319000 – Části a součásti elektrických akustických nebo vizuálních signalizačních přístrojů (EAS / ochrana proti krádeži).</t>
        </is>
      </c>
    </row>
    <row r="28">
      <c r="A28" s="8" t="inlineStr">
        <is>
          <t>1) Platnost kódu: podpoložka KN 8531 90 se člení na 8531 90 15 a 8531 90 85 – navrhuji 8531 90 85 00. Ověřit v TARIC.</t>
        </is>
      </c>
    </row>
    <row r="29">
      <c r="A29" s="8" t="inlineStr">
        <is>
          <t>2) Pol. 2 Two loop Lanyard (plastové lanko s očky, 10 000 ks, 260 USD): části obecného použití / výrobky z plastů jsou vyloučeny z tř. XVI (pozn. 1 g)) – možné zařazení 3926 90 97. Rozhodnout, případně konzultovat customs.tariff@mauriceward.com.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2026-10-29T13:20:56Z</dcterms:created>
  <dcterms:modified xmlns:dcterms="http://purl.org/dc/terms/" xmlns:xsi="http://www.w3.org/2001/XMLSchema-instance" xsi:type="dcterms:W3CDTF">2026-10-29T13:20:56Z</dcterms:modified>
</cp:coreProperties>
</file>