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color rgb="00FFFFFF"/>
    </font>
    <font>
      <b val="1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26" customWidth="1" min="4" max="4"/>
    <col width="28" customWidth="1" min="5" max="5"/>
    <col width="40" customWidth="1" min="6" max="6"/>
    <col width="11" customWidth="1" min="7" max="7"/>
    <col width="18" customWidth="1" min="8" max="8"/>
    <col width="12" customWidth="1" min="9" max="9"/>
    <col width="12" customWidth="1" min="10" max="10"/>
    <col width="14" customWidth="1" min="11" max="11"/>
    <col width="8" customWidth="1" min="12" max="12"/>
    <col width="16" customWidth="1" min="13" max="13"/>
    <col width="70" customWidth="1" min="14" max="14"/>
  </cols>
  <sheetData>
    <row r="1">
      <c r="A1" s="1" t="inlineStr">
        <is>
          <t>HS Code Summary – LN SHOP NAILS S.R.O. (EORI/DIČ CZ14170191) – B/L XME26080221 – kont. MRKU4536490 – ref. NSN-84</t>
        </is>
      </c>
    </row>
    <row r="2">
      <c r="A2" s="2" t="inlineStr">
        <is>
          <t>Faktura KM260429-2 ze dne 30.7.2026 | Incoterm: CFR HAMBURG (dle obchodní faktury) | Měna: USD | Země původu: CN | Clení: terminál Mělník | Odesílatel: HESHAN LIYAXUAN HEALTHY PRODUCT CO., LTD</t>
        </is>
      </c>
    </row>
    <row r="4" ht="45" customHeight="1">
      <c r="A4" s="3" t="inlineStr">
        <is>
          <t>Odesílatel</t>
        </is>
      </c>
      <c r="B4" s="3" t="inlineStr">
        <is>
          <t>HS kód (dle odesílatele / B/L)</t>
        </is>
      </c>
      <c r="C4" s="3" t="inlineStr">
        <is>
          <t>Navržený KN / TARIC</t>
        </is>
      </c>
      <c r="D4" s="3" t="inlineStr">
        <is>
          <t>Popis zboží (z dokladů – EN; klient nedodal CZ popis)</t>
        </is>
      </c>
      <c r="E4" s="3" t="inlineStr">
        <is>
          <t>Orientační CZ překlad (NE od klienta)</t>
        </is>
      </c>
      <c r="F4" s="3" t="inlineStr">
        <is>
          <t>Sloučené položky</t>
        </is>
      </c>
      <c r="G4" s="3" t="inlineStr">
        <is>
          <t>Množství celkem</t>
        </is>
      </c>
      <c r="H4" s="3" t="inlineStr">
        <is>
          <t>Jednotka</t>
        </is>
      </c>
      <c r="I4" s="3" t="inlineStr">
        <is>
          <t>Čistá hmotnost (kg)</t>
        </is>
      </c>
      <c r="J4" s="3" t="inlineStr">
        <is>
          <t>Hrubá hmotnost (kg)</t>
        </is>
      </c>
      <c r="K4" s="3" t="inlineStr">
        <is>
          <t>Hodnota USD (Total dle faktury)</t>
        </is>
      </c>
      <c r="L4" s="3" t="inlineStr">
        <is>
          <t>Země původu</t>
        </is>
      </c>
      <c r="M4" s="3" t="inlineStr">
        <is>
          <t>Příznak</t>
        </is>
      </c>
      <c r="N4" s="3" t="inlineStr">
        <is>
          <t>Poznámka / CBAM / Antidumping</t>
        </is>
      </c>
    </row>
    <row r="5">
      <c r="A5" s="4" t="inlineStr">
        <is>
          <t>HESHAN LIYAXUAN HEALTHY PRODUCT CO., LTD (CN)</t>
        </is>
      </c>
      <c r="B5" s="5" t="inlineStr">
        <is>
          <t>9019101000</t>
        </is>
      </c>
      <c r="C5" s="4" t="inlineStr">
        <is>
          <t>9019 10 10 00 (dle předchozích zásilek)</t>
        </is>
      </c>
      <c r="D5" s="4" t="inlineStr">
        <is>
          <t>PEDICURE SPA CHAIR</t>
        </is>
      </c>
      <c r="E5" s="4" t="inlineStr">
        <is>
          <t>Pedikérské SPA křeslo s masáží (orientační překlad)</t>
        </is>
      </c>
      <c r="F5" s="4" t="inlineStr">
        <is>
          <t>8728-CHAIR 45 ks; S842-BASE 22 ks; S858-BASE 23 ks; 8728-LEATHER 25 sad; KM AUTOFILL 15 sad; Magnet jet 10 sad</t>
        </is>
      </c>
      <c r="G5" s="4" t="n">
        <v>140</v>
      </c>
      <c r="H5" s="4" t="inlineStr">
        <is>
          <t>ks/sady (45 křesel + 45 podstavců + 25 sad potahů + 15 autofill + 10 magnet jet)</t>
        </is>
      </c>
      <c r="I5" s="6" t="n">
        <v>5686</v>
      </c>
      <c r="J5" s="6" t="n">
        <v>6148</v>
      </c>
      <c r="K5" s="7" t="n">
        <v>37815</v>
      </c>
      <c r="L5" s="4" t="inlineStr">
        <is>
          <t>CN</t>
        </is>
      </c>
      <c r="M5" s="4" t="n"/>
      <c r="N5" s="4" t="inlineStr">
        <is>
          <t>HS dle B/L (shipper); 9019 10 10 00 použito i u předchozích zásilek LN Shop Nails („Elektrické vibrační masážní přístroje – elektrické pedikér…“). ⚠ V dokladech této zásilky NENÍ uvedeno, že jde o elektrický vibrační masážní přístroj – pokud by nebyl elektrický/vibrační → 9019 10 90. Doporučeno vyžádat technický list / foto štítku (napětí, příkon, masážní mechanismus). Křesla (8728-CHAIR) + podstavce (S842/S858-BASE) = 45 kompletních křesel v rozloženém stavu (VPV 2a). 8728-LEATHER, KM AUTOFILL a Magnet jet = náhradní díly/příslušenství, zahrnuty s křeslem dle B/L (pol. 1, 149 balíků).</t>
        </is>
      </c>
    </row>
    <row r="6">
      <c r="A6" s="4" t="inlineStr">
        <is>
          <t>HESHAN LIYAXUAN HEALTHY PRODUCT CO., LTD (CN)</t>
        </is>
      </c>
      <c r="B6" s="5" t="inlineStr">
        <is>
          <t>9403200000</t>
        </is>
      </c>
      <c r="C6" s="4" t="inlineStr">
        <is>
          <t>9403 20 80 (00)</t>
        </is>
      </c>
      <c r="D6" s="4" t="inlineStr">
        <is>
          <t>SHAMPOO BED</t>
        </is>
      </c>
      <c r="E6" s="4" t="inlineStr">
        <is>
          <t>Kadeřnické mycí lůžko (orientační překlad)</t>
        </is>
      </c>
      <c r="F6" s="4" t="inlineStr">
        <is>
          <t>9112 – 15 sad (30 ctn)</t>
        </is>
      </c>
      <c r="G6" s="4" t="n">
        <v>15</v>
      </c>
      <c r="H6" s="4" t="inlineStr">
        <is>
          <t>sady</t>
        </is>
      </c>
      <c r="I6" s="6" t="n">
        <v>1258.5</v>
      </c>
      <c r="J6" s="6" t="n">
        <v>1485</v>
      </c>
      <c r="K6" s="7" t="n">
        <v>3000</v>
      </c>
      <c r="L6" s="4" t="inlineStr">
        <is>
          <t>CN</t>
        </is>
      </c>
      <c r="M6" s="8" t="inlineStr">
        <is>
          <t>OPRAVA KN</t>
        </is>
      </c>
      <c r="N6" s="8" t="inlineStr">
        <is>
          <t>Kód 9403200000 není platný 10místný TARIC (9403 20 se v KN dělí na 20 = lůžka / 80 = ostatní). Mycí lůžko není lůžko ke spaní → 9403 20 80 (ostatní kovový nábytek), pokud je kostra kovová. Ověřit materiál.</t>
        </is>
      </c>
    </row>
    <row r="7">
      <c r="A7" s="4" t="inlineStr">
        <is>
          <t>HESHAN LIYAXUAN HEALTHY PRODUCT CO., LTD (CN)</t>
        </is>
      </c>
      <c r="B7" s="5" t="inlineStr">
        <is>
          <t>3926909090</t>
        </is>
      </c>
      <c r="C7" s="4" t="inlineStr">
        <is>
          <t>3926 90 97 (TARIC 10místný ověřit)</t>
        </is>
      </c>
      <c r="D7" s="4" t="inlineStr">
        <is>
          <t>COLOR CARD</t>
        </is>
      </c>
      <c r="E7" s="4" t="inlineStr">
        <is>
          <t>Vzorník barev (plastový) (orientační překlad)</t>
        </is>
      </c>
      <c r="F7" s="4" t="inlineStr">
        <is>
          <t>color card – 5 sad (1 ctn)</t>
        </is>
      </c>
      <c r="G7" s="4" t="n">
        <v>5</v>
      </c>
      <c r="H7" s="4" t="inlineStr">
        <is>
          <t>sady</t>
        </is>
      </c>
      <c r="I7" s="6" t="n">
        <v>10</v>
      </c>
      <c r="J7" s="6" t="n">
        <v>11</v>
      </c>
      <c r="K7" s="7" t="n">
        <v>40</v>
      </c>
      <c r="L7" s="4" t="inlineStr">
        <is>
          <t>CN</t>
        </is>
      </c>
      <c r="M7" s="8" t="inlineStr">
        <is>
          <t>OPRAVA KN</t>
        </is>
      </c>
      <c r="N7" s="8" t="inlineStr">
        <is>
          <t>Kód 3926909090 v KN neexistuje (3926 90 se dělí na 50 / 92 / 97). Plastový vzorník laků na nehty → 3926 90 97. Pokud by šlo o tištěný papírový vzorník, zvážit kap. 49 – ověřit.</t>
        </is>
      </c>
    </row>
    <row r="8">
      <c r="A8" s="4" t="inlineStr">
        <is>
          <t>HESHAN LIYAXUAN HEALTHY PRODUCT CO., LTD (CN)</t>
        </is>
      </c>
      <c r="B8" s="5" t="inlineStr">
        <is>
          <t>7326909000</t>
        </is>
      </c>
      <c r="C8" s="4" t="inlineStr">
        <is>
          <t>7326 90 98 (TARIC 10místný ověřit)</t>
        </is>
      </c>
      <c r="D8" s="4" t="inlineStr">
        <is>
          <t>STAINLESS STEEL POSTER STAND</t>
        </is>
      </c>
      <c r="E8" s="4" t="inlineStr">
        <is>
          <t>Stojan na plakáty z nerezové oceli (orientační překlad)</t>
        </is>
      </c>
      <c r="F8" s="4" t="inlineStr">
        <is>
          <t>Stainless steel poster stand – 10 sad (4 ctn)</t>
        </is>
      </c>
      <c r="G8" s="4" t="n">
        <v>10</v>
      </c>
      <c r="H8" s="4" t="inlineStr">
        <is>
          <t>sady</t>
        </is>
      </c>
      <c r="I8" s="6" t="n">
        <v>47</v>
      </c>
      <c r="J8" s="6" t="n">
        <v>55</v>
      </c>
      <c r="K8" s="7" t="n">
        <v>45</v>
      </c>
      <c r="L8" s="4" t="inlineStr">
        <is>
          <t>CN</t>
        </is>
      </c>
      <c r="M8" s="9" t="inlineStr">
        <is>
          <t>CBAM + MELT&amp;POUR</t>
        </is>
      </c>
      <c r="N8" s="9" t="inlineStr">
        <is>
          <t>Kód 7326909000 v KN neexistuje (7326 90 se dělí na 30/40/50/60/92/94/96/98) → 7326 90 98 (ostatní výrobky ze železa/oceli). CBAM zboží (č. 7326). Příjemce LN SHOP NAILS NENÍ v CBAM registru! Chybí hutní atest (melt &amp; pour).</t>
        </is>
      </c>
    </row>
    <row r="9">
      <c r="A9" s="4" t="inlineStr">
        <is>
          <t>HESHAN LIYAXUAN HEALTHY PRODUCT CO., LTD (CN)</t>
        </is>
      </c>
      <c r="B9" s="5" t="inlineStr">
        <is>
          <t>6805200000</t>
        </is>
      </c>
      <c r="C9" s="4" t="inlineStr">
        <is>
          <t>6805 20 00 (00)</t>
        </is>
      </c>
      <c r="D9" s="4" t="inlineStr">
        <is>
          <t>NAIL FILE</t>
        </is>
      </c>
      <c r="E9" s="4" t="inlineStr">
        <is>
          <t>Pilník na nehty (orientační překlad)</t>
        </is>
      </c>
      <c r="F9" s="4" t="inlineStr">
        <is>
          <t>Nail File – 35 000 ks (25 ctn)</t>
        </is>
      </c>
      <c r="G9" s="4" t="n">
        <v>35000</v>
      </c>
      <c r="H9" s="4" t="inlineStr">
        <is>
          <t>ks</t>
        </is>
      </c>
      <c r="I9" s="6" t="n">
        <v>496</v>
      </c>
      <c r="J9" s="6" t="n">
        <v>521</v>
      </c>
      <c r="K9" s="7" t="n">
        <v>7700</v>
      </c>
      <c r="L9" s="4" t="inlineStr">
        <is>
          <t>CN</t>
        </is>
      </c>
      <c r="M9" s="4" t="n"/>
      <c r="N9" s="4" t="inlineStr">
        <is>
          <t>Platný kód. Brusivo na podložce z papíru/lepenky. Pokud je podložka textilní → 6805 10 00; kovový pilník → 8214 20 00. Ověřit materiál podložky.</t>
        </is>
      </c>
    </row>
    <row r="10">
      <c r="A10" s="10" t="inlineStr">
        <is>
          <t>CELKEM</t>
        </is>
      </c>
      <c r="B10" s="11" t="n"/>
      <c r="C10" s="11" t="n"/>
      <c r="D10" s="11" t="n"/>
      <c r="E10" s="11" t="n"/>
      <c r="F10" s="11" t="n"/>
      <c r="G10" s="10" t="inlineStr">
        <is>
          <t>209 balíků</t>
        </is>
      </c>
      <c r="H10" s="11" t="n"/>
      <c r="I10" s="12">
        <f>SUM(I5:I9)</f>
        <v/>
      </c>
      <c r="J10" s="12">
        <f>SUM(J5:J9)</f>
        <v/>
      </c>
      <c r="K10" s="13">
        <f>SUM(K5:K9)</f>
        <v/>
      </c>
      <c r="L10" s="11" t="n"/>
      <c r="M10" s="11" t="n"/>
      <c r="N10" s="14" t="inlineStr">
        <is>
          <t>Kontrola: NW 7 497,5 kg (PL zaokr. 7 498) | GW 8 220 kg (= PL i B/L) | Total faktury USD 48 600,00</t>
        </is>
      </c>
    </row>
    <row r="12">
      <c r="A12" s="15" t="inlineStr">
        <is>
          <t>Legenda:</t>
        </is>
      </c>
      <c r="B12" t="inlineStr"/>
    </row>
    <row r="13">
      <c r="A13" s="15" t="inlineStr">
        <is>
          <t>🔴 ČERVENÁ</t>
        </is>
      </c>
      <c r="B13" t="inlineStr">
        <is>
          <t>CBAM zboží – příjemce NENÍ v registru CBAM_receivers_CZ.xlsx; chybí hutní atest (melt &amp; pour)</t>
        </is>
      </c>
    </row>
    <row r="14">
      <c r="A14" s="15" t="inlineStr">
        <is>
          <t>🟡 ŽLUTÁ</t>
        </is>
      </c>
      <c r="B14" t="inlineStr">
        <is>
          <t>HS kód odesílatele není platný v KN/TARIC EU – navržena oprava 8místného kódu (CCT/VPV KN tariff rule)</t>
        </is>
      </c>
    </row>
    <row r="15">
      <c r="A15" s="15" t="inlineStr">
        <is>
          <t>Hodnota</t>
        </is>
      </c>
      <c r="B15" t="inlineStr">
        <is>
          <t>Částky z obchodní faktury KM260429-2, celková částka 'TOTAL: $48,600.00'. Bez slevy.</t>
        </is>
      </c>
    </row>
    <row r="16">
      <c r="A16" s="15" t="inlineStr">
        <is>
          <t>Hmotnosti</t>
        </is>
      </c>
      <c r="B16" t="inlineStr">
        <is>
          <t>Skutečné NW/GW z packing listu (ne proporcionální výpočet). GW souhlasí s B/L po skupinách.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5">
        <f>== PŘIJATÉ DOKUMENTY ===</f>
        <v/>
      </c>
    </row>
    <row r="2">
      <c r="A2" t="inlineStr">
        <is>
          <t>✓ Obchodní faktura KM260429-2 (30.7.2026) – HESHAN LIYAXUAN HEALTHY PRODUCT CO., LTD → LN Shop Nails s.r.o., TOTAL USD 48 600,00, CFR HAMBURG</t>
        </is>
      </c>
    </row>
    <row r="3">
      <c r="A3" t="inlineStr">
        <is>
          <t>✓ Packing list KM260429-2 – 209 balíků, NW 7 498 kg, GW 8 220 kg, 65,058 CBM</t>
        </is>
      </c>
    </row>
    <row r="4">
      <c r="A4" t="inlineStr">
        <is>
          <t>✓ B/L XME26080221 (Telex release), Xiamen Jaguar Logistics – YANTIAN → MĚLNÍK, kont. MRKU4536490, plomba ML-CN7299442, FREIGHT COLLECT, on board 6.8.2026</t>
        </is>
      </c>
    </row>
    <row r="5">
      <c r="A5" t="inlineStr">
        <is>
          <t>✓ Potvrzení pro celní účely Euro/Shipping (19.9.2026) – FOB YANTIAN–BREMERHAVEN–MĚLNÍK–BRNO, kont. MRKU453649-0</t>
        </is>
      </c>
    </row>
    <row r="6">
      <c r="A6" t="inlineStr">
        <is>
          <t>✓ Faktura Euro-Shipping č. 2026103 (19.9.2026) – 136 525 CZK (6 350 USD × 21,5)</t>
        </is>
      </c>
    </row>
    <row r="7">
      <c r="A7" t="inlineStr"/>
    </row>
    <row r="8">
      <c r="A8" s="15">
        <f>== ODESÍLATEL / TŘÍDĚNÍ ===</f>
        <v/>
      </c>
    </row>
    <row r="9">
      <c r="A9" t="inlineStr">
        <is>
          <t>Jediný odesílatel: HESHAN LIYAXUAN HEALTHY PRODUCT CO., LTD (Heshan, Guangdong, CN). Položky sloučeny do 5 unikátních HS kódů.</t>
        </is>
      </c>
    </row>
    <row r="10">
      <c r="A10" t="inlineStr"/>
    </row>
    <row r="11">
      <c r="A11" s="15">
        <f>== POPIS ZBOŽÍ ===</f>
        <v/>
      </c>
    </row>
    <row r="12">
      <c r="A12" s="16" t="inlineStr">
        <is>
          <t>⚠ Klient NEZASLAL český popis zboží. Ve sloupci Popis je anglický popis z obchodní faktury. Sloupec 'Orientační CZ překlad' je můj překlad, nikoli popis od klienta – před podáním potvrdit s klientem.</t>
        </is>
      </c>
    </row>
    <row r="13">
      <c r="A13" s="16" t="inlineStr">
        <is>
          <t>⚠ Na faktuře nemají popis ani model řádky 15 ks (USD 45) a 10 ks (USD 20) – dle packing listu jde o 'KM AUTOFILL' a 'Magnet jet'. Doporučeno vyžádat popis/funkci.</t>
        </is>
      </c>
    </row>
    <row r="14">
      <c r="A14" t="inlineStr"/>
    </row>
    <row r="15">
      <c r="A15" s="15">
        <f>== INCOTERM / CELNÍ HODNOTA ===</f>
        <v/>
      </c>
    </row>
    <row r="16">
      <c r="A16" t="inlineStr">
        <is>
          <t>Incoterm dle obchodní faktury: CFR HAMBURG.</t>
        </is>
      </c>
    </row>
    <row r="17">
      <c r="A17" s="16" t="inlineStr">
        <is>
          <t>⚠ ROZPOR: B/L uvádí FREIGHT COLLECT a Euro/Shipping fakturuje kupujícímu námořní dopravné z FOB YANTIAN (ocean freight 4 750 USD). Při CFR by dopravné hradil prodávající.</t>
        </is>
      </c>
    </row>
    <row r="18">
      <c r="A18" t="inlineStr">
        <is>
          <t>→ Pokud je skutečná dodací podmínka FOB Yantian, je nutné do celní hodnoty připočíst dopravné do místa vstupu do EU (Bremerhaven) = 4 750 USD → celní hodnota 53 350 USD.</t>
        </is>
      </c>
    </row>
    <row r="19">
      <c r="A19" t="inlineStr">
        <is>
          <t xml:space="preserve">   Evropský úsek (950 USD) a tuzemský úsek (650 USD) jsou dopravou po vstupu do EU – do celní hodnoty se nezahrnují (jsou uvedeny odděleně).</t>
        </is>
      </c>
    </row>
    <row r="20">
      <c r="A20" s="16" t="inlineStr">
        <is>
          <t>⚠ Pozn.: Bremerhaven ≠ Hamburg (místo CFR na faktuře). Potvrdit s klientem skutečnou dodací podmínku.</t>
        </is>
      </c>
    </row>
    <row r="21">
      <c r="A21" s="16" t="inlineStr">
        <is>
          <t>⚠ Faktura Euro-Shipping 2026103 uvádí kontejner MRSU264738-0 – NESOUHLASÍ s MRKU4536490 (potvrzení Euro/Shipping uvádí správně MRKU453649-0). Vyžádat opravu faktury.</t>
        </is>
      </c>
    </row>
    <row r="22">
      <c r="A22" t="inlineStr"/>
    </row>
    <row r="23">
      <c r="A23" t="inlineStr">
        <is>
          <t>Orientační alokace dopravného 4 750 USD dle hrubé hmotnosti (pouze pokud platí FOB):</t>
        </is>
      </c>
    </row>
    <row r="24">
      <c r="A24" t="inlineStr">
        <is>
          <t xml:space="preserve">   9019101000: GW 6,148.0 kg → 3,552.68 USD</t>
        </is>
      </c>
    </row>
    <row r="25">
      <c r="A25" t="inlineStr">
        <is>
          <t xml:space="preserve">   9403200000: GW 1,485.0 kg → 858.12 USD</t>
        </is>
      </c>
    </row>
    <row r="26">
      <c r="A26" t="inlineStr">
        <is>
          <t xml:space="preserve">   3926909090: GW 11.0 kg → 6.36 USD</t>
        </is>
      </c>
    </row>
    <row r="27">
      <c r="A27" t="inlineStr">
        <is>
          <t xml:space="preserve">   7326909000: GW 55.0 kg → 31.78 USD</t>
        </is>
      </c>
    </row>
    <row r="28">
      <c r="A28" t="inlineStr">
        <is>
          <t xml:space="preserve">   6805200000: GW 521.0 kg → 301.06 USD</t>
        </is>
      </c>
    </row>
    <row r="29">
      <c r="A29" t="inlineStr"/>
    </row>
    <row r="30">
      <c r="A30" s="15">
        <f>== PREFERENČNÍ PŮVOD / COO ===</f>
        <v/>
      </c>
    </row>
    <row r="31">
      <c r="A31" t="inlineStr">
        <is>
          <t>Země původu: Čína (MADE IN CHINA u všech položek).</t>
        </is>
      </c>
    </row>
    <row r="32">
      <c r="A32" s="16" t="inlineStr">
        <is>
          <t>✗ Preferenční věta (prohlášení o preferenčním původu) NENÍ v dokladech uvedena → platí standardní (smluvní) clo třetích zemí. EU nemá s Čínou preferenční dohodu.</t>
        </is>
      </c>
    </row>
    <row r="33">
      <c r="A33" s="16" t="inlineStr">
        <is>
          <t>✗ REX číslo NENÍ na faktuře uvedeno.</t>
        </is>
      </c>
    </row>
    <row r="34">
      <c r="A34" t="inlineStr"/>
    </row>
    <row r="35">
      <c r="A35" s="15">
        <f>== CBAM ===</f>
        <v/>
      </c>
    </row>
    <row r="36">
      <c r="A36" t="inlineStr">
        <is>
          <t>Dotčený HS kód: 7326 (stojan na plakáty z nerezové oceli) – 47 kg NW / 55 kg GW.</t>
        </is>
      </c>
    </row>
    <row r="37">
      <c r="A37" s="16" t="inlineStr">
        <is>
          <t>⚠ Příjemce LN SHOP NAILS S.R.O. (IČO 14170191, EORI/DIČ CZ14170191) NENÍ v registru reference/CBAM_receivers_CZ.xlsx (hledáno dle firmy i EORI).</t>
        </is>
      </c>
    </row>
    <row r="38">
      <c r="A38" t="inlineStr">
        <is>
          <t>→ Nelze určit Y kód (Y128 / Y238 / Y137). Ověřit u klienta CBAM status a doplnit do registru. Při 47 kg pravděpodobně de minimis (Y137) – ale NEPŘEDPOKLÁDAT bez potvrzení klienta.</t>
        </is>
      </c>
    </row>
    <row r="39">
      <c r="A39" t="inlineStr">
        <is>
          <t>Firma není ani mezi společnostmi mimo EU využívajícími sdílený účet CBAM-CZ-2025-QGM67089385721.</t>
        </is>
      </c>
    </row>
    <row r="40">
      <c r="A40" t="inlineStr"/>
    </row>
    <row r="41">
      <c r="A41" s="15">
        <f>== MELT AND POUR (ocel) ===</f>
        <v/>
      </c>
    </row>
    <row r="42">
      <c r="A42" s="16" t="inlineStr">
        <is>
          <t>⚠ Pro položku 7326 (nerezový stojan na plakáty) CHYBÍ hutní atest / mill test certificate a země tavby a odlití (melt &amp; pour). Nutno vyžádat před proclením.</t>
        </is>
      </c>
    </row>
    <row r="43">
      <c r="A43" t="inlineStr">
        <is>
          <t>Země melt &amp; pour je oddělená od země původu (CN) – nezaměňovat.</t>
        </is>
      </c>
    </row>
    <row r="44">
      <c r="A44" t="inlineStr"/>
    </row>
    <row r="45">
      <c r="A45" s="15">
        <f>== ANTIDUMPING ===</f>
        <v/>
      </c>
    </row>
    <row r="46">
      <c r="A46" t="inlineStr">
        <is>
          <t>U žádného z 5 kódů jsem nezjistil antidumpingové clo pro CN (9019, 9403, 3926, 7326, 6805). Nebylo ověřeno v živém TARIC – před podáním JSD zkontrolovat TARIC opatření.</t>
        </is>
      </c>
    </row>
    <row r="47">
      <c r="A47" t="inlineStr"/>
    </row>
    <row r="48">
      <c r="A48" s="15">
        <f>== SAZEBNÍ ZAŘAZENÍ (CCT/VPV KN tariff rule) ===</f>
        <v/>
      </c>
    </row>
    <row r="49">
      <c r="A49" t="inlineStr">
        <is>
          <t>Všechny položky mají HS kód od odesílatele (B/L). U 3 kódů ale 10místný kód není platný v KN/TARIC EU – 8místné podpoložky KN jsem odvodil podle CCT/VPV KN tariff rule:</t>
        </is>
      </c>
    </row>
    <row r="50">
      <c r="A50" t="inlineStr">
        <is>
          <t xml:space="preserve">   3926909090 → 3926 90 97 | 7326909000 → 7326 90 98 | 9403200000 → 9403 20 80</t>
        </is>
      </c>
    </row>
    <row r="51">
      <c r="A51" t="inlineStr">
        <is>
          <t>9019101000 (pedikérské křeslo): 9019 10 10 00 dle kódu odesílatele a předchozích zásilek LN Shop Nails. Elektrická vibrační masáž NENÍ v dokladech této zásilky doložena – ověřit technickým listem (jinak 9019 10 90).</t>
        </is>
      </c>
    </row>
    <row r="52">
      <c r="A52" t="inlineStr">
        <is>
          <t>Pro T1 postačuje 6místný HS kód – kódy odesílatele na 6 místech jsou použitelné, u 3926 / 7326 / 9403 doporučeno uvést opravený 8místný KN.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2026-10-12T13:21:18Z</dcterms:created>
  <dcterms:modified xmlns:dcterms="http://purl.org/dc/terms/" xmlns:xsi="http://www.w3.org/2001/XMLSchema-instance" xsi:type="dcterms:W3CDTF">2026-10-12T13:21:18Z</dcterms:modified>
</cp:coreProperties>
</file>