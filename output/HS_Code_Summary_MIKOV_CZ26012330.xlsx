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S Summary" sheetId="1" state="visible" r:id="rId1"/>
    <sheet name="Dokumenty a poznámk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4" fontId="0" fillId="0" borderId="0" applyAlignment="1" pivotButton="0" quotePrefix="0" xfId="0">
      <alignment vertical="top" wrapText="1"/>
    </xf>
    <xf numFmtId="0" fontId="1" fillId="0" borderId="0" applyAlignment="1" pivotButton="0" quotePrefix="0" xfId="0">
      <alignment vertical="top" wrapText="1"/>
    </xf>
    <xf numFmtId="4" fontId="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32" customWidth="1" min="3" max="3"/>
    <col width="20" customWidth="1" min="4" max="4"/>
    <col width="22" customWidth="1" min="5" max="5"/>
    <col width="12" customWidth="1" min="6" max="6"/>
    <col width="12" customWidth="1" min="7" max="7"/>
    <col width="14" customWidth="1" min="8" max="8"/>
    <col width="16" customWidth="1" min="9" max="9"/>
    <col width="14" customWidth="1" min="10" max="10"/>
    <col width="16" customWidth="1" min="11" max="11"/>
    <col width="70" customWidth="1" min="12" max="12"/>
  </cols>
  <sheetData>
    <row r="1">
      <c r="A1" s="1" t="inlineStr">
        <is>
          <t>Odesílatel</t>
        </is>
      </c>
      <c r="B1" s="1" t="inlineStr">
        <is>
          <t>HS kód</t>
        </is>
      </c>
      <c r="C1" s="1" t="inlineStr">
        <is>
          <t>Popis zboží (CZ – dle klienta)</t>
        </is>
      </c>
      <c r="D1" s="1" t="inlineStr">
        <is>
          <t>Země původu (COO)</t>
        </is>
      </c>
      <c r="E1" s="1" t="inlineStr">
        <is>
          <t>Množství</t>
        </is>
      </c>
      <c r="F1" s="1" t="inlineStr">
        <is>
          <t>Čistá hmotnost (kg)</t>
        </is>
      </c>
      <c r="G1" s="1" t="inlineStr">
        <is>
          <t>Hrubá hmotnost (kg)</t>
        </is>
      </c>
      <c r="H1" s="1" t="inlineStr">
        <is>
          <t>Hodnota EUR – řádky faktury</t>
        </is>
      </c>
      <c r="I1" s="1" t="inlineStr">
        <is>
          <t>Hodnota EUR – podíl na „Total“ (10 055,82)</t>
        </is>
      </c>
      <c r="J1" s="1" t="inlineStr">
        <is>
          <t>Incoterm</t>
        </is>
      </c>
      <c r="K1" s="1" t="inlineStr">
        <is>
          <t>Příznak</t>
        </is>
      </c>
      <c r="L1" s="1" t="inlineStr">
        <is>
          <t>Položky faktury / poznámka</t>
        </is>
      </c>
    </row>
    <row r="2">
      <c r="A2" s="2" t="inlineStr">
        <is>
          <t>THE DESIGNER'S, Jalandhar (IN)</t>
        </is>
      </c>
      <c r="B2" s="2" t="inlineStr">
        <is>
          <t>4202918090</t>
        </is>
      </c>
      <c r="C2" s="2" t="inlineStr">
        <is>
          <t>kožené kapsáře pro truhlářská dláta</t>
        </is>
      </c>
      <c r="D2" s="2" t="inlineStr">
        <is>
          <t>IN – preferenční původ (GSP, REX)</t>
        </is>
      </c>
      <c r="E2" s="2" t="inlineStr">
        <is>
          <t>1307 ks + 1031 sad (= 6186 ks chráničů ostří)</t>
        </is>
      </c>
      <c r="F2" s="2" t="n">
        <v>524.3</v>
      </c>
      <c r="G2" s="2" t="n">
        <v>555.8</v>
      </c>
      <c r="H2" s="3" t="n">
        <v>9425.6</v>
      </c>
      <c r="I2" s="3" t="n">
        <v>9428.040000000001</v>
      </c>
      <c r="J2" s="2" t="inlineStr">
        <is>
          <t>EXW Jalandhar</t>
        </is>
      </c>
      <c r="K2" s="2" t="inlineStr">
        <is>
          <t>PREF. PŮVOD / REX</t>
        </is>
      </c>
      <c r="L2" s="2" t="inlineStr">
        <is>
          <t>Fa ř. 1–4: kožené kapsáře na dláta 1007 ks, kožené kapsáře na nářadí 14 kapes 300 ks, kožené chrániče ostří – sady 6 ks 1007+24 sad (24 sad = SLEVA −32,40, fakticky FOC). TARIC 4202 91 80 90 (Ostatní); klient uvedl 42029100 – v TARIC neexistuje, POTVRZENO Kamilou Levovou 30.09.2026.</t>
        </is>
      </c>
    </row>
    <row r="3">
      <c r="A3" s="2" t="inlineStr">
        <is>
          <t>THE DESIGNER'S, Jalandhar (IN)</t>
        </is>
      </c>
      <c r="B3" s="2" t="inlineStr">
        <is>
          <t>4202929890</t>
        </is>
      </c>
      <c r="C3" s="2" t="inlineStr">
        <is>
          <t>nylonový kapsář pro truhlářská dláta</t>
        </is>
      </c>
      <c r="D3" s="2" t="inlineStr">
        <is>
          <t>IN – preferenční původ (GSP, REX)</t>
        </is>
      </c>
      <c r="E3" s="2" t="inlineStr">
        <is>
          <t>102 ks</t>
        </is>
      </c>
      <c r="F3" s="2" t="n">
        <v>24.5</v>
      </c>
      <c r="G3" s="2" t="n">
        <v>26.5</v>
      </c>
      <c r="H3" s="3" t="n">
        <v>271.32</v>
      </c>
      <c r="I3" s="3" t="n">
        <v>271.39</v>
      </c>
      <c r="J3" s="2" t="inlineStr">
        <is>
          <t>EXW Jalandhar</t>
        </is>
      </c>
      <c r="K3" s="2" t="inlineStr">
        <is>
          <t>PREF. PŮVOD / REX</t>
        </is>
      </c>
      <c r="L3" s="2" t="inlineStr">
        <is>
          <t>Fa ř. 6: CANVAS TOOL ROLL 102 ks. TARIC 4202 92 98 90 (S vnějším povrchem z textilních materiálů – Ostatní – Ostatní). Klient uvedl 42029200 – v TARIC neexistuje; K. Levová 30.09.2026 k 4202 92 98 90: „může být, je to směska“ (bez námitky). Canvas / nylon / směs vláken = textil. 4202 92 19 00 (povrch z plastové fólie) by platil jen při viditelném plastovém povlaku/laminaci – na dokladech neuvedeno.</t>
        </is>
      </c>
    </row>
    <row r="4">
      <c r="A4" s="2" t="inlineStr">
        <is>
          <t>THE DESIGNER'S, Jalandhar (IN)</t>
        </is>
      </c>
      <c r="B4" s="2" t="inlineStr">
        <is>
          <t>4205009000</t>
        </is>
      </c>
      <c r="C4" s="2" t="inlineStr">
        <is>
          <t>kožené chrániče prstů</t>
        </is>
      </c>
      <c r="D4" s="2" t="inlineStr">
        <is>
          <t>IN – preferenční původ (GSP, REX)</t>
        </is>
      </c>
      <c r="E4" s="2" t="inlineStr">
        <is>
          <t>509 ks</t>
        </is>
      </c>
      <c r="F4" s="2" t="n">
        <v>5</v>
      </c>
      <c r="G4" s="2" t="n">
        <v>5.75</v>
      </c>
      <c r="H4" s="3" t="n">
        <v>356.3</v>
      </c>
      <c r="I4" s="3" t="n">
        <v>356.39</v>
      </c>
      <c r="J4" s="2" t="inlineStr">
        <is>
          <t>EXW Jalandhar</t>
        </is>
      </c>
      <c r="K4" s="2" t="inlineStr">
        <is>
          <t>PREF. PŮVOD / REX</t>
        </is>
      </c>
      <c r="L4" s="2" t="inlineStr">
        <is>
          <t>Fa ř. 5: LEATHER FINGER PROTECTOR WITH NAREX LOGO 35mm, 509 ks. K. Levová 30.09.2026 potvrdila: „nasadí se na prst“ → není pouzdro, mimo 4202 → 4205 00 90 00 (ostatní výrobky z usně). Popis „kožené chrániče prstů“ navržen námi v e-mailu, klient bez výhrad.</t>
        </is>
      </c>
    </row>
    <row r="5">
      <c r="A5" s="4" t="inlineStr">
        <is>
          <t>CELKEM</t>
        </is>
      </c>
      <c r="B5" s="4" t="inlineStr"/>
      <c r="C5" s="4" t="inlineStr"/>
      <c r="D5" s="4" t="inlineStr"/>
      <c r="E5" s="4" t="inlineStr">
        <is>
          <t>1918 ks + 1031 sad</t>
        </is>
      </c>
      <c r="F5" s="4" t="n">
        <v>553.8</v>
      </c>
      <c r="G5" s="4" t="n">
        <v>588.05</v>
      </c>
      <c r="H5" s="5" t="n">
        <v>10053.22</v>
      </c>
      <c r="I5" s="5" t="n">
        <v>10055.82</v>
      </c>
      <c r="J5" s="4" t="inlineStr">
        <is>
          <t>EXW Jalandhar</t>
        </is>
      </c>
      <c r="K5" s="4" t="inlineStr"/>
      <c r="L5" s="4" t="inlineStr">
        <is>
          <t>Hmotnosti = PL/MTD (553,800 / 588,050 kg). Total dle faktury: 10 055,82 EUR (= 10 053,22 − sleva 32,40 + vzorky 3D modelů dlát 35,00); úprava +2,60 rozpuštěna poměrně dle hodnoty.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60" customWidth="1" min="1" max="1"/>
  </cols>
  <sheetData>
    <row r="1">
      <c r="A1" s="4">
        <f>== ZÁSILKA ===</f>
        <v/>
      </c>
    </row>
    <row r="2">
      <c r="A2" s="2" t="inlineStr">
        <is>
          <t>Klient/příjemce: MIKOV s.r.o., Dr. E. Beneše 349, 257 51 Bystřice u Benešova (kontakt p. Pála, 739 653 849, vykládka 6–12 h, VZV ano, kamion ano) | IČO 25028626, DIČ CZ25028626, EORI CZ25028626 (EORI ověřeno v EU EOS 30-09-2026: Valid). Sídlo dle ARES: Mikov s.r.o., č.p. 741, 407 79 Mikulášovice (vznik 26.11.1997). Adresa Dr. E. Beneše 349, Bystřice je provozovna/adresa doručení (býv. areál Narex Bystřice), ne sídlo – do JSD uvést IČO/EORI výše.</t>
        </is>
      </c>
    </row>
    <row r="3">
      <c r="A3" s="2" t="inlineStr">
        <is>
          <t>Odesílatel: THE DESIGNER'S, 147 Ganga Road, Jalandhar Cantt 144005, Punjab, Indie (IE Code 1288024738)</t>
        </is>
      </c>
    </row>
    <row r="4">
      <c r="A4" s="2" t="inlineStr">
        <is>
          <t>Ref.: OR / BL GLUHPRG260800130 / CZ26012330. MTD (Globelink WW India), MSC ROMANE / IP634A, Nhava Sheva → Praha, LCL, kont. TCLU7882608 / 40HC, 35 kartonů, 1,813 m³</t>
        </is>
      </c>
    </row>
    <row r="5">
      <c r="A5" s="2" t="inlineStr">
        <is>
          <t>Požadavek: JSD – vyclení do volného oběhu (dle instrukce + e-mail K. Levová). Předpokládaný příjezd A1: 19.10.2026</t>
        </is>
      </c>
    </row>
    <row r="6">
      <c r="A6" s="2" t="inlineStr">
        <is>
          <t>Faktura č. 5378 ze dne 08.08.2026, PL č. 5378 ze dne 08.08.2026, S. Bill 5849305 z 11.08.2026</t>
        </is>
      </c>
    </row>
    <row r="7">
      <c r="A7" s="2" t="n"/>
    </row>
    <row r="8">
      <c r="A8" s="4">
        <f>== ⚠ PREFERENČNÍ VĚTA – PŘÍTOMNA NA FAKTUŘE ===</f>
        <v/>
      </c>
    </row>
    <row r="9">
      <c r="A9" s="2" t="inlineStr">
        <is>
          <t>„STATEMENT ON ORIGIN – The Exporter INREX1288024738EC027 of the products covered by this document declares that, except where otherwise clearly indicated, these products are 'INDIAN' Preferential origin according to rules of origin of the Generalised System of Preferences of the European Union and that the origin criterion met is 'P'.“</t>
        </is>
      </c>
    </row>
    <row r="10">
      <c r="A10" s="2" t="inlineStr">
        <is>
          <t>→ Preferenční původ Indie (GSP / VSP EU), kritérium P (zcela získané / vyrobené). Uplatnit preferenční sazbu místo sazby třetích zemí (4202918090: 3 %; 4202929890: 2,7 % – ověřit v TARIC – ověřit v TARIC).</t>
        </is>
      </c>
    </row>
    <row r="11">
      <c r="A11" s="2" t="inlineStr">
        <is>
          <t>→ Před podáním ověřit, že se na Indii pro tuto kapitolu (42) nevztahuje graduace GSP (odstavení preference pro danou sekci).</t>
        </is>
      </c>
    </row>
    <row r="12">
      <c r="A12" s="2" t="inlineStr">
        <is>
          <t>Věta není podepsána – u REX prohlášení podpis není vyžadován.</t>
        </is>
      </c>
    </row>
    <row r="13">
      <c r="A13" s="2" t="n"/>
    </row>
    <row r="14">
      <c r="A14" s="4">
        <f>== ⚠ REX ČÍSLO – PŘÍTOMNO ===</f>
        <v/>
      </c>
    </row>
    <row r="15">
      <c r="A15" s="2" t="inlineStr">
        <is>
          <t>REX: INREX1288024738EC027 (uvedeno ve větě o původu na faktuře). ✓ OVĚŘENO v databázi REX (EU TAXUD, ec.europa.eu/taxation_customs/dds2/eos/rex_validation.jsp) dne 30-09-2026 11:46: „The REX number is valid“. Registrovaný vývozce: THE DESIGNER'S, 147 Ganga Road, 144005 Jalandhar Cantt, Indie; TIN IN1288024738; registrace a platnost od 17-02-2017 (bez data ukončení). Platí pro GSP EU: ANO. Orientační seznam zboží zahrnuje 4202, 4203 a 4205. Jméno, adresa a TIN odpovídají exportérovi na faktuře.</t>
        </is>
      </c>
    </row>
    <row r="16">
      <c r="A16" s="2" t="n"/>
    </row>
    <row r="17">
      <c r="A17" s="4">
        <f>== TOTAL / HODNOTA ===</f>
        <v/>
      </c>
    </row>
    <row r="18">
      <c r="A18" s="2" t="inlineStr">
        <is>
          <t>Na faktuře jsou dvě položky se slovem „Total“: „Total 2949 EX WORKS 10 053,22“ (součet řádků) a „Total EX WORKS EURO 10 055,82“ (konečná částka po slevě −32,40 a připočtení +35,00 za „SAMPLES OF CHISELS 3D MODELS“).</t>
        </is>
      </c>
    </row>
    <row r="19">
      <c r="A19" s="2" t="inlineStr">
        <is>
          <t>Použit konečný „Total EX WORKS EURO 10 055,82“ – odpovídá i hodnotě faktury v celní instrukci (EUR 10.055,82). Slovy na faktuře chybně „…FIFTY-FIVE &amp; CENTS 82“ – sedí na 10 055,82.</t>
        </is>
      </c>
    </row>
    <row r="20">
      <c r="A20" s="2" t="inlineStr">
        <is>
          <t>Rozpad na HS kódy: čistá úprava +2,60 EUR (−32,40 + 35,00) rozpuštěna poměrně dle hodnoty řádků.</t>
        </is>
      </c>
    </row>
    <row r="21">
      <c r="A21" s="2" t="inlineStr">
        <is>
          <t>Sleva −32,40 přesně odpovídá ř. 4 (24 sad chráničů á 1,35) – zřejmě zboží zdarma.</t>
        </is>
      </c>
    </row>
    <row r="22">
      <c r="A22" s="2" t="inlineStr">
        <is>
          <t>⚠ „SAMPLES OF CHISELS 3D MODELS +35,00“ – na PL ani MTD není samostatný kus, hmotnost je plně pokryta ostatními položkami. Nejspíš jde o poplatek (návrh/3D model vzorku = příp. „assist“, patří do celní hodnoty). Pokud jde o fyzické zboží, chybí HS kód → nutno ověřit u klienta, neklasifikováno.</t>
        </is>
      </c>
    </row>
    <row r="23">
      <c r="A23" s="2" t="n"/>
    </row>
    <row r="24">
      <c r="A24" s="4">
        <f>== INCOTERM / DOPRAVA ===</f>
        <v/>
      </c>
    </row>
    <row r="25">
      <c r="A25" s="2" t="inlineStr">
        <is>
          <t>EXW Jalandhar (faktura: „EX WORKS“ bez místa; místo odvozeno z adresy exportéra – potvrdit).</t>
        </is>
      </c>
    </row>
    <row r="26">
      <c r="A26" s="2" t="inlineStr">
        <is>
          <t>Dopravné dle klienta: 972 USD. Při EXW je nutné do celní hodnoty připočíst dopravu až na hranici EU (část po vstupní místo EU) – rozpad dopravného vyžádat od dopravce / Globelink.</t>
        </is>
      </c>
    </row>
    <row r="27">
      <c r="A27" s="2" t="n"/>
    </row>
    <row r="28">
      <c r="A28" s="4">
        <f>== ⚠ ZAŘAZENÍ – K OVĚŘENÍ ===</f>
        <v/>
      </c>
    </row>
    <row r="29">
      <c r="A29" s="2" t="inlineStr">
        <is>
          <t>HS kódy převzaty od klienta (e-mail + instrukce) a z MTD (42029100, 42029200) – nebylo nutné použít CCT/VPV KN tariff rule.</t>
        </is>
      </c>
    </row>
    <row r="30">
      <c r="A30" s="2" t="inlineStr">
        <is>
          <t>• Kódy klienta 42029100 / 42029200 v TARIC neexistují (jsou to 6místné podpoložky HS doplněné nulami). Ověřeno v EU TARIC (k 19.10.2026): 4202 91 80 → 4202918010 Ručně vyrobené / 4202918090 Ostatní; 4202 92 98 → 4202929810 Ručně vyrobené / 4202929890 Ostatní. POUŽITO: 4202918090 (kožené), 4202929890 (nylon/canvas/směska – textil), 4205009000 (chrániče prstů). Podpoložku …10 „Ručně vyrobené“ lze použít jen při doložení ruční výroby (osvědčení o ručně vyrobeném zboží) – na dokladech není. Sazby cla / GSP pro IN ověřit v TARIC při podání (měření TARIC vyžaduje odložený dotaz).</t>
        </is>
      </c>
    </row>
    <row r="31">
      <c r="A31" s="2" t="inlineStr">
        <is>
          <t>• Klient popsal jen „kapsáře“. Kožené chrániče ostří (1031 sad, 21,8 kg NW, 1 391,85 EUR) ponechány v 4202 91 80 90 (pouzdro/„similar container“). Kožené chrániče prstů (509 ks, 5 kg NW, 356,30 EUR) vyčleněny na samostatný řádek 4205 00 90 00 – nejsou pouzdrem; alternativa 4203. Odesláno Kamile Levové k potvrzení.</t>
        </is>
      </c>
    </row>
    <row r="32">
      <c r="A32" s="2" t="inlineStr">
        <is>
          <t>• Canvas vs. nylon: faktura „CANVAS TOOL ROLL“, klient „nylonový“ / „směska“ → vždy textilní materiál → 4202 92 98 90.</t>
        </is>
      </c>
    </row>
    <row r="33">
      <c r="A33" s="2" t="n"/>
    </row>
    <row r="34">
      <c r="A34" s="4">
        <f>== CBAM ===</f>
        <v/>
      </c>
    </row>
    <row r="35">
      <c r="A35" s="2" t="inlineStr">
        <is>
          <t>Zboží kap. 42 není CBAM zboží → vyhledání v CBAM registru není nutné. (MIKOV s.r.o. v reference/CBAM_receivers_CZ.xlsx není uveden – pro informaci.)</t>
        </is>
      </c>
    </row>
    <row r="36">
      <c r="A36" s="2" t="n"/>
    </row>
    <row r="37">
      <c r="A37" s="4">
        <f>== ANTIDUMPING ===</f>
        <v/>
      </c>
    </row>
    <row r="38">
      <c r="A38" s="2" t="inlineStr">
        <is>
          <t>Pro kožené/textilní pouzdra kap. 42 z Indie není známé antidumpingové clo – ověřit v TARIC při podání.</t>
        </is>
      </c>
    </row>
    <row r="39">
      <c r="A39" s="2" t="n"/>
    </row>
    <row r="40">
      <c r="A40" s="4">
        <f>== HMOTNOSTI (PL) ===</f>
        <v/>
      </c>
    </row>
    <row r="41">
      <c r="A41" s="2" t="inlineStr">
        <is>
          <t>Kožené kapsáře na dláta: 1007 ks, NW 382,5 / GW 402,5 kg</t>
        </is>
      </c>
    </row>
    <row r="42">
      <c r="A42" s="2" t="inlineStr">
        <is>
          <t>Kožené kapsáře na nářadí 14 kapes: 300 ks, NW 120 / GW 126 kg</t>
        </is>
      </c>
    </row>
    <row r="43">
      <c r="A43" s="2" t="inlineStr">
        <is>
          <t>Kožené chrániče ostří (6/10/12/16/18/25 mm): 6186 ks = 1031 sad, NW 21,8 / GW 27,3 kg</t>
        </is>
      </c>
    </row>
    <row r="44">
      <c r="A44" s="2" t="inlineStr">
        <is>
          <t>Kožené chrániče prstů: 509 ks, NW 5 / GW 5,75 kg</t>
        </is>
      </c>
    </row>
    <row r="45">
      <c r="A45" s="2" t="inlineStr">
        <is>
          <t>Plátěné (canvas) kapsáře OKLINE: 102 ks, NW 24,5 / GW 26,5 kg</t>
        </is>
      </c>
    </row>
    <row r="46">
      <c r="A46" s="2" t="inlineStr">
        <is>
          <t>Celkem NW 553,800 kg, GW 588,050 kg – shoduje se s PL i MTD.</t>
        </is>
      </c>
    </row>
    <row r="47">
      <c r="A47" s="2" t="n"/>
    </row>
    <row r="48">
      <c r="A48" s="4">
        <f>== ODPOVĚĎ KLIENTA – K. Levová, 30.09.2026 13:08 ===</f>
        <v/>
      </c>
    </row>
    <row r="49">
      <c r="A49" s="2" t="inlineStr">
        <is>
          <t>• Kožené kapsáře → 4202 91 80 90: „ano“ – potvrzeno.</t>
        </is>
      </c>
    </row>
    <row r="50">
      <c r="A50" s="2" t="inlineStr">
        <is>
          <t>• Kožené chrániče prstů: „ano, nasadí se na prst“ → 4205 00 90 00 potvrzeno.</t>
        </is>
      </c>
    </row>
    <row r="51">
      <c r="A51" s="2" t="inlineStr">
        <is>
          <t>• Nylonový/canvas kapsář: K. Levová k našemu návrhu 4202 92 98 90 odpověděla „může být, je to směska“ – bez námitky. Zvýraznění 4202 92 19 00 ve výřezu TARIC bylo omylem (z našeho vlastního podkladu). POUŽIT 4202 92 98 90: canvas/směs vláken = textilní materiál; 4202 92 19 00 jen pro vnější povrch z plastové fólie nebo tkaninu s viditelným plastovým povlakem – na dokladech neuvedeno.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2026-09-30T08:13:51Z</dcterms:created>
  <dcterms:modified xsi:type="dcterms:W3CDTF">2026-09-30T11:42:45Z</dcterms:modified>
</cp:coreProperties>
</file>