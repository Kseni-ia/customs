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4202918090</t>
        </is>
      </c>
      <c r="C2" s="2" t="inlineStr">
        <is>
          <t>kožené kapsáře pro truhlářská dláta</t>
        </is>
      </c>
      <c r="D2" s="2" t="inlineStr">
        <is>
          <t>IN – preferenční původ (GSP, REX)</t>
        </is>
      </c>
      <c r="E2" s="2" t="inlineStr">
        <is>
          <t>1307 ks + 1031 sad (= 6186 ks chráničů ostří)</t>
        </is>
      </c>
      <c r="F2" s="2" t="n">
        <v>524.3</v>
      </c>
      <c r="G2" s="2" t="n">
        <v>555.8</v>
      </c>
      <c r="H2" s="3" t="n">
        <v>9425.6</v>
      </c>
      <c r="I2" s="3" t="n">
        <v>9428.040000000001</v>
      </c>
      <c r="J2" s="2" t="inlineStr">
        <is>
          <t>EXW Jalandhar</t>
        </is>
      </c>
      <c r="K2" s="2" t="inlineStr">
        <is>
          <t>PREF. PŮVOD / REX</t>
        </is>
      </c>
      <c r="L2" s="2" t="inlineStr">
        <is>
          <t>Fa ř. 1–4: kožené kapsáře na dláta 1007 ks, kožené kapsáře na nářadí 14 kapes 300 ks, kožené chrániče ostří – sady 6 ks 1007+24 sad (24 sad = SLEVA −32,40, fakticky FOC). TARIC 4202 91 80 90 (Ostatní); klient uvedl 42029100 – v TARIC neexistuje, POTVRZENO Kamilou Levovou 30.09.2026.</t>
        </is>
      </c>
    </row>
    <row r="3">
      <c r="A3" s="2" t="inlineStr">
        <is>
          <t>THE DESIGNER'S, Jalandhar (IN)</t>
        </is>
      </c>
      <c r="B3" s="2" t="inlineStr">
        <is>
          <t>4202921900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TARIC 4202 92 19 00 (S vnějším povrchem z fólií z plastů – Ostatní) dle pokynu klienta (K. Levová 30.09.2026: materiál „směska“, vyznačen kód 4202921900). Klient uvedl původně 42029200 – v TARIC neexistuje. Pozn.: my jsme navrhovali 4202 92 98 90 (textil); použito dle rozhodnutí klienta.</t>
        </is>
      </c>
    </row>
    <row r="4">
      <c r="A4" s="2" t="inlineStr">
        <is>
          <t>THE DESIGNER'S, Jalandhar (IN)</t>
        </is>
      </c>
      <c r="B4" s="2" t="inlineStr">
        <is>
          <t>4205009000</t>
        </is>
      </c>
      <c r="C4" s="2" t="inlineStr">
        <is>
          <t>kožené chrániče prstů</t>
        </is>
      </c>
      <c r="D4" s="2" t="inlineStr">
        <is>
          <t>IN – preferenční původ (GSP, REX)</t>
        </is>
      </c>
      <c r="E4" s="2" t="inlineStr">
        <is>
          <t>509 ks</t>
        </is>
      </c>
      <c r="F4" s="2" t="n">
        <v>5</v>
      </c>
      <c r="G4" s="2" t="n">
        <v>5.75</v>
      </c>
      <c r="H4" s="3" t="n">
        <v>356.3</v>
      </c>
      <c r="I4" s="3" t="n">
        <v>356.39</v>
      </c>
      <c r="J4" s="2" t="inlineStr">
        <is>
          <t>EXW Jalandhar</t>
        </is>
      </c>
      <c r="K4" s="2" t="inlineStr">
        <is>
          <t>PREF. PŮVOD / REX</t>
        </is>
      </c>
      <c r="L4" s="2" t="inlineStr">
        <is>
          <t>Fa ř. 5: LEATHER FINGER PROTECTOR WITH NAREX LOGO 35mm, 509 ks. K. Levová 30.09.2026 potvrdila: „nasadí se na prst“ → není pouzdro, mimo 4202 → 4205 00 90 00 (ostatní výrobky z usně). Popis „kožené chrániče prstů“ navržen námi v e-mailu, klient bez výhrad.</t>
        </is>
      </c>
    </row>
    <row r="5">
      <c r="A5" s="4" t="inlineStr">
        <is>
          <t>CELKEM</t>
        </is>
      </c>
      <c r="B5" s="4" t="inlineStr"/>
      <c r="C5" s="4" t="inlineStr"/>
      <c r="D5" s="4" t="inlineStr"/>
      <c r="E5" s="4" t="inlineStr">
        <is>
          <t>1918 ks + 1031 sad</t>
        </is>
      </c>
      <c r="F5" s="4" t="n">
        <v>553.8</v>
      </c>
      <c r="G5" s="4" t="n">
        <v>588.05</v>
      </c>
      <c r="H5" s="5" t="n">
        <v>10053.22</v>
      </c>
      <c r="I5" s="5" t="n">
        <v>10055.82</v>
      </c>
      <c r="J5" s="4" t="inlineStr">
        <is>
          <t>EXW Jalandhar</t>
        </is>
      </c>
      <c r="K5" s="4" t="inlineStr"/>
      <c r="L5" s="4" t="inlineStr">
        <is>
          <t>Hmotnosti = PL/MTD (553,800 / 588,050 kg). Total dle faktury: 10 055,82 EUR (= 10 053,22 − sleva 32,40 + vzorky 3D modelů dlát 35,00); úprava +2,60 rozpuštěna poměrně dle hodnoty.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 | IČO 25028626, DIČ CZ25028626, EORI CZ25028626 (EORI ověřeno v EU EOS 30-09-2026: Valid). Sídlo dle ARES: Mikov s.r.o., č.p. 741, 407 79 Mikulášovice (vznik 26.11.1997). Adresa Dr. E. Beneše 349, Bystřice je provozovna/adresa doručení (býv. areál Narex Bystřice), ne sídlo – do JSD uvést IČO/EORI výše.</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(4202918090: 3 %; 4202921900: ověřit – ověřit v TARIC).</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 OVĚŘENO v databázi REX (EU TAXUD, ec.europa.eu/taxation_customs/dds2/eos/rex_validation.jsp) dne 30-09-2026 11:46: „The REX number is valid“. Registrovaný vývozce: THE DESIGNER'S, 147 Ganga Road, 144005 Jalandhar Cantt, Indie; TIN IN1288024738; registrace a platnost od 17-02-2017 (bez data ukončení). Platí pro GSP EU: ANO. Orientační seznam zboží zahrnuje 4202, 4203 a 4205. Jméno, adresa a TIN odpovídají exportérovi na faktuře.</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Kódy klienta 42029100 / 42029200 v TARIC neexistují (jsou to 6místné podpoložky HS doplněné nulami). Ověřeno v EU TARIC (k 19.10.2026): 4202 91 80 → 4202918010 Ručně vyrobené / 4202918090 Ostatní; 4202 92 98 → 4202929810 Ručně vyrobené / 4202929890 Ostatní. POUŽITO: 4202918090 (kožené), 4202921900 (nylon/směska – dle klienta), 4205009000 (chrániče prstů). Podpoložku …10 „Ručně vyrobené“ lze použít jen při doložení ruční výroby (osvědčení o ručně vyrobeném zboží) – na dokladech není. Sazby cla / GSP pro IN ověřit v TARIC při podání (měření TARIC vyžaduje odložený dotaz).</t>
        </is>
      </c>
    </row>
    <row r="31">
      <c r="A31" s="2" t="inlineStr">
        <is>
          <t>• Klient popsal jen „kapsáře“. Kožené chrániče ostří (1031 sad, 21,8 kg NW, 1 391,85 EUR) ponechány v 4202 91 80 90 (pouzdro/„similar container“). Kožené chrániče prstů (509 ks, 5 kg NW, 356,30 EUR) vyčleněny na samostatný řádek 4205 00 90 00 – nejsou pouzdrem; alternativa 4203. Odesláno Kamile Levové k potvrzení.</t>
        </is>
      </c>
    </row>
    <row r="32">
      <c r="A32" s="2" t="inlineStr">
        <is>
          <t>• Canvas vs. nylon: faktura „CANVAS TOOL ROLL“, klient „nylonový“ / „směska“ → dle klienta zařazeno do 4202 92 19 00 (povrch z plastové fólie).</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row r="47">
      <c r="A47" s="2" t="n"/>
    </row>
    <row r="48">
      <c r="A48" s="4">
        <f>== ODPOVĚĎ KLIENTA – K. Levová, 30.09.2026 13:08 ===</f>
        <v/>
      </c>
    </row>
    <row r="49">
      <c r="A49" s="2" t="inlineStr">
        <is>
          <t>• Kožené kapsáře → 4202 91 80 90: „ano“ – potvrzeno.</t>
        </is>
      </c>
    </row>
    <row r="50">
      <c r="A50" s="2" t="inlineStr">
        <is>
          <t>• Kožené chrániče prstů: „ano, nasadí se na prst“ → 4205 00 90 00 potvrzeno.</t>
        </is>
      </c>
    </row>
    <row r="51">
      <c r="A51" s="2" t="inlineStr">
        <is>
          <t>• Nylonový/canvas kapsář: „může být, je to směska“; klient vyznačil 4202 92 19 00 (Z fólií z plastů – Ostatní). ROZHODNUTO: použit 4202 92 19 00 dle pokynu klienta (náš původní návrh 4202 92 98 90 – textil). Sazbu cla ověřit v TARIC.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2026-09-30T11:35:56Z</dcterms:modified>
</cp:coreProperties>
</file>