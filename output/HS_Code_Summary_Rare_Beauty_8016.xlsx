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Code Summary" sheetId="1" state="visible" r:id="rId1"/>
    <sheet name="Detail – polož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i val="1"/>
      <sz val="8"/>
    </font>
    <font>
      <name val="Arial"/>
      <b val="1"/>
      <color rgb="001F3864"/>
      <sz val="14"/>
    </font>
    <font>
      <name val="Arial"/>
      <i val="1"/>
      <sz val="10"/>
    </font>
    <font>
      <name val="Arial"/>
      <b val="1"/>
      <color rgb="001F3864"/>
      <sz val="10"/>
    </font>
    <font>
      <name val="Arial"/>
      <b val="1"/>
      <color rgb="00C00000"/>
      <sz val="11"/>
    </font>
    <font>
      <name val="Arial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4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4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3" borderId="1" pivotButton="0" quotePrefix="0" xfId="0"/>
    <xf numFmtId="4" fontId="4" fillId="3" borderId="1" pivotButton="0" quotePrefix="0" xfId="0"/>
    <xf numFmtId="3" fontId="4" fillId="3" borderId="1" pivotButton="0" quotePrefix="0" xfId="0"/>
    <xf numFmtId="0" fontId="5" fillId="0" borderId="0" pivotButton="0" quotePrefix="0" xfId="0"/>
    <xf numFmtId="0" fontId="9" fillId="0" borderId="0" pivotButton="0" quotePrefix="0" xfId="0"/>
    <xf numFmtId="0" fontId="10" fillId="6" borderId="1" pivotButton="0" quotePrefix="0" xfId="0"/>
    <xf numFmtId="0" fontId="1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wrapText="1"/>
    </xf>
    <xf numFmtId="3" fontId="3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52" customWidth="1" min="4" max="4"/>
    <col width="16" customWidth="1" min="5" max="5"/>
    <col width="17" customWidth="1" min="6" max="6"/>
    <col width="14" customWidth="1" min="7" max="7"/>
    <col width="17" customWidth="1" min="8" max="8"/>
    <col width="20" customWidth="1" min="9" max="9"/>
    <col width="18" customWidth="1" min="10" max="10"/>
    <col width="18" customWidth="1" min="11" max="11"/>
  </cols>
  <sheetData>
    <row r="1">
      <c r="A1" s="1" t="inlineStr">
        <is>
          <t>SOUHRN HS KÓDŮ / HS CODE SUMMARY</t>
        </is>
      </c>
    </row>
    <row r="2">
      <c r="A2" s="2" t="inlineStr">
        <is>
          <t>Rare Beauty – zásilka / shipment 8016 (HBL KIMXHAM2608001)</t>
        </is>
      </c>
    </row>
    <row r="4" ht="24" customHeight="1">
      <c r="A4" s="3" t="inlineStr">
        <is>
          <t>Klient / Client</t>
        </is>
      </c>
      <c r="B4" s="4" t="inlineStr">
        <is>
          <t>Rare Beauty Brands Inc., 399 Boylston Street Suite 650, Boston, MA 02216, USA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6" t="n"/>
    </row>
    <row r="5" ht="24" customHeight="1">
      <c r="A5" s="3" t="inlineStr">
        <is>
          <t>Zásilka / Shipment</t>
        </is>
      </c>
      <c r="B5" s="4" t="inlineStr">
        <is>
          <t>8016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6" t="n"/>
    </row>
    <row r="6" ht="24" customHeight="1">
      <c r="A6" s="3" t="inlineStr">
        <is>
          <t>HBL</t>
        </is>
      </c>
      <c r="B6" s="4" t="inlineStr">
        <is>
          <t>KIMXHAM2608001 (SURRENDERED)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6" t="n"/>
    </row>
    <row r="7" ht="24" customHeight="1">
      <c r="A7" s="3" t="inlineStr">
        <is>
          <t>Odesílatel / Sender (= vyrobce)</t>
        </is>
      </c>
      <c r="B7" s="4" t="inlineStr">
        <is>
          <t>GYC GAYANG CORP., #914, 58 Gasan Digital 1-ro, Geumcheon-gu, Seoul 08591, Republic of Korea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6" t="n"/>
    </row>
    <row r="8" ht="24" customHeight="1">
      <c r="A8" s="3" t="inlineStr">
        <is>
          <t>Příjemce v ČR / CZ receiver</t>
        </is>
      </c>
      <c r="B8" s="4" t="inlineStr">
        <is>
          <t>RARE BEAUTY c/o MAURICE WARD &amp; CO., s.r.o., CTPark Prague Airport, Nad Kovárnou 185, 252 68 Kněževes, Středokluky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6" t="n"/>
    </row>
    <row r="9" ht="24" customHeight="1">
      <c r="A9" s="3" t="inlineStr">
        <is>
          <t>Faktury / Invoices</t>
        </is>
      </c>
      <c r="B9" s="4" t="inlineStr">
        <is>
          <t>1383-01, 1384-01, 1385-01, 1386-01, 1387-01, 1388-01 (vše 24.07.2026)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6" t="n"/>
    </row>
    <row r="10" ht="24" customHeight="1">
      <c r="A10" s="3" t="inlineStr">
        <is>
          <t>PO</t>
        </is>
      </c>
      <c r="B10" s="4" t="inlineStr">
        <is>
          <t>#1383, #1384, #1385, #1386, #1387, #1388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6" t="n"/>
    </row>
    <row r="11" ht="24" customHeight="1">
      <c r="A11" s="3" t="inlineStr">
        <is>
          <t>Dodací podmínka / Incoterm</t>
        </is>
      </c>
      <c r="B11" s="4" t="inlineStr">
        <is>
          <t>DDP KNĚŽEVES (Kněževes, Česká republika)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6" t="n"/>
    </row>
    <row r="12" ht="24" customHeight="1">
      <c r="A12" s="3" t="inlineStr">
        <is>
          <t>Preprava / Route</t>
        </is>
      </c>
      <c r="B12" s="4" t="inlineStr">
        <is>
          <t>BUSAN, Korea → HAMBURG, Německo → PRAHA / Kněževes, ČR; plavidlo ONE INTEGRITY 010W, on board 04.08.2026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</row>
    <row r="13" ht="24" customHeight="1">
      <c r="A13" s="3" t="inlineStr">
        <is>
          <t>Kontejner</t>
        </is>
      </c>
      <c r="B13" s="4" t="inlineStr">
        <is>
          <t>FFAU1514774 / YMAW298975 – 1 x 40'HC, 19,050 CBM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6" t="n"/>
    </row>
    <row r="14" ht="24" customHeight="1">
      <c r="A14" s="3" t="inlineStr">
        <is>
          <t>Země původu / Origin</t>
        </is>
      </c>
      <c r="B14" s="4" t="inlineStr">
        <is>
          <t>Korejská republika (Made in Korea)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6" t="n"/>
    </row>
    <row r="15" ht="24" customHeight="1">
      <c r="A15" s="3" t="inlineStr">
        <is>
          <t>Měna / Currency</t>
        </is>
      </c>
      <c r="B15" s="4" t="inlineStr">
        <is>
          <t>USD (na fakturách NEUVEDENA – viz kritické příznaky níže)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6" t="n"/>
    </row>
    <row r="16" ht="24" customHeight="1">
      <c r="A16" s="3" t="inlineStr">
        <is>
          <t>Obchodní sleva / Trade discount</t>
        </is>
      </c>
      <c r="B16" s="4" t="inlineStr">
        <is>
          <t>Žádná sleva v dokladech neuvedena – neuplatněna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6" t="n"/>
    </row>
    <row r="18">
      <c r="A18" s="7" t="inlineStr">
        <is>
          <t>KLASIFIKACE PODLE ODESÍLATELE, POTÉ PODLE HS KÓDU (položky sloučeny na unikátní HS kód v rámci odesílatele)</t>
        </is>
      </c>
    </row>
    <row r="19" ht="42" customHeight="1">
      <c r="A19" s="8" t="inlineStr">
        <is>
          <t>Odesílatel / Sender</t>
        </is>
      </c>
      <c r="B19" s="8" t="inlineStr">
        <is>
          <t>HS kód</t>
        </is>
      </c>
      <c r="C19" s="8" t="inlineStr">
        <is>
          <t>CN kód (EU)</t>
        </is>
      </c>
      <c r="D19" s="8" t="inlineStr">
        <is>
          <t>Popis zboží / Description</t>
        </is>
      </c>
      <c r="E19" s="8" t="inlineStr">
        <is>
          <t>Čistá hmotnost (kg)</t>
        </is>
      </c>
      <c r="F19" s="8" t="inlineStr">
        <is>
          <t>Hrubá hmotnost (kg)</t>
        </is>
      </c>
      <c r="G19" s="8" t="inlineStr">
        <is>
          <t>Množství (ks)</t>
        </is>
      </c>
      <c r="H19" s="8" t="inlineStr">
        <is>
          <t>Celní hodnota (USD)</t>
        </is>
      </c>
      <c r="I19" s="8" t="inlineStr">
        <is>
          <t>Dodací podmínka / Incoterm</t>
        </is>
      </c>
      <c r="J19" s="8" t="inlineStr">
        <is>
          <t>CBAM</t>
        </is>
      </c>
      <c r="K19" s="8" t="inlineStr">
        <is>
          <t>Antidumping</t>
        </is>
      </c>
    </row>
    <row r="20" ht="70" customHeight="1">
      <c r="A20" s="9" t="inlineStr">
        <is>
          <t>GYC GAYANG CORP., Seoul, Republic of Korea</t>
        </is>
      </c>
      <c r="B20" s="9" t="inlineStr">
        <is>
          <t>3304.99.1000</t>
        </is>
      </c>
      <c r="C20" s="9" t="inlineStr">
        <is>
          <t>3304 99 00</t>
        </is>
      </c>
      <c r="D20" s="9" t="inlineStr">
        <is>
          <t>Kosmetické přípravky pro péči o pleť – gelové oční náplasti a maska na nohy (Mood Patch Happy Place Eye Gels 5-Pack; Flash Patch Rejuvenating Eye Gels 5-Pack; Rose All Day Eye Gels 15 Pair Jar; Rose' Foot Mask; Skin Remedy Soothing Eye Gels 5-Pack a Single; Flash Patch Illuminating Eye Gels 5-Pack; Cool Crush Eye Gel 5-Pack)</t>
        </is>
      </c>
      <c r="E20" s="10">
        <f>SUMIFS('Detail – položky'!K4:K11,'Detail – položky'!F4:F11,B20,'Detail – položky'!A4:A11,A20)</f>
        <v>3258.66</v>
      </c>
      <c r="F20" s="10">
        <f>SUMIFS('Detail – položky'!O4:O11,'Detail – položky'!F4:F11,B20,'Detail – položky'!A4:A11,A20)</f>
        <v>4856.2</v>
      </c>
      <c r="G20" s="11">
        <f>SUMIFS('Detail – položky'!G4:G11,'Detail – položky'!F4:F11,B20,'Detail – položky'!A4:A11,A20)</f>
        <v>62804</v>
      </c>
      <c r="H20" s="10">
        <f>SUMIFS('Detail – položky'!I4:I11,'Detail – položky'!F4:F11,B20,'Detail – položky'!A4:A11,A20)</f>
        <v>128225.56</v>
      </c>
      <c r="I20" s="9" t="inlineStr">
        <is>
          <t>DDP KNĚŽEVES</t>
        </is>
      </c>
      <c r="J20" s="12" t="inlineStr">
        <is>
          <t>Nepodléhá CBAM</t>
        </is>
      </c>
      <c r="K20" s="12" t="inlineStr">
        <is>
          <t>Nepodléhá antidumpingu</t>
        </is>
      </c>
    </row>
    <row r="21">
      <c r="A21" s="13" t="n"/>
      <c r="B21" s="13" t="n"/>
      <c r="C21" s="13" t="n"/>
      <c r="D21" s="14" t="inlineStr">
        <is>
          <t>CELKEM ZA ZÁSILKU</t>
        </is>
      </c>
      <c r="E21" s="15">
        <f>E20</f>
        <v>3258.66</v>
      </c>
      <c r="F21" s="15">
        <f>F20</f>
        <v>4856.2</v>
      </c>
      <c r="G21" s="16">
        <f>G20</f>
        <v>62804</v>
      </c>
      <c r="H21" s="15">
        <f>H20</f>
        <v>128225.56</v>
      </c>
      <c r="I21" s="13" t="n"/>
      <c r="J21" s="13" t="n"/>
      <c r="K21" s="13" t="n"/>
    </row>
    <row r="23">
      <c r="A23" s="17" t="inlineStr">
        <is>
          <t>Hrubá hmotnost zahrnuje 18 palet o hmotnosti 99,00 kg (hmotnost samotných kartonů = 4 757,20 kg). Celkem 652 kartonů / 18 palet – souhlasí s HBL (4 856,200 KGS, 18 PKGS, 19,050 CBM).</t>
        </is>
      </c>
    </row>
    <row r="24">
      <c r="A24" s="17" t="inlineStr">
        <is>
          <t>Všech 8 fakturovaných položek ze 6 faktur spadá pod jediný HS kód 3304.99.1000 (korejský 10místný) = CN 3304 99 00 (EU) a má jednoho odesílatele, proto je souhrn na jediném řádku.</t>
        </is>
      </c>
    </row>
    <row r="25">
      <c r="A25" s="17" t="inlineStr">
        <is>
          <t>Celní hodnota = fakturovaná hodnota položek. Dodací podmínka je DDP Kněževes – při deklaraci je nutné dořešit připočitatelné/odpočitatelné náklady (přeprava a pojištění do místa vstupu do EU) dle čl. 70 a 71 celního kodexu Unie.</t>
        </is>
      </c>
    </row>
    <row r="27">
      <c r="A27" s="18" t="inlineStr">
        <is>
          <t>KRITICKÉ PŘÍZNAKY / CRITICAL FLAGS</t>
        </is>
      </c>
    </row>
    <row r="28">
      <c r="A28" s="19" t="inlineStr">
        <is>
          <t>⚠ PREFERENČNÍ VĚTA – NENALEZENA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6" t="n"/>
    </row>
    <row r="29" ht="58" customHeight="1">
      <c r="A29" s="9" t="inlineStr">
        <is>
          <t>V žádné ze šesti faktur (1383-01 až 1388-01) ani v HBL NENÍ uvedena preferenční věta – prohlášení o preferenčním původu podle Dohody o volném obchodu EU–Korejská republika. Doklady uvádějí pouze '* COUNTRY OF ORIGIN : Made in Korea', což preferenční původ NEPROKAZUJE. Bez preferenční věty nelze uplatnit preferenční sazbu a použije se všeobecná (třetizemní) sazba cla. Pro CN 3304 99 00 je všeobecná sazba cla 0 %, takže dopad na clo je v tomto konkrétním případě nulový (ověřte v TARIC k datu propuštění); DPH se uplatní v plné výši. DOPORUČENÍ: vyžádat od GYC Gayang Corp. doplnění preferenční věty na faktury včetně čísla povolení schváleného vývozce.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6" t="n"/>
    </row>
    <row r="31">
      <c r="A31" s="19" t="inlineStr">
        <is>
          <t>CBAM – NEAPLIKUJE SE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 t="n"/>
    </row>
    <row r="32" ht="58" customHeight="1">
      <c r="A32" s="9" t="inlineStr">
        <is>
          <t>HS 3304.99 / CN 3304 99 00 (kosmetické přípravky) NENÍ zbožím uvedeným v příloze I nařízení CBAM (cement, elektřina, hnojiva, železo a ocel, hliník, vodík). Vyhledání příjemce v registru reference/CBAM_receivers_CZ.xlsx proto není pro tuto zásilku vyžadováno. Pro úplnost bylo přesto provedeno: příjemce 'Rare Beauty' ani 'Maurice Ward &amp; Co., s.r.o.' se v registru (101 řádků) NENACHÁZÍ – pokud by tato společnost měla někdy dovážet CBAM zboží, je třeba ji do registru doplnit.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6" t="n"/>
    </row>
    <row r="34">
      <c r="A34" s="19" t="inlineStr">
        <is>
          <t>⚠ MĚNA NENÍ NA FAKTURÁCH UVEDENA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6" t="n"/>
    </row>
    <row r="35" ht="58" customHeight="1">
      <c r="A35" s="9" t="inlineStr">
        <is>
          <t>Všech šest faktur uvádí jednotkové ceny i částky bez označení měny. Vzhledem k tomu, že kupujícím je Rare Beauty Brands Inc. (Boston, USA), je v souhrnu použita měna USD. PŘED PODÁNÍM CELNÍHO PROHLÁŠENÍ POTVRĎTE MĚNU s odesílatelem/klientem a použijte celní kurz platný k datu propuštění.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6" t="n"/>
    </row>
    <row r="37">
      <c r="A37" s="19" t="inlineStr">
        <is>
          <t>⚠ ROZPOR V PLATBĚ PŘEPRAVNÉHO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6" t="n"/>
    </row>
    <row r="38" ht="58" customHeight="1">
      <c r="A38" s="9" t="inlineStr">
        <is>
          <t>Faktury uvádějí '* FREIGHT COLLECT', HBL KIMXHAM2608001 uvádí 'FREIGHT PREPAID AS ARRANGED'. Rozpor je nutné vyjasnit pro správné stanovení celní hodnoty (připočitatelné náklady dle čl. 71 celního kodexu Unie).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6" t="n"/>
    </row>
    <row r="40">
      <c r="A40" s="19" t="inlineStr">
        <is>
          <t>POPIS ZBOŽÍ – ZDROJ POUZE ANGLICKY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6" t="n"/>
    </row>
    <row r="41" ht="58" customHeight="1">
      <c r="A41" s="9" t="inlineStr">
        <is>
          <t>V dokladech není k dispozici český popis zboží – faktury uvádějí pouze anglické názvy výrobků. Český popis ve sloupci 'Popis zboží' byl proto sestaven podle nomenklatury CN a názvů výrobků z faktur; původní anglické názvy jsou zachovány v listu 'Detail – položky'.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6" t="n"/>
    </row>
  </sheetData>
  <mergeCells count="26">
    <mergeCell ref="A34:K34"/>
    <mergeCell ref="B9:K9"/>
    <mergeCell ref="A24:K24"/>
    <mergeCell ref="B15:K15"/>
    <mergeCell ref="B6:K6"/>
    <mergeCell ref="B5:K5"/>
    <mergeCell ref="B4:K4"/>
    <mergeCell ref="A25:K25"/>
    <mergeCell ref="A41:K41"/>
    <mergeCell ref="B7:K7"/>
    <mergeCell ref="B16:K16"/>
    <mergeCell ref="A37:K37"/>
    <mergeCell ref="B12:K12"/>
    <mergeCell ref="A32:K32"/>
    <mergeCell ref="B11:K11"/>
    <mergeCell ref="A23:K23"/>
    <mergeCell ref="A35:K35"/>
    <mergeCell ref="B8:K8"/>
    <mergeCell ref="B14:K14"/>
    <mergeCell ref="A29:K29"/>
    <mergeCell ref="B13:K13"/>
    <mergeCell ref="A38:K38"/>
    <mergeCell ref="A28:K28"/>
    <mergeCell ref="B10:K10"/>
    <mergeCell ref="A40:K40"/>
    <mergeCell ref="A31:K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2" customWidth="1" min="3" max="3"/>
    <col width="11" customWidth="1" min="4" max="4"/>
    <col width="42" customWidth="1" min="5" max="5"/>
    <col width="13" customWidth="1" min="6" max="6"/>
    <col width="12" customWidth="1" min="7" max="7"/>
    <col width="10" customWidth="1" min="8" max="8"/>
    <col width="12" customWidth="1" min="9" max="9"/>
    <col width="9" customWidth="1" min="10" max="10"/>
    <col width="14" customWidth="1" min="11" max="11"/>
    <col width="15" customWidth="1" min="12" max="12"/>
    <col width="10" customWidth="1" min="13" max="13"/>
    <col width="13" customWidth="1" min="14" max="14"/>
    <col width="15" customWidth="1" min="15" max="15"/>
  </cols>
  <sheetData>
    <row r="1">
      <c r="A1" s="20" t="inlineStr">
        <is>
          <t>DETAIL – jednotlivé položky faktur (podklad pro sloučení na HS kódy)</t>
        </is>
      </c>
    </row>
    <row r="3">
      <c r="A3" s="8" t="inlineStr">
        <is>
          <t>Odesílatel / Sender</t>
        </is>
      </c>
      <c r="B3" s="8" t="inlineStr">
        <is>
          <t>PO</t>
        </is>
      </c>
      <c r="C3" s="8" t="inlineStr">
        <is>
          <t>Faktura / Invoice</t>
        </is>
      </c>
      <c r="D3" s="8" t="inlineStr">
        <is>
          <t>Kód položky</t>
        </is>
      </c>
      <c r="E3" s="8" t="inlineStr">
        <is>
          <t>Popis zboží (EN, dle dokladu)</t>
        </is>
      </c>
      <c r="F3" s="8" t="inlineStr">
        <is>
          <t>HS kód</t>
        </is>
      </c>
      <c r="G3" s="8" t="inlineStr">
        <is>
          <t>Množství (ks)</t>
        </is>
      </c>
      <c r="H3" s="8" t="inlineStr">
        <is>
          <t>Jedn. cena</t>
        </is>
      </c>
      <c r="I3" s="8" t="inlineStr">
        <is>
          <t>Hodnota</t>
        </is>
      </c>
      <c r="J3" s="8" t="inlineStr">
        <is>
          <t>Kartony</t>
        </is>
      </c>
      <c r="K3" s="8" t="inlineStr">
        <is>
          <t>Čistá hmotnost (kg)</t>
        </is>
      </c>
      <c r="L3" s="8" t="inlineStr">
        <is>
          <t>Hrubá hm. kartony (kg)</t>
        </is>
      </c>
      <c r="M3" s="8" t="inlineStr">
        <is>
          <t>Palety (ks)</t>
        </is>
      </c>
      <c r="N3" s="8" t="inlineStr">
        <is>
          <t>Hmotnost palet (kg)</t>
        </is>
      </c>
      <c r="O3" s="8" t="inlineStr">
        <is>
          <t>Hrubá hm. celkem (kg)</t>
        </is>
      </c>
    </row>
    <row r="4">
      <c r="A4" s="21" t="inlineStr">
        <is>
          <t>GYC GAYANG CORP., Seoul, Republic of Korea</t>
        </is>
      </c>
      <c r="B4" s="21" t="inlineStr">
        <is>
          <t>#1383</t>
        </is>
      </c>
      <c r="C4" s="21" t="inlineStr">
        <is>
          <t>1383-01</t>
        </is>
      </c>
      <c r="D4" s="21" t="inlineStr">
        <is>
          <t>MPHP5</t>
        </is>
      </c>
      <c r="E4" s="22" t="inlineStr">
        <is>
          <t>Mood Patch Happy Place Eye Gels - 5 Pack</t>
        </is>
      </c>
      <c r="F4" s="21" t="inlineStr">
        <is>
          <t>3304.99.1000</t>
        </is>
      </c>
      <c r="G4" s="23" t="n">
        <v>2016</v>
      </c>
      <c r="H4" s="24" t="n">
        <v>2.48</v>
      </c>
      <c r="I4" s="24">
        <f>G4*H4</f>
        <v>4999.68</v>
      </c>
      <c r="J4" s="23" t="n">
        <v>21</v>
      </c>
      <c r="K4" s="24" t="n">
        <v>131.04</v>
      </c>
      <c r="L4" s="24" t="n">
        <v>168</v>
      </c>
      <c r="M4" s="23" t="n">
        <v>1</v>
      </c>
      <c r="N4" s="24" t="n">
        <v>5.5</v>
      </c>
      <c r="O4" s="24">
        <f>L4+IF(N4="",0,N4)</f>
        <v>173.5</v>
      </c>
    </row>
    <row r="5">
      <c r="A5" s="21" t="inlineStr">
        <is>
          <t>GYC GAYANG CORP., Seoul, Republic of Korea</t>
        </is>
      </c>
      <c r="B5" s="21" t="inlineStr">
        <is>
          <t>#1384</t>
        </is>
      </c>
      <c r="C5" s="21" t="inlineStr">
        <is>
          <t>1384-01</t>
        </is>
      </c>
      <c r="D5" s="21" t="inlineStr">
        <is>
          <t>OGY-FPE5</t>
        </is>
      </c>
      <c r="E5" s="22" t="inlineStr">
        <is>
          <t>Flash Patch Rejuvenating Eye Gels - 5 Pack</t>
        </is>
      </c>
      <c r="F5" s="21" t="inlineStr">
        <is>
          <t>3304.99.1000</t>
        </is>
      </c>
      <c r="G5" s="23" t="n">
        <v>12000</v>
      </c>
      <c r="H5" s="24" t="n">
        <v>2.56</v>
      </c>
      <c r="I5" s="24">
        <f>G5*H5</f>
        <v>30720.0</v>
      </c>
      <c r="J5" s="23" t="n">
        <v>125</v>
      </c>
      <c r="K5" s="24" t="n">
        <v>780</v>
      </c>
      <c r="L5" s="24" t="n">
        <v>1125</v>
      </c>
      <c r="M5" s="23" t="n">
        <v>4</v>
      </c>
      <c r="N5" s="24" t="n">
        <v>22</v>
      </c>
      <c r="O5" s="24">
        <f>L5+IF(N5="",0,N5)</f>
        <v>1147.0</v>
      </c>
    </row>
    <row r="6">
      <c r="A6" s="21" t="inlineStr">
        <is>
          <t>GYC GAYANG CORP., Seoul, Republic of Korea</t>
        </is>
      </c>
      <c r="B6" s="21" t="inlineStr">
        <is>
          <t>#1385</t>
        </is>
      </c>
      <c r="C6" s="21" t="inlineStr">
        <is>
          <t>1385-01</t>
        </is>
      </c>
      <c r="D6" s="21" t="inlineStr">
        <is>
          <t>RADE-15</t>
        </is>
      </c>
      <c r="E6" s="22" t="inlineStr">
        <is>
          <t>Rose All Day - Eye Gels - 15 Pair Jar</t>
        </is>
      </c>
      <c r="F6" s="21" t="inlineStr">
        <is>
          <t>3304.99.1000</t>
        </is>
      </c>
      <c r="G6" s="23" t="n">
        <v>540</v>
      </c>
      <c r="H6" s="24" t="n">
        <v>3.31</v>
      </c>
      <c r="I6" s="24">
        <f>G6*H6</f>
        <v>1787.4</v>
      </c>
      <c r="J6" s="23" t="n">
        <v>9</v>
      </c>
      <c r="K6" s="24" t="n">
        <v>66.42</v>
      </c>
      <c r="L6" s="24" t="n">
        <v>81</v>
      </c>
      <c r="M6" s="23" t="n">
        <v>3</v>
      </c>
      <c r="N6" s="24" t="n">
        <v>16.5</v>
      </c>
      <c r="O6" s="24">
        <f>L6+IF(N6="",0,N6)</f>
        <v>97.5</v>
      </c>
    </row>
    <row r="7">
      <c r="A7" s="21" t="inlineStr">
        <is>
          <t>GYC GAYANG CORP., Seoul, Republic of Korea</t>
        </is>
      </c>
      <c r="B7" s="21" t="inlineStr">
        <is>
          <t>#1385</t>
        </is>
      </c>
      <c r="C7" s="21" t="inlineStr">
        <is>
          <t>1385-01</t>
        </is>
      </c>
      <c r="D7" s="21" t="inlineStr">
        <is>
          <t>RFM</t>
        </is>
      </c>
      <c r="E7" s="22" t="inlineStr">
        <is>
          <t>Rose' Foot Mask</t>
        </is>
      </c>
      <c r="F7" s="21" t="inlineStr">
        <is>
          <t>3304.99.1000</t>
        </is>
      </c>
      <c r="G7" s="23" t="n">
        <v>7000</v>
      </c>
      <c r="H7" s="24" t="n">
        <v>1.27</v>
      </c>
      <c r="I7" s="24">
        <f>G7*H7</f>
        <v>8890.0</v>
      </c>
      <c r="J7" s="23" t="n">
        <v>175</v>
      </c>
      <c r="K7" s="24" t="n">
        <v>434</v>
      </c>
      <c r="L7" s="24" t="n">
        <v>612.5</v>
      </c>
      <c r="M7" s="23" t="n"/>
      <c r="N7" s="24" t="n"/>
      <c r="O7" s="24">
        <f>L7+IF(N7="",0,N7)</f>
        <v>612.5</v>
      </c>
    </row>
    <row r="8">
      <c r="A8" s="21" t="inlineStr">
        <is>
          <t>GYC GAYANG CORP., Seoul, Republic of Korea</t>
        </is>
      </c>
      <c r="B8" s="21" t="inlineStr">
        <is>
          <t>#1386</t>
        </is>
      </c>
      <c r="C8" s="21" t="inlineStr">
        <is>
          <t>1386-01</t>
        </is>
      </c>
      <c r="D8" s="21" t="inlineStr">
        <is>
          <t>SEG5</t>
        </is>
      </c>
      <c r="E8" s="22" t="inlineStr">
        <is>
          <t>Skin Remedy Soothing Eye Gels 5-Pack</t>
        </is>
      </c>
      <c r="F8" s="21" t="inlineStr">
        <is>
          <t>3304.99.1000</t>
        </is>
      </c>
      <c r="G8" s="23" t="n">
        <v>12000</v>
      </c>
      <c r="H8" s="24" t="n">
        <v>2.65</v>
      </c>
      <c r="I8" s="24">
        <f>G8*H8</f>
        <v>31800.0</v>
      </c>
      <c r="J8" s="23" t="n">
        <v>125</v>
      </c>
      <c r="K8" s="24" t="n">
        <v>780</v>
      </c>
      <c r="L8" s="24" t="n">
        <v>1087.5</v>
      </c>
      <c r="M8" s="23" t="n">
        <v>4</v>
      </c>
      <c r="N8" s="24" t="n">
        <v>22</v>
      </c>
      <c r="O8" s="24">
        <f>L8+IF(N8="",0,N8)</f>
        <v>1109.5</v>
      </c>
    </row>
    <row r="9">
      <c r="A9" s="21" t="inlineStr">
        <is>
          <t>GYC GAYANG CORP., Seoul, Republic of Korea</t>
        </is>
      </c>
      <c r="B9" s="21" t="inlineStr">
        <is>
          <t>#1386</t>
        </is>
      </c>
      <c r="C9" s="21" t="inlineStr">
        <is>
          <t>1386-01</t>
        </is>
      </c>
      <c r="D9" s="21" t="inlineStr">
        <is>
          <t>SEG1</t>
        </is>
      </c>
      <c r="E9" s="22" t="inlineStr">
        <is>
          <t>Skin Remedy Soothing Eye Gel Single</t>
        </is>
      </c>
      <c r="F9" s="21" t="inlineStr">
        <is>
          <t>3304.99.1000</t>
        </is>
      </c>
      <c r="G9" s="23" t="n">
        <v>12160</v>
      </c>
      <c r="H9" s="24" t="n">
        <v>0.45</v>
      </c>
      <c r="I9" s="24">
        <f>G9*H9</f>
        <v>5472.0</v>
      </c>
      <c r="J9" s="23" t="n">
        <v>19</v>
      </c>
      <c r="K9" s="24" t="n">
        <v>158.08</v>
      </c>
      <c r="L9" s="24" t="n">
        <v>186.2</v>
      </c>
      <c r="M9" s="23" t="n"/>
      <c r="N9" s="24" t="n"/>
      <c r="O9" s="24">
        <f>L9+IF(N9="",0,N9)</f>
        <v>186.2</v>
      </c>
    </row>
    <row r="10">
      <c r="A10" s="21" t="inlineStr">
        <is>
          <t>GYC GAYANG CORP., Seoul, Republic of Korea</t>
        </is>
      </c>
      <c r="B10" s="21" t="inlineStr">
        <is>
          <t>#1387</t>
        </is>
      </c>
      <c r="C10" s="21" t="inlineStr">
        <is>
          <t>1387-01</t>
        </is>
      </c>
      <c r="D10" s="21" t="inlineStr">
        <is>
          <t>FPI5</t>
        </is>
      </c>
      <c r="E10" s="22" t="inlineStr">
        <is>
          <t>Flash Patch Illuminating Eye Gels - 5 Pack</t>
        </is>
      </c>
      <c r="F10" s="21" t="inlineStr">
        <is>
          <t>3304.99.1000</t>
        </is>
      </c>
      <c r="G10" s="23" t="n">
        <v>7008</v>
      </c>
      <c r="H10" s="24" t="n">
        <v>2.46</v>
      </c>
      <c r="I10" s="24">
        <f>G10*H10</f>
        <v>17239.68</v>
      </c>
      <c r="J10" s="23" t="n">
        <v>73</v>
      </c>
      <c r="K10" s="24" t="n">
        <v>455.52</v>
      </c>
      <c r="L10" s="24" t="n">
        <v>657</v>
      </c>
      <c r="M10" s="23" t="n">
        <v>2</v>
      </c>
      <c r="N10" s="24" t="n">
        <v>11</v>
      </c>
      <c r="O10" s="24">
        <f>L10+IF(N10="",0,N10)</f>
        <v>668.0</v>
      </c>
    </row>
    <row r="11">
      <c r="A11" s="21" t="inlineStr">
        <is>
          <t>GYC GAYANG CORP., Seoul, Republic of Korea</t>
        </is>
      </c>
      <c r="B11" s="21" t="inlineStr">
        <is>
          <t>#1388</t>
        </is>
      </c>
      <c r="C11" s="21" t="inlineStr">
        <is>
          <t>1388-01</t>
        </is>
      </c>
      <c r="D11" s="21" t="inlineStr">
        <is>
          <t>CCRUSH5</t>
        </is>
      </c>
      <c r="E11" s="22" t="inlineStr">
        <is>
          <t>Cool Crush Eye Gel 5-Pack</t>
        </is>
      </c>
      <c r="F11" s="21" t="inlineStr">
        <is>
          <t>3304.99.1000</t>
        </is>
      </c>
      <c r="G11" s="23" t="n">
        <v>10080</v>
      </c>
      <c r="H11" s="24" t="n">
        <v>2.71</v>
      </c>
      <c r="I11" s="24">
        <f>G11*H11</f>
        <v>27316.8</v>
      </c>
      <c r="J11" s="23" t="n">
        <v>105</v>
      </c>
      <c r="K11" s="24" t="n">
        <v>453.6</v>
      </c>
      <c r="L11" s="24" t="n">
        <v>840</v>
      </c>
      <c r="M11" s="23" t="n">
        <v>4</v>
      </c>
      <c r="N11" s="24" t="n">
        <v>22</v>
      </c>
      <c r="O11" s="24">
        <f>L11+IF(N11="",0,N11)</f>
        <v>862.0</v>
      </c>
    </row>
    <row r="12">
      <c r="A12" s="13" t="n"/>
      <c r="B12" s="13" t="n"/>
      <c r="C12" s="13" t="n"/>
      <c r="D12" s="13" t="n"/>
      <c r="E12" s="14" t="inlineStr">
        <is>
          <t>CELKEM</t>
        </is>
      </c>
      <c r="F12" s="13" t="n"/>
      <c r="G12" s="16">
        <f>SUM(G4:G11)</f>
        <v>62804</v>
      </c>
      <c r="H12" s="13" t="n"/>
      <c r="I12" s="15">
        <f>SUM(I4:I11)</f>
        <v>128225.56</v>
      </c>
      <c r="J12" s="16">
        <f>SUM(J4:J11)</f>
        <v>652</v>
      </c>
      <c r="K12" s="15">
        <f>SUM(K4:K11)</f>
        <v>3258.66</v>
      </c>
      <c r="L12" s="15">
        <f>SUM(L4:L11)</f>
        <v>4757.2</v>
      </c>
      <c r="M12" s="16">
        <f>SUM(M4:M11)</f>
        <v>18</v>
      </c>
      <c r="N12" s="15">
        <f>SUM(N4:N11)</f>
        <v>99.0</v>
      </c>
      <c r="O12" s="15">
        <f>SUM(O4:O11)</f>
        <v>4856.2</v>
      </c>
    </row>
    <row r="14">
      <c r="A14" s="17" t="inlineStr">
        <is>
          <t>Poznámka: hmotnost palet je uvedena u první položky daného PO (paleta se váže k celému PO, ne k jednotlivé položce).</t>
        </is>
      </c>
    </row>
    <row r="15">
      <c r="A15" s="17" t="inlineStr">
        <is>
          <t>Zdroj: obchodní faktury / balicí listy GYC Gayang Corp. č. 1383-01 až 1388-01 ze dne 24.07.2026.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2026-09-07T07:40:00Z</dcterms:created>
  <dcterms:modified xsi:type="dcterms:W3CDTF">2026-09-07T07:40:00Z</dcterms:modified>
</cp:coreProperties>
</file>