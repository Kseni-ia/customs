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 vertical="top"/>
    </xf>
    <xf numFmtId="164" fontId="0" fillId="3" borderId="1" applyAlignment="1" pivotButton="0" quotePrefix="0" xfId="0">
      <alignment horizontal="right" vertical="top"/>
    </xf>
    <xf numFmtId="4" fontId="0" fillId="3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 vertical="top"/>
    </xf>
    <xf numFmtId="164" fontId="2" fillId="4" borderId="1" applyAlignment="1" pivotButton="0" quotePrefix="0" xfId="0">
      <alignment horizontal="right" vertical="top"/>
    </xf>
    <xf numFmtId="4" fontId="2" fillId="4" borderId="1" applyAlignment="1" pivotButton="0" quotePrefix="0" xfId="0">
      <alignment horizontal="right" vertical="top"/>
    </xf>
    <xf numFmtId="0" fontId="2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0" customWidth="1" min="9" max="9"/>
    <col width="55" customWidth="1" min="10" max="10"/>
  </cols>
  <sheetData>
    <row r="1" ht="42" customHeight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CHF</t>
        </is>
      </c>
      <c r="H1" s="1" t="inlineStr">
        <is>
          <t>Hodnota CZK</t>
        </is>
      </c>
      <c r="I1" s="1" t="inlineStr">
        <is>
          <t>Příznak</t>
        </is>
      </c>
      <c r="J1" s="1" t="inlineStr">
        <is>
          <t>Poznámka / CBAM / Antidumping / Preferenční původ</t>
        </is>
      </c>
    </row>
    <row r="2">
      <c r="A2" s="2" t="inlineStr">
        <is>
          <t>85413000</t>
        </is>
      </c>
      <c r="B2" s="3" t="inlineStr">
        <is>
          <t>Tyristory (polovodičové) – YST 45-27 P42G (200 ks) + YST 60 P85 (90 ks)</t>
        </is>
      </c>
      <c r="C2" s="2" t="inlineStr">
        <is>
          <t>CZ</t>
        </is>
      </c>
      <c r="D2" s="4" t="n">
        <v>290</v>
      </c>
      <c r="E2" s="5" t="n">
        <v>498</v>
      </c>
      <c r="F2" s="5" t="n">
        <v>524</v>
      </c>
      <c r="G2" s="6" t="n">
        <v>154600</v>
      </c>
      <c r="H2" s="6" t="n">
        <v>4061187.4</v>
      </c>
      <c r="I2" s="2" t="inlineStr"/>
      <c r="J2" s="3" t="inlineStr">
        <is>
          <t>Sloučeny 2 položky faktur (810678840 + 810678891) pod stejný HS 85413000. CBAM: NEPODLÉHÁ (polovodiče nejsou zboží CBAM). Antidumping: neuplatňuje se (původ CZ/EU).</t>
        </is>
      </c>
    </row>
    <row r="3">
      <c r="A3" s="7" t="inlineStr">
        <is>
          <t>85411000</t>
        </is>
      </c>
      <c r="B3" s="8" t="inlineStr">
        <is>
          <t>Diody (polovodičové) – FRD 6500 V 1700 A FF Diode (7 ks)</t>
        </is>
      </c>
      <c r="C3" s="7" t="inlineStr">
        <is>
          <t>—</t>
        </is>
      </c>
      <c r="D3" s="9" t="n">
        <v>7</v>
      </c>
      <c r="E3" s="10" t="n">
        <v>11.2</v>
      </c>
      <c r="F3" s="10" t="n">
        <v>11.2</v>
      </c>
      <c r="G3" s="11" t="n">
        <v>4172</v>
      </c>
      <c r="H3" s="11" t="n">
        <v>109594.27</v>
      </c>
      <c r="I3" s="7" t="inlineStr">
        <is>
          <t>POZOR</t>
        </is>
      </c>
      <c r="J3" s="8" t="inlineStr">
        <is>
          <t>HS kód i země původu CHYBÍ na faktuře 810678841 i dodacím listu 923634952. HS 85411000 převzat z e-mailu M. Bardy. Původ nutno doplnit/ověřit (pravděpodobně CZ). CBAM: NEPODLÉHÁ. Antidumping: neuplatňuje se.</t>
        </is>
      </c>
    </row>
    <row r="4">
      <c r="A4" s="12" t="inlineStr">
        <is>
          <t>CELKEM</t>
        </is>
      </c>
      <c r="B4" s="13" t="inlineStr"/>
      <c r="C4" s="12" t="inlineStr"/>
      <c r="D4" s="14" t="n">
        <v>297</v>
      </c>
      <c r="E4" s="15" t="n">
        <v>509.2</v>
      </c>
      <c r="F4" s="15" t="n">
        <v>535.2</v>
      </c>
      <c r="G4" s="16" t="n">
        <v>158772</v>
      </c>
      <c r="H4" s="16" t="n">
        <v>4170781.67</v>
      </c>
      <c r="I4" s="12" t="inlineStr"/>
      <c r="J4" s="13" t="inlineStr"/>
    </row>
    <row r="5">
      <c r="A5" s="17" t="inlineStr">
        <is>
          <t>Legenda:</t>
        </is>
      </c>
    </row>
    <row r="6">
      <c r="A6" s="18" t="inlineStr">
        <is>
          <t>🟡 POZOR</t>
        </is>
      </c>
      <c r="B6" t="inlineStr">
        <is>
          <t>Chybějící údaj v podkladech (HS kód / země původu) – nutno doplnit před podáním JSD/vývozního dokladu.</t>
        </is>
      </c>
    </row>
    <row r="7">
      <c r="A7" s="17" t="inlineStr">
        <is>
          <t>Kurz</t>
        </is>
      </c>
      <c r="B7" t="inlineStr">
        <is>
          <t>1 CHF = 26,26900 CZK (dle faktur Hitachi Energy)</t>
        </is>
      </c>
    </row>
    <row r="8">
      <c r="A8" s="17" t="inlineStr">
        <is>
          <t>Měna</t>
        </is>
      </c>
      <c r="B8" t="inlineStr">
        <is>
          <t>Fakturováno v CHF; hodnota CZK přepočtena kurzem z faktur.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0" customWidth="1" min="5" max="5"/>
    <col width="12" customWidth="1" min="6" max="6"/>
    <col width="11" customWidth="1" min="7" max="7"/>
    <col width="13" customWidth="1" min="8" max="8"/>
    <col width="14" customWidth="1" min="9" max="9"/>
    <col width="12" customWidth="1" min="10" max="10"/>
    <col width="12" customWidth="1" min="11" max="11"/>
    <col width="9" customWidth="1" min="12" max="12"/>
    <col width="20" customWidth="1" min="13" max="13"/>
  </cols>
  <sheetData>
    <row r="1">
      <c r="A1" s="1" t="inlineStr">
        <is>
          <t>Faktura</t>
        </is>
      </c>
      <c r="B1" s="1" t="inlineStr">
        <is>
          <t>Dodací list</t>
        </is>
      </c>
      <c r="C1" s="1" t="inlineStr">
        <is>
          <t>Materiál</t>
        </is>
      </c>
      <c r="D1" s="1" t="inlineStr">
        <is>
          <t>Popis (EN)</t>
        </is>
      </c>
      <c r="E1" s="1" t="inlineStr">
        <is>
          <t>HS kód</t>
        </is>
      </c>
      <c r="F1" s="1" t="inlineStr">
        <is>
          <t>Množství (ks)</t>
        </is>
      </c>
      <c r="G1" s="1" t="inlineStr">
        <is>
          <t>Cena/ks CHF</t>
        </is>
      </c>
      <c r="H1" s="1" t="inlineStr">
        <is>
          <t>Hodnota CHF</t>
        </is>
      </c>
      <c r="I1" s="1" t="inlineStr">
        <is>
          <t>Hodnota CZK</t>
        </is>
      </c>
      <c r="J1" s="1" t="inlineStr">
        <is>
          <t>Čistá hm. (kg)</t>
        </is>
      </c>
      <c r="K1" s="1" t="inlineStr">
        <is>
          <t>Hrubá hm. (kg)</t>
        </is>
      </c>
      <c r="L1" s="1" t="inlineStr">
        <is>
          <t>Původ</t>
        </is>
      </c>
      <c r="M1" s="1" t="inlineStr">
        <is>
          <t>PO / objednávka</t>
        </is>
      </c>
    </row>
    <row r="2">
      <c r="A2" s="19" t="inlineStr">
        <is>
          <t>810678840</t>
        </is>
      </c>
      <c r="B2" s="19" t="inlineStr">
        <is>
          <t>923634579</t>
        </is>
      </c>
      <c r="C2" s="19" t="inlineStr">
        <is>
          <t>5STP 28L4200</t>
        </is>
      </c>
      <c r="D2" s="19" t="inlineStr">
        <is>
          <t>YST 45-27 P42G / Thyristor</t>
        </is>
      </c>
      <c r="E2" s="19" t="inlineStr">
        <is>
          <t>85413000</t>
        </is>
      </c>
      <c r="F2" s="20" t="n">
        <v>200</v>
      </c>
      <c r="G2" s="21" t="n">
        <v>359</v>
      </c>
      <c r="H2" s="21" t="n">
        <v>71800</v>
      </c>
      <c r="I2" s="21" t="n">
        <v>1886114.2</v>
      </c>
      <c r="J2" s="20" t="n">
        <v>264</v>
      </c>
      <c r="K2" s="20" t="n">
        <v>290</v>
      </c>
      <c r="L2" s="19" t="inlineStr">
        <is>
          <t>CZ</t>
        </is>
      </c>
      <c r="M2" s="19" t="inlineStr">
        <is>
          <t>JSP25174 / 890303734</t>
        </is>
      </c>
    </row>
    <row r="3">
      <c r="A3" s="19" t="inlineStr">
        <is>
          <t>810678891</t>
        </is>
      </c>
      <c r="B3" s="19" t="inlineStr">
        <is>
          <t>923705937</t>
        </is>
      </c>
      <c r="C3" s="19" t="inlineStr">
        <is>
          <t>5STP 27N8500</t>
        </is>
      </c>
      <c r="D3" s="19" t="inlineStr">
        <is>
          <t>YST 60 P85 / Thyristor</t>
        </is>
      </c>
      <c r="E3" s="19" t="inlineStr">
        <is>
          <t>85413000</t>
        </is>
      </c>
      <c r="F3" s="20" t="n">
        <v>90</v>
      </c>
      <c r="G3" s="21" t="n">
        <v>920</v>
      </c>
      <c r="H3" s="21" t="n">
        <v>82800</v>
      </c>
      <c r="I3" s="21" t="n">
        <v>2175073.2</v>
      </c>
      <c r="J3" s="20" t="n">
        <v>234</v>
      </c>
      <c r="K3" s="20" t="n">
        <v>234</v>
      </c>
      <c r="L3" s="19" t="inlineStr">
        <is>
          <t>CZ</t>
        </is>
      </c>
      <c r="M3" s="19" t="inlineStr">
        <is>
          <t>JSP26070 / 890358527</t>
        </is>
      </c>
    </row>
    <row r="4">
      <c r="A4" s="19" t="inlineStr">
        <is>
          <t>810678841</t>
        </is>
      </c>
      <c r="B4" s="19" t="inlineStr">
        <is>
          <t>923634952</t>
        </is>
      </c>
      <c r="C4" s="19" t="inlineStr">
        <is>
          <t>5SDF17L6510</t>
        </is>
      </c>
      <c r="D4" s="19" t="inlineStr">
        <is>
          <t>FRD 6500 V 1700 A FF Diode</t>
        </is>
      </c>
      <c r="E4" s="19" t="inlineStr">
        <is>
          <t>85411000 (dle e-mailu)</t>
        </is>
      </c>
      <c r="F4" s="20" t="n">
        <v>7</v>
      </c>
      <c r="G4" s="21" t="n">
        <v>596</v>
      </c>
      <c r="H4" s="21" t="n">
        <v>4172</v>
      </c>
      <c r="I4" s="21" t="n">
        <v>109594.27</v>
      </c>
      <c r="J4" s="20" t="n">
        <v>11.2</v>
      </c>
      <c r="K4" s="20" t="n">
        <v>11.2</v>
      </c>
      <c r="L4" s="19" t="inlineStr">
        <is>
          <t>chybí</t>
        </is>
      </c>
      <c r="M4" s="19" t="inlineStr">
        <is>
          <t>JSP26050 / 890344403</t>
        </is>
      </c>
    </row>
    <row r="5">
      <c r="A5" s="22" t="inlineStr">
        <is>
          <t>CELKEM</t>
        </is>
      </c>
      <c r="B5" s="22" t="inlineStr"/>
      <c r="C5" s="22" t="inlineStr"/>
      <c r="D5" s="22" t="inlineStr"/>
      <c r="E5" s="22" t="inlineStr"/>
      <c r="F5" s="23" t="n">
        <v>297</v>
      </c>
      <c r="G5" s="24" t="inlineStr"/>
      <c r="H5" s="24" t="n">
        <v>158772</v>
      </c>
      <c r="I5" s="24" t="n">
        <v>4170781.67</v>
      </c>
      <c r="J5" s="23" t="n">
        <v>509.2</v>
      </c>
      <c r="K5" s="23" t="n">
        <v>535.2</v>
      </c>
      <c r="L5" s="22" t="inlineStr"/>
      <c r="M5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5">
        <f>== ZÁSILKA ===</f>
        <v/>
      </c>
    </row>
    <row r="2">
      <c r="A2" t="inlineStr">
        <is>
          <t>Odesílatel: Hitachi Energy Czech Republic s.r.o., Na strži 1702/65, 140 00 Praha 4 (původ CZ).</t>
        </is>
      </c>
    </row>
    <row r="3">
      <c r="A3" t="inlineStr">
        <is>
          <t>Příjemce (ship to): Jiashan Sunking Electrical Equipment Tech. Co. Ltd, Weitang-Town, Zhejiang, Čína.</t>
        </is>
      </c>
    </row>
    <row r="4">
      <c r="A4" t="inlineStr">
        <is>
          <t>Odběratel/plátce: Sunking Pacific Ltd, Hong Kong (zák. č. 1000035949).</t>
        </is>
      </c>
    </row>
    <row r="5">
      <c r="A5" t="inlineStr">
        <is>
          <t>Dodací podmínka: FCA Praha. Vývoz z EU (CZ) do Číny. CÚ výstupu: Ruzyně. SPZ: 5Z2 6505.</t>
        </is>
      </c>
    </row>
    <row r="6">
      <c r="A6" t="inlineStr">
        <is>
          <t>Reference na fakturu dopravce: CZ26801003, č. objednávky 4502071585.</t>
        </is>
      </c>
    </row>
    <row r="7">
      <c r="A7" t="inlineStr">
        <is>
          <t>Zboží: Tyristory 85413000 – 200 + 90 ks; Diody 85411000 – 7 ks (dle e-mailu M. Bardy).</t>
        </is>
      </c>
    </row>
    <row r="8">
      <c r="A8" t="inlineStr"/>
    </row>
    <row r="9">
      <c r="A9" s="25">
        <f>== PREFERENČNÍ PŮVOD / COO – DŮLEŽITÉ ===</f>
        <v/>
      </c>
    </row>
    <row r="10">
      <c r="A10" s="17" t="inlineStr">
        <is>
          <t>Preferenční větu (prohlášení o preferenčním původu) jsem v ŽÁDNÉM z podkladů (3 faktury + 3 dodací listy) NENAŠEL.</t>
        </is>
      </c>
    </row>
    <row r="11">
      <c r="A11" t="inlineStr">
        <is>
          <t>Faktury/dodací listy uvádějí pouze 'Country of Origin: CZ' u tyristorů; u diod je pole původu PRÁZDNÉ.</t>
        </is>
      </c>
    </row>
    <row r="12">
      <c r="A12" t="inlineStr">
        <is>
          <t>Jde o vývoz z EU do Číny – pokud má zásilka využít preferenční zacházení dle příslušné dohody,</t>
        </is>
      </c>
    </row>
    <row r="13">
      <c r="A13" t="inlineStr">
        <is>
          <t>je třeba na fakturu doplnit platné prohlášení o preferenčním původu. Doporučuji ověřit s odesílatelem.</t>
        </is>
      </c>
    </row>
    <row r="14">
      <c r="A14" t="inlineStr"/>
    </row>
    <row r="15">
      <c r="A15" s="25">
        <f>== CHYBĚJÍCÍ ÚDAJE – NUTNO DOPLNIT ===</f>
        <v/>
      </c>
    </row>
    <row r="16">
      <c r="A16" s="17" t="inlineStr">
        <is>
          <t>1) Faktura 810678841 (diody): CHYBÍ Export HS Code i Country of Origin. HS 85411000 doplněn z e-mailu, nikoli z dokladu.</t>
        </is>
      </c>
    </row>
    <row r="17">
      <c r="A17" s="17" t="inlineStr">
        <is>
          <t>2) Dodací list 923634952 (diody): CHYBÍ Customs Tariff No. i Country of Origin.</t>
        </is>
      </c>
    </row>
    <row r="18">
      <c r="A18" t="inlineStr">
        <is>
          <t xml:space="preserve">   → Před podáním vývozního dokladu doplnit HS kód a zemi původu diod (pravděpodobně CZ, ověřit).</t>
        </is>
      </c>
    </row>
    <row r="19">
      <c r="A19" t="inlineStr"/>
    </row>
    <row r="20">
      <c r="A20" s="25">
        <f>== HMOTNOSTI ===</f>
        <v/>
      </c>
    </row>
    <row r="21">
      <c r="A21" t="inlineStr">
        <is>
          <t>Čistá hmotnost celkem: 509,2 kg. Hrubá hmotnost celkem (dle dodacích listů): 535,2 kg.</t>
        </is>
      </c>
    </row>
    <row r="22">
      <c r="A22" t="inlineStr">
        <is>
          <t xml:space="preserve">  - Tyristory: NW 498 kg (264 + 234), GW 524 kg (290 + 234).</t>
        </is>
      </c>
    </row>
    <row r="23">
      <c r="A23" t="inlineStr">
        <is>
          <t xml:space="preserve">  - Diody: NW = GW = 11,2 kg.</t>
        </is>
      </c>
    </row>
    <row r="24">
      <c r="A24" s="17" t="inlineStr">
        <is>
          <t>POZOR na nesoulad: e-mail uvádí palety 80x60x88 / 275 kg a 80x60x108 / 295 kg = 570 kg brutto,</t>
        </is>
      </c>
    </row>
    <row r="25">
      <c r="A25" t="inlineStr">
        <is>
          <t xml:space="preserve">  zatímco součet hrubých hmotností z dodacích listů je 535,2 kg (rozdíl ~35 kg = obalový materiál/palety).</t>
        </is>
      </c>
    </row>
    <row r="26">
      <c r="A26" t="inlineStr">
        <is>
          <t xml:space="preserve">  Pro vývozní doklad ověřit skutečnou hrubou hmotnost zásilky (2 palety).</t>
        </is>
      </c>
    </row>
    <row r="27">
      <c r="A27" t="inlineStr"/>
    </row>
    <row r="28">
      <c r="A28" s="25">
        <f>== CBAM ===</f>
        <v/>
      </c>
    </row>
    <row r="29">
      <c r="A29" t="inlineStr">
        <is>
          <t>Tyristory (85413000) ani diody (85411000) NEJSOU zboží podléhající CBAM (nejde o železo/ocel, hliník, cement, hnojiva, elektřinu, vodík). CBAM se neuplatňuje.</t>
        </is>
      </c>
    </row>
    <row r="30">
      <c r="A30" t="inlineStr"/>
    </row>
    <row r="31">
      <c r="A31" s="25">
        <f>== ANTIDUMPING ===</f>
        <v/>
      </c>
    </row>
    <row r="32">
      <c r="A32" t="inlineStr">
        <is>
          <t>Zboží je původu CZ/EU – antidumpingové clo se neuplatňuje.</t>
        </is>
      </c>
    </row>
    <row r="33">
      <c r="A33" t="inlineStr"/>
    </row>
    <row r="34">
      <c r="A34" s="25">
        <f>== PODKLADY (6 dokumentů) ===</f>
        <v/>
      </c>
    </row>
    <row r="35">
      <c r="A35" t="inlineStr">
        <is>
          <t>Faktura 810678840 + dodací list 923634579 – tyristory YST 45-27 P42G, 200 ks.</t>
        </is>
      </c>
    </row>
    <row r="36">
      <c r="A36" t="inlineStr">
        <is>
          <t>Faktura 810678891 + dodací list 923705937 – tyristory YST 60 P85, 90 ks.</t>
        </is>
      </c>
    </row>
    <row r="37">
      <c r="A37" t="inlineStr">
        <is>
          <t>Faktura 810678841 + dodací list 923634952 – diody FRD 6500 V 1700 A, 7 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2026-07-16T12:53:53Z</dcterms:created>
  <dcterms:modified xsi:type="dcterms:W3CDTF">2026-07-16T12:53:53Z</dcterms:modified>
</cp:coreProperties>
</file>