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Položky - detail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4E79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2" customWidth="1" min="3" max="3"/>
    <col width="9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2" customWidth="1" min="10" max="10"/>
    <col width="11" customWidth="1" min="11" max="11"/>
    <col width="62" customWidth="1" min="12" max="12"/>
  </cols>
  <sheetData>
    <row r="1" ht="34" customHeight="1">
      <c r="A1" s="1" t="inlineStr">
        <is>
          <t>Odesílatel (sender)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Množství (ks)</t>
        </is>
      </c>
      <c r="F1" s="1" t="inlineStr">
        <is>
          <t>Počet kartonů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Celní hodnota (USD)</t>
        </is>
      </c>
      <c r="J1" s="1" t="inlineStr">
        <is>
          <t>Incoterm</t>
        </is>
      </c>
      <c r="K1" s="1" t="inlineStr">
        <is>
          <t>Příznak</t>
        </is>
      </c>
      <c r="L1" s="1" t="inlineStr">
        <is>
          <t>Poznámka / TARIC / CBAM / Antidumping</t>
        </is>
      </c>
    </row>
    <row r="2">
      <c r="A2" s="2" t="inlineStr">
        <is>
          <t>ANJI MAOCHANG FURNITURE CO., LTD., Anji County, Zhejiang, CHINA</t>
        </is>
      </c>
      <c r="B2" s="2" t="inlineStr">
        <is>
          <t>94013900</t>
        </is>
      </c>
      <c r="C2" s="2" t="inlineStr">
        <is>
          <t>Otočná sedadla s výškovým nastavením, ostatní (než dřevěná) – kancelářské/pracovní otočné židle</t>
        </is>
      </c>
      <c r="D2" s="2" t="inlineStr">
        <is>
          <t>CN</t>
        </is>
      </c>
      <c r="E2" s="2" t="n">
        <v>540</v>
      </c>
      <c r="F2" s="2" t="n">
        <v>270</v>
      </c>
      <c r="G2" s="3" t="n">
        <v>3774</v>
      </c>
      <c r="H2" s="3" t="n">
        <v>4314</v>
      </c>
      <c r="I2" s="3" t="n">
        <v>7662</v>
      </c>
      <c r="J2" s="2" t="inlineStr">
        <is>
          <t>FOB Ningbo</t>
        </is>
      </c>
      <c r="K2" s="2" t="inlineStr"/>
      <c r="L2" s="2" t="inlineStr">
        <is>
          <t>Clo erga omnes 0 %. Zařazení do 9401 30/39 vyžaduje, aby sedadlo bylo OTOČNÉ A ZÁROVEŇ VÝŠKOVĚ STAVITELNÉ (plynový píst). Ověřit u odesílatele – viz list „Dokumenty a poznámky“. Bez výškového nastavení patří položka do 9401 71 00.</t>
        </is>
      </c>
    </row>
    <row r="3">
      <c r="A3" s="2" t="inlineStr">
        <is>
          <t>ANJI MAOCHANG FURNITURE CO., LTD., Anji County, Zhejiang, CHINA</t>
        </is>
      </c>
      <c r="B3" s="2" t="inlineStr">
        <is>
          <t>94017100</t>
        </is>
      </c>
      <c r="C3" s="2" t="inlineStr">
        <is>
          <t>Ostatní sedadla s kovovou kostrou, čalouněná</t>
        </is>
      </c>
      <c r="D3" s="2" t="inlineStr">
        <is>
          <t>CN</t>
        </is>
      </c>
      <c r="E3" s="2" t="n">
        <v>440</v>
      </c>
      <c r="F3" s="2" t="n">
        <v>440</v>
      </c>
      <c r="G3" s="3" t="n">
        <v>2732</v>
      </c>
      <c r="H3" s="3" t="n">
        <v>3172</v>
      </c>
      <c r="I3" s="3" t="n">
        <v>4738</v>
      </c>
      <c r="J3" s="2" t="inlineStr">
        <is>
          <t>FOB Ningbo</t>
        </is>
      </c>
      <c r="K3" s="2" t="inlineStr"/>
      <c r="L3" s="2" t="inlineStr">
        <is>
          <t>Nesklápěcí čalouněná sedadla s kovovou kostrou. Sazbu cla ověřit v TARIC při podání JSD (dle poslední zásilky použit 10místný kód 9401 7100 11). Předpokladem je kovový rám a čalounění – ověřit u odesílatele.</t>
        </is>
      </c>
    </row>
    <row r="4">
      <c r="A4" s="2" t="n"/>
      <c r="B4" s="2" t="n"/>
      <c r="C4" s="2" t="n"/>
      <c r="D4" s="2" t="n"/>
      <c r="E4" s="2" t="n"/>
      <c r="F4" s="2" t="n"/>
      <c r="G4" s="3" t="n"/>
      <c r="H4" s="3" t="n"/>
      <c r="I4" s="3" t="n"/>
      <c r="J4" s="2" t="n"/>
      <c r="K4" s="2" t="n"/>
      <c r="L4" s="2" t="n"/>
    </row>
    <row r="5">
      <c r="A5" s="4" t="inlineStr">
        <is>
          <t>CELKEM</t>
        </is>
      </c>
      <c r="B5" s="4" t="inlineStr"/>
      <c r="C5" s="4" t="inlineStr"/>
      <c r="D5" s="4" t="inlineStr"/>
      <c r="E5" s="4" t="n">
        <v>980</v>
      </c>
      <c r="F5" s="4" t="n">
        <v>710</v>
      </c>
      <c r="G5" s="5" t="n">
        <v>6506</v>
      </c>
      <c r="H5" s="5" t="n">
        <v>7486</v>
      </c>
      <c r="I5" s="5" t="n">
        <v>12400</v>
      </c>
      <c r="J5" s="4" t="inlineStr">
        <is>
          <t>FOB Ningbo</t>
        </is>
      </c>
      <c r="K5" s="4" t="inlineStr"/>
      <c r="L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0" customWidth="1" min="3" max="3"/>
    <col width="14" customWidth="1" min="4" max="4"/>
    <col width="11" customWidth="1" min="5" max="5"/>
    <col width="10" customWidth="1" min="6" max="6"/>
    <col width="13" customWidth="1" min="7" max="7"/>
    <col width="14" customWidth="1" min="8" max="8"/>
    <col width="13" customWidth="1" min="9" max="9"/>
    <col width="13" customWidth="1" min="10" max="10"/>
    <col width="60" customWidth="1" min="11" max="11"/>
  </cols>
  <sheetData>
    <row r="1" ht="34" customHeight="1">
      <c r="A1" s="1" t="inlineStr">
        <is>
          <t>Odesílatel</t>
        </is>
      </c>
      <c r="B1" s="1" t="inlineStr">
        <is>
          <t>Model (faktura)</t>
        </is>
      </c>
      <c r="C1" s="1" t="inlineStr">
        <is>
          <t>Popis zboží (CZ)</t>
        </is>
      </c>
      <c r="D1" s="1" t="inlineStr">
        <is>
          <t>Navržený HS kód</t>
        </is>
      </c>
      <c r="E1" s="1" t="inlineStr">
        <is>
          <t>Množství (ks)</t>
        </is>
      </c>
      <c r="F1" s="1" t="inlineStr">
        <is>
          <t>Kartonů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Jedn. cena (USD)</t>
        </is>
      </c>
      <c r="J1" s="1" t="inlineStr">
        <is>
          <t>Hodnota (USD)</t>
        </is>
      </c>
      <c r="K1" s="1" t="inlineStr">
        <is>
          <t>Poznámka</t>
        </is>
      </c>
    </row>
    <row r="2">
      <c r="A2" s="2" t="inlineStr">
        <is>
          <t>ANJI MAOCHANG FURNITURE CO., LTD., Anji County, Zhejiang, CHINA</t>
        </is>
      </c>
      <c r="B2" s="2" t="inlineStr">
        <is>
          <t>ETAN CLIENT CHAIR – SILVER FRAME</t>
        </is>
      </c>
      <c r="C2" s="2" t="inlineStr">
        <is>
          <t>Křeslo do jídelny nebo kanceláře, koženka (stříbrný rám)</t>
        </is>
      </c>
      <c r="D2" s="2" t="inlineStr">
        <is>
          <t>94017100</t>
        </is>
      </c>
      <c r="E2" s="2" t="n">
        <v>20</v>
      </c>
      <c r="F2" s="2" t="n">
        <v>20</v>
      </c>
      <c r="G2" s="3" t="n">
        <v>166</v>
      </c>
      <c r="H2" s="3" t="n">
        <v>186</v>
      </c>
      <c r="I2" s="3" t="n">
        <v>20.3</v>
      </c>
      <c r="J2" s="3" t="n">
        <v>406</v>
      </c>
      <c r="K2" s="2" t="inlineStr">
        <is>
          <t>Packing list uvádí barevné varianty sloučeně v jednom řádku – NW/GW/kartony rozděleny rovnoměrně dle počtu ks (faktura má varianty zvlášť). PL řádek: 40 ktn / 40 ks / NW 332 / GW 372.</t>
        </is>
      </c>
    </row>
    <row r="3">
      <c r="A3" s="2" t="inlineStr">
        <is>
          <t>ANJI MAOCHANG FURNITURE CO., LTD., Anji County, Zhejiang, CHINA</t>
        </is>
      </c>
      <c r="B3" s="2" t="inlineStr">
        <is>
          <t>ETAN CLIENT CHAIR – GOLDEN FRAME</t>
        </is>
      </c>
      <c r="C3" s="2" t="inlineStr">
        <is>
          <t>Křeslo do jídelny nebo kanceláře, koženka (zlatý rám)</t>
        </is>
      </c>
      <c r="D3" s="2" t="inlineStr">
        <is>
          <t>94017100</t>
        </is>
      </c>
      <c r="E3" s="2" t="n">
        <v>20</v>
      </c>
      <c r="F3" s="2" t="n">
        <v>20</v>
      </c>
      <c r="G3" s="3" t="n">
        <v>166</v>
      </c>
      <c r="H3" s="3" t="n">
        <v>186</v>
      </c>
      <c r="I3" s="3" t="n">
        <v>22.6</v>
      </c>
      <c r="J3" s="3" t="n">
        <v>452</v>
      </c>
      <c r="K3" s="2" t="inlineStr">
        <is>
          <t>Packing list uvádí barevné varianty sloučeně v jednom řádku – NW/GW/kartony rozděleny rovnoměrně dle počtu ks (faktura má varianty zvlášť). PL řádek: 40 ktn / 40 ks / NW 332 / GW 372.</t>
        </is>
      </c>
    </row>
    <row r="4">
      <c r="A4" s="2" t="inlineStr">
        <is>
          <t>ANJI MAOCHANG FURNITURE CO., LTD., Anji County, Zhejiang, CHINA</t>
        </is>
      </c>
      <c r="B4" s="2" t="inlineStr">
        <is>
          <t>KIRA TECHNICIAN CHAIR</t>
        </is>
      </c>
      <c r="C4" s="2" t="inlineStr">
        <is>
          <t>Otočná židle s pochromovaným podstavcem, koženka</t>
        </is>
      </c>
      <c r="D4" s="2" t="inlineStr">
        <is>
          <t>94013900</t>
        </is>
      </c>
      <c r="E4" s="2" t="n">
        <v>120</v>
      </c>
      <c r="F4" s="2" t="n">
        <v>60</v>
      </c>
      <c r="G4" s="3" t="n">
        <v>852</v>
      </c>
      <c r="H4" s="3" t="n">
        <v>972</v>
      </c>
      <c r="I4" s="3" t="n">
        <v>15.6</v>
      </c>
      <c r="J4" s="3" t="n">
        <v>1872</v>
      </c>
      <c r="K4" s="2" t="inlineStr">
        <is>
          <t>Packing list uvádí barevné varianty sloučeně v jednom řádku – NW/GW/kartony rozděleny rovnoměrně dle počtu ks (faktura má varianty zvlášť). PL řádek: 120 ktn / 240 ks / NW 1704 / GW 1944. V PL chybí název modelu.</t>
        </is>
      </c>
    </row>
    <row r="5">
      <c r="A5" s="2" t="inlineStr">
        <is>
          <t>ANJI MAOCHANG FURNITURE CO., LTD., Anji County, Zhejiang, CHINA</t>
        </is>
      </c>
      <c r="B5" s="2" t="inlineStr">
        <is>
          <t>KIRA TECHNICIAN CHAIR (gold color)</t>
        </is>
      </c>
      <c r="C5" s="2" t="inlineStr">
        <is>
          <t>Otočná židle s pochromovaným podstavcem, koženka (zlatá)</t>
        </is>
      </c>
      <c r="D5" s="2" t="inlineStr">
        <is>
          <t>94013900</t>
        </is>
      </c>
      <c r="E5" s="2" t="n">
        <v>120</v>
      </c>
      <c r="F5" s="2" t="n">
        <v>60</v>
      </c>
      <c r="G5" s="3" t="n">
        <v>852</v>
      </c>
      <c r="H5" s="3" t="n">
        <v>972</v>
      </c>
      <c r="I5" s="3" t="n">
        <v>16.5</v>
      </c>
      <c r="J5" s="3" t="n">
        <v>1980</v>
      </c>
      <c r="K5" s="2" t="inlineStr">
        <is>
          <t>Packing list uvádí barevné varianty sloučeně v jednom řádku – NW/GW/kartony rozděleny rovnoměrně dle počtu ks (faktura má varianty zvlášť). PL řádek: 120 ktn / 240 ks / NW 1704 / GW 1944. V PL chybí název modelu.</t>
        </is>
      </c>
    </row>
    <row r="6">
      <c r="A6" s="2" t="inlineStr">
        <is>
          <t>ANJI MAOCHANG FURNITURE CO., LTD., Anji County, Zhejiang, CHINA</t>
        </is>
      </c>
      <c r="B6" s="2" t="inlineStr">
        <is>
          <t>NORA TECHNICIAN CHAIR</t>
        </is>
      </c>
      <c r="C6" s="2" t="inlineStr">
        <is>
          <t>Otočná židle s pochromovaným podstavcem, koženka</t>
        </is>
      </c>
      <c r="D6" s="2" t="inlineStr">
        <is>
          <t>94013900</t>
        </is>
      </c>
      <c r="E6" s="2" t="n">
        <v>150</v>
      </c>
      <c r="F6" s="2" t="n">
        <v>75</v>
      </c>
      <c r="G6" s="3" t="n">
        <v>1035</v>
      </c>
      <c r="H6" s="3" t="n">
        <v>1185</v>
      </c>
      <c r="I6" s="3" t="n">
        <v>12.4</v>
      </c>
      <c r="J6" s="3" t="n">
        <v>1860</v>
      </c>
      <c r="K6" s="2" t="inlineStr">
        <is>
          <t>Packing list uvádí barevné varianty sloučeně v jednom řádku – NW/GW/kartony rozděleny rovnoměrně dle počtu ks (faktura má varianty zvlášť). PL řádek: 150 ktn / 300 ks / NW 2070 / GW 2370.</t>
        </is>
      </c>
    </row>
    <row r="7">
      <c r="A7" s="2" t="inlineStr">
        <is>
          <t>ANJI MAOCHANG FURNITURE CO., LTD., Anji County, Zhejiang, CHINA</t>
        </is>
      </c>
      <c r="B7" s="2" t="inlineStr">
        <is>
          <t>NORA TECHNICIAN CHAIR (gold color)</t>
        </is>
      </c>
      <c r="C7" s="2" t="inlineStr">
        <is>
          <t>Otočná židle s pochromovaným podstavcem, koženka (zlatá)</t>
        </is>
      </c>
      <c r="D7" s="2" t="inlineStr">
        <is>
          <t>94013900</t>
        </is>
      </c>
      <c r="E7" s="2" t="n">
        <v>150</v>
      </c>
      <c r="F7" s="2" t="n">
        <v>75</v>
      </c>
      <c r="G7" s="3" t="n">
        <v>1035</v>
      </c>
      <c r="H7" s="3" t="n">
        <v>1185</v>
      </c>
      <c r="I7" s="3" t="n">
        <v>13</v>
      </c>
      <c r="J7" s="3" t="n">
        <v>1950</v>
      </c>
      <c r="K7" s="2" t="inlineStr">
        <is>
          <t>Packing list uvádí barevné varianty sloučeně v jednom řádku – NW/GW/kartony rozděleny rovnoměrně dle počtu ks (faktura má varianty zvlášť). PL řádek: 150 ktn / 300 ks / NW 2070 / GW 2370.</t>
        </is>
      </c>
    </row>
    <row r="8">
      <c r="A8" s="2" t="inlineStr">
        <is>
          <t>ANJI MAOCHANG FURNITURE CO., LTD., Anji County, Zhejiang, CHINA</t>
        </is>
      </c>
      <c r="B8" s="2" t="inlineStr">
        <is>
          <t>MC-015</t>
        </is>
      </c>
      <c r="C8" s="2" t="inlineStr">
        <is>
          <t>Křeslo do jídelny nebo kanceláře, koženka (stohovatelné)</t>
        </is>
      </c>
      <c r="D8" s="2" t="inlineStr">
        <is>
          <t>94017100</t>
        </is>
      </c>
      <c r="E8" s="2" t="n">
        <v>400</v>
      </c>
      <c r="F8" s="2" t="n">
        <v>400</v>
      </c>
      <c r="G8" s="3" t="n">
        <v>2400</v>
      </c>
      <c r="H8" s="3" t="n">
        <v>2800</v>
      </c>
      <c r="I8" s="3" t="n">
        <v>9.699999999999999</v>
      </c>
      <c r="J8" s="3" t="n">
        <v>3880</v>
      </c>
      <c r="K8" s="2" t="inlineStr">
        <is>
          <t>Instrukce k odbavení uvádí model MC-221, faktura i PL uvádí MC-015 – ověřit. 1 ks/karton, 6 kg NW/ks.</t>
        </is>
      </c>
    </row>
    <row r="9">
      <c r="A9" s="2" t="n"/>
      <c r="B9" s="2" t="n"/>
      <c r="C9" s="2" t="n"/>
      <c r="D9" s="2" t="n"/>
      <c r="E9" s="2" t="n"/>
      <c r="F9" s="2" t="n"/>
      <c r="G9" s="3" t="n"/>
      <c r="H9" s="3" t="n"/>
      <c r="I9" s="3" t="n"/>
      <c r="J9" s="3" t="n"/>
      <c r="K9" s="2" t="n"/>
    </row>
    <row r="10">
      <c r="A10" s="4" t="inlineStr">
        <is>
          <t>CELKEM</t>
        </is>
      </c>
      <c r="B10" s="4" t="inlineStr"/>
      <c r="C10" s="4" t="inlineStr"/>
      <c r="D10" s="4" t="inlineStr"/>
      <c r="E10" s="4" t="n">
        <v>980</v>
      </c>
      <c r="F10" s="4" t="n">
        <v>710</v>
      </c>
      <c r="G10" s="5" t="n">
        <v>6506</v>
      </c>
      <c r="H10" s="5" t="n">
        <v>7486</v>
      </c>
      <c r="I10" s="5" t="inlineStr"/>
      <c r="J10" s="5" t="n">
        <v>12400</v>
      </c>
      <c r="K10" s="4" t="inlineStr">
        <is>
          <t>Souhlasí s packing listem: 710 ktn / 980 ks / NW 6 506,00 / GW 7 486,00 / 68 CBM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>
        <f>== ZÁSILKA ===</f>
        <v/>
      </c>
    </row>
    <row r="2">
      <c r="A2" s="7" t="inlineStr">
        <is>
          <t>Klient / příjemce (CZ): NSN COSMETICS s.r.o., Plovdivská 3266/2, 143 00 Praha 4 – Modřany, IČO 04127137, DIČ CZ04127137</t>
        </is>
      </c>
    </row>
    <row r="3">
      <c r="A3" s="7" t="inlineStr">
        <is>
          <t>Adresa doručení dle instrukce: Břežanská 314, 252 41 Zlatníky-Hodkovice (kontakt: tran the thoai, 723 441 209, 8:00–17:00)</t>
        </is>
      </c>
    </row>
    <row r="4">
      <c r="A4" s="7" t="inlineStr">
        <is>
          <t>Odesílatel: ANJI MAOCHANG FURNITURE CO., LTD., 198 Yangguang Road, Floor 3, Dipu Street, Anji County, Zhejiang, CHINA</t>
        </is>
      </c>
    </row>
    <row r="5">
      <c r="A5" s="7" t="inlineStr">
        <is>
          <t>B/L: ENBBRV2605491 (Maersk, MURCIA MAERSK 630W), Ningbo → Mělník, on board 28.7.2026, FREIGHT COLLECT</t>
        </is>
      </c>
    </row>
    <row r="6">
      <c r="A6" s="7" t="inlineStr">
        <is>
          <t>Kontejnery dle B/L: CAAU5953508 (408 ktn / 4 908,500 kg / 68 CBM) + MRKU3227650 (710 ktn / 7 486,000 kg / 68 CBM); celkem 1 118 ktn / 12 394,500 kg / 136 CBM</t>
        </is>
      </c>
    </row>
    <row r="7">
      <c r="A7" s="7" t="inlineStr">
        <is>
          <t>Celní režim dle instrukce: JSD (propuštění do volného oběhu). Deklarant / zástupce: Maurice Ward &amp; Co., s.r.o.</t>
        </is>
      </c>
    </row>
    <row r="8">
      <c r="A8" s="7" t="inlineStr"/>
    </row>
    <row r="9">
      <c r="A9" s="6">
        <f>== ⚠ TATO SOUHRNNÁ TABULKA POKRÝVÁ POUZE KONTEJNER MRKU3227650 ===</f>
        <v/>
      </c>
    </row>
    <row r="10">
      <c r="A10" s="7" t="inlineStr">
        <is>
          <t>K dispozici je faktura a packing list pouze pro 710 kartonů / 980 ks / 12 400 USD (kontejner MRKU3227650).</t>
        </is>
      </c>
    </row>
    <row r="11">
      <c r="A11" s="7" t="inlineStr">
        <is>
          <t>Pro druhý kontejner CAAU5953508 (408 kartonů / 4 908,500 kg, marks CN9016173) NEBYLA dodána faktura ani packing list.</t>
        </is>
      </c>
    </row>
    <row r="12">
      <c r="A12" s="7" t="inlineStr">
        <is>
          <t>→ Doplnit doklady k druhému kontejneru, jinak nelze zásilku vyclít celou.</t>
        </is>
      </c>
    </row>
    <row r="13">
      <c r="A13" s="7" t="inlineStr"/>
    </row>
    <row r="14">
      <c r="A14" s="6">
        <f>== NAVRŽENÉ HS KÓDY (odůvodnění) ===</f>
        <v/>
      </c>
    </row>
    <row r="15">
      <c r="A15" s="7" t="inlineStr">
        <is>
          <t>9401 39 00 – Otočná sedadla s výškovým nastavením, ostatní (KIRA + NORA, 540 ks)</t>
        </is>
      </c>
    </row>
    <row r="16">
      <c r="A16" s="7" t="inlineStr">
        <is>
          <t xml:space="preserve">   Popis v instrukci: „otočná židle s pochromovaným podstavcem, koženka“ → otočné sedadlo na chromovaném kříži.</t>
        </is>
      </c>
    </row>
    <row r="17">
      <c r="A17" s="7" t="inlineStr">
        <is>
          <t xml:space="preserve">   Podmínka položky 9401 30: sedadlo musí být OTOČNÉ A SOUČASNĚ VÝŠKOVĚ STAVITELNÉ. Materiál kostry je pak nerozhodný.</t>
        </is>
      </c>
    </row>
    <row r="18">
      <c r="A18" s="7" t="inlineStr">
        <is>
          <t xml:space="preserve">   Od CN 2022 je 9401 30 rozděleno na 9401 31 00 (dřevěná) a 9401 39 00 (ostatní) → zde 9401 39 00.</t>
        </is>
      </c>
    </row>
    <row r="19">
      <c r="A19" s="7" t="inlineStr">
        <is>
          <t xml:space="preserve">   Shoduje se s HS kódem deklarovaným na B/L (94013900). Clo erga omnes 0 %.</t>
        </is>
      </c>
    </row>
    <row r="20">
      <c r="A20" s="7" t="inlineStr">
        <is>
          <t>9401 71 00 – Ostatní sedadla s kovovou kostrou, čalouněná (ETAN + MC-015, 440 ks)</t>
        </is>
      </c>
    </row>
    <row r="21">
      <c r="A21" s="7" t="inlineStr">
        <is>
          <t xml:space="preserve">   Popis v instrukci: „křeslo do jídelny nebo kanceláře koženka“; faktura uvádí SILVER FRAME / GOLDEN FRAME → kovový rám.</t>
        </is>
      </c>
    </row>
    <row r="22">
      <c r="A22" s="7" t="inlineStr">
        <is>
          <t xml:space="preserve">   Nejde o otočná ani výškově stavitelná sedadla → nepatří do 9401 30/39, ale do 9401 71 00 (kovová kostra + čalounění).</t>
        </is>
      </c>
    </row>
    <row r="23">
      <c r="A23" s="7" t="inlineStr">
        <is>
          <t xml:space="preserve">   POZOR: B/L deklaruje pro celou zásilku jediný kód 94013900. Pro JSD to nestačí – tyto položky je třeba zařadit zvlášť.</t>
        </is>
      </c>
    </row>
    <row r="24">
      <c r="A24" s="7" t="inlineStr"/>
    </row>
    <row r="25">
      <c r="A25" s="6">
        <f>== ⚠ NUTNO OVĚŘIT U ODESÍLATELE PŘED PODÁNÍM JSD ===</f>
        <v/>
      </c>
    </row>
    <row r="26">
      <c r="A26" s="8" t="inlineStr">
        <is>
          <t>1) KIRA a NORA: mají plynový píst / výškové nastavení? ANO → 9401 39 00. NE → přesunout do 9401 71 00.</t>
        </is>
      </c>
    </row>
    <row r="27">
      <c r="A27" s="8" t="inlineStr">
        <is>
          <t>2) ETAN a MC-015: je kostra kovová (ne dřevěná)? Dřevěná kostra → 9401 61 00 místo 9401 71 00.</t>
        </is>
      </c>
    </row>
    <row r="28">
      <c r="A28" s="8" t="inlineStr">
        <is>
          <t>3) ETAN a MC-015: je sedák/opěrák čalouněný (polstrování pod koženkou)? Bez polstrování → 9401 79 00.</t>
        </is>
      </c>
    </row>
    <row r="29">
      <c r="A29" s="8" t="inlineStr">
        <is>
          <t>4) Potvrdit 10místný TARIC kód v deklaračním systému (u minulé zásilky použit 9401 7100 11).</t>
        </is>
      </c>
    </row>
    <row r="30">
      <c r="A30" s="7" t="inlineStr"/>
    </row>
    <row r="31">
      <c r="A31" s="6">
        <f>== ROZPORY V DOKLADECH ===</f>
        <v/>
      </c>
    </row>
    <row r="32">
      <c r="A32" s="8" t="inlineStr">
        <is>
          <t>a) Číslo faktury: faktura uvádí INV NO. 26200232C, packing list i instrukce k odbavení uvádí 26200131C.</t>
        </is>
      </c>
    </row>
    <row r="33">
      <c r="A33" s="7" t="inlineStr">
        <is>
          <t xml:space="preserve">   Stejné množství (980 ks) i hodnota (12 400 USD) → jde o totéž zboží. Do JSD nutno uvést jedno konzistentní číslo faktury.</t>
        </is>
      </c>
    </row>
    <row r="34">
      <c r="A34" s="8" t="inlineStr">
        <is>
          <t>b) Měna: hlavička faktury uvádí „AMOUNT IN RMB“, ale částky jsou v $ a text zní „SAY TWELVE THOUSAND FOUR HUNDRED USD ONLY“.</t>
        </is>
      </c>
    </row>
    <row r="35">
      <c r="A35" s="7" t="inlineStr">
        <is>
          <t xml:space="preserve">   Instrukce rovněž uvádí 12 400 USD → měna je USD. Vyžádat opravenou fakturu / potvrzení měny.</t>
        </is>
      </c>
    </row>
    <row r="36">
      <c r="A36" s="8" t="inlineStr">
        <is>
          <t>c) Model: instrukce uvádí „MC-221“, faktura i packing list uvádí „MC-015“ (400 ks).</t>
        </is>
      </c>
    </row>
    <row r="37">
      <c r="A37" s="8" t="inlineStr">
        <is>
          <t>d) Packing list: u řádku 120 ktn / 240 ks chybí název modelu (dle faktury a instrukce jde o KIRA TECHNICIAN CHAIR).</t>
        </is>
      </c>
    </row>
    <row r="38">
      <c r="A38" s="8" t="inlineStr">
        <is>
          <t>e) Faktura uvádí varianty barev zvlášť, packing list je slučuje → NW/GW v listu „Položky - detail“ rozděleny dle počtu ks.</t>
        </is>
      </c>
    </row>
    <row r="39">
      <c r="A39" s="7" t="inlineStr"/>
    </row>
    <row r="40">
      <c r="A40" s="6">
        <f>== INCOTERM ===</f>
        <v/>
      </c>
    </row>
    <row r="41">
      <c r="A41" s="7" t="inlineStr">
        <is>
          <t>FOB NINGBO (uvedeno na faktuře 26200232C). Město/přístav: Ningbo, Čína.</t>
        </is>
      </c>
    </row>
    <row r="42">
      <c r="A42" s="7" t="inlineStr">
        <is>
          <t>B/L je FREIGHT COLLECT / FREIGHT AS ARRANGED → dopravné hradí příjemce.</t>
        </is>
      </c>
    </row>
    <row r="43">
      <c r="A43" s="7" t="inlineStr">
        <is>
          <t>→ Při FOB musí být do celní hodnoty PŘIPOČTENO námořní dopravné a pojistné až po vstup na území EU.</t>
        </is>
      </c>
    </row>
    <row r="44">
      <c r="A44" s="7" t="inlineStr">
        <is>
          <t xml:space="preserve">   Vyžádat fakturu za přepravu od Maritime Bohemia s.r.o. / Maurice Ward před podáním JSD. Fakturovaná hodnota 12 400 USD není konečná celní hodnota.</t>
        </is>
      </c>
    </row>
    <row r="45">
      <c r="A45" s="7" t="inlineStr"/>
    </row>
    <row r="46">
      <c r="A46" s="6">
        <f>== PREFERENČNÍ PŮVOD (COO) – preferenční věta ===</f>
        <v/>
      </c>
    </row>
    <row r="47">
      <c r="A47" s="8" t="inlineStr">
        <is>
          <t>❌ NA FAKTUŘE NENÍ ŽÁDNÁ PREFERENČNÍ VĚTA (prohlášení o preferenčním původu). Ověřeno na celé faktuře 26200232C.</t>
        </is>
      </c>
    </row>
    <row r="48">
      <c r="A48" s="7" t="inlineStr">
        <is>
          <t xml:space="preserve">   To je správně: Čína nemá s EU dohodu o volném obchodu a od 1.1.2015 je vyřazena ze systému GSP.</t>
        </is>
      </c>
    </row>
    <row r="49">
      <c r="A49" s="7" t="inlineStr">
        <is>
          <t xml:space="preserve">   → Preferenční sazební zacházení NELZE uplatnit. Použije se sazba erga omnes (třetí země).</t>
        </is>
      </c>
    </row>
    <row r="50">
      <c r="A50" s="7" t="inlineStr"/>
    </row>
    <row r="51">
      <c r="A51" s="6">
        <f>== REX ČÍSLO ===</f>
        <v/>
      </c>
    </row>
    <row r="52">
      <c r="A52" s="8" t="inlineStr">
        <is>
          <t>❌ NA FAKTUŘE NENÍ UVEDENO ŽÁDNÉ REX ČÍSLO. Faktura neobsahuje ani číslo celního povolení vývozce.</t>
        </is>
      </c>
    </row>
    <row r="53">
      <c r="A53" s="7" t="inlineStr">
        <is>
          <t xml:space="preserve">   Vzhledem k čínskému původu je to očekávané (pro CN nelze REX prohlášení o původu vystavit).</t>
        </is>
      </c>
    </row>
    <row r="54">
      <c r="A54" s="7" t="inlineStr">
        <is>
          <t xml:space="preserve">   Pro JSD tedy žádný doklad o preferenčním původu neuplatňujeme.</t>
        </is>
      </c>
    </row>
    <row r="55">
      <c r="A55" s="7" t="inlineStr"/>
    </row>
    <row r="56">
      <c r="A56" s="6">
        <f>== CBAM ===</f>
        <v/>
      </c>
    </row>
    <row r="57">
      <c r="A57" s="7" t="inlineStr">
        <is>
          <t>Zásilka NEPODLÉHÁ CBAM. Kapitola 94 (sedadla, nábytek) není v příloze I nařízení CBAM –</t>
        </is>
      </c>
    </row>
    <row r="58">
      <c r="A58" s="7" t="inlineStr">
        <is>
          <t>CBAM pokrývá cement, elektřinu, hnojiva, železo a ocel, hliník a vodík. Chromované kovové části na tom nic nemění.</t>
        </is>
      </c>
    </row>
    <row r="59">
      <c r="A59" s="7" t="inlineStr">
        <is>
          <t>→ V JSD se neuvádí žádný Y-kód (Y128 / Y238 / Y137).</t>
        </is>
      </c>
    </row>
    <row r="60">
      <c r="A60" s="7" t="inlineStr">
        <is>
          <t>Pro pořádek ověřeno v reference/CBAM_receivers_CZ.xlsx (list List1): příjemce NSN COSMETICS s.r.o. (IČO 04127137)</t>
        </is>
      </c>
    </row>
    <row r="61">
      <c r="A61" s="7" t="inlineStr">
        <is>
          <t>V REGISTRU NENÍ. Vzhledem k tomu, že zásilka CBAM nepodléhá, není to pro toto odbavení překážka.</t>
        </is>
      </c>
    </row>
    <row r="62">
      <c r="A62" s="7" t="inlineStr">
        <is>
          <t>Pokud by NSN Cosmetics dovážela i CBAM zboží, je třeba firmu do registru doplnit.</t>
        </is>
      </c>
    </row>
    <row r="63">
      <c r="A63" s="7" t="inlineStr"/>
    </row>
    <row r="64">
      <c r="A64" s="6">
        <f>== ANTIDUMPING ===</f>
        <v/>
      </c>
    </row>
    <row r="65">
      <c r="A65" s="7" t="inlineStr">
        <is>
          <t>Pro sedadla kapitoly 9401 původem z Číny nebylo zjištěno platné antidumpingové opatření EU.</t>
        </is>
      </c>
    </row>
    <row r="66">
      <c r="A66" s="8" t="inlineStr">
        <is>
          <t>⚠ Nebylo možné ověřit přímo v databázi TARIC (není z tohoto prostředí dostupná).</t>
        </is>
      </c>
    </row>
    <row r="67">
      <c r="A67" s="7" t="inlineStr">
        <is>
          <t>→ Před podáním JSD ověřit oba kódy (9401 39 00 a 9401 71 00) pro původ CN v TARIC / systému deklaranta.</t>
        </is>
      </c>
    </row>
    <row r="68">
      <c r="A68" s="7" t="inlineStr"/>
    </row>
    <row r="69">
      <c r="A69" s="6">
        <f>== OBCHODNÍ SLEVA ===</f>
        <v/>
      </c>
    </row>
    <row r="70">
      <c r="A70" s="7" t="inlineStr">
        <is>
          <t>Na faktuře 26200232C není uvedena žádná obchodní sleva. Součet položek (12 400,00 USD) přesně odpovídá uvedenému součtu.</t>
        </is>
      </c>
    </row>
    <row r="71">
      <c r="A71" s="7" t="inlineStr">
        <is>
          <t>→ Žádné proporcionální rozpuštění slevy se neaplikuje.</t>
        </is>
      </c>
    </row>
    <row r="72">
      <c r="A72" s="7" t="inlineStr"/>
    </row>
    <row r="73">
      <c r="A73" s="6">
        <f>== KONTROLA SOUČTŮ (kontejner MRKU3227650) ===</f>
        <v/>
      </c>
    </row>
    <row r="74">
      <c r="A74" s="7" t="inlineStr">
        <is>
          <t>Kartony: 40 + 120 + 150 + 400 = 710 ✓ (packing list: 710)</t>
        </is>
      </c>
    </row>
    <row r="75">
      <c r="A75" s="7" t="inlineStr">
        <is>
          <t>Kusy: 40 + 240 + 300 + 400 = 980 ✓ (faktura i packing list: 980)</t>
        </is>
      </c>
    </row>
    <row r="76">
      <c r="A76" s="7" t="inlineStr">
        <is>
          <t>Čistá hmotnost: 332 + 1 704 + 2 070 + 2 400 = 6 506,00 kg ✓</t>
        </is>
      </c>
    </row>
    <row r="77">
      <c r="A77" s="7" t="inlineStr">
        <is>
          <t>Hrubá hmotnost: 372 + 1 944 + 2 370 + 2 800 = 7 486,00 kg ✓ (shoduje se s B/L pro MRKU3227650)</t>
        </is>
      </c>
    </row>
    <row r="78">
      <c r="A78" s="7" t="inlineStr">
        <is>
          <t>Hodnota: 406 + 452 + 1 872 + 1 980 + 1 860 + 1 950 + 3 880 = 12 400,00 USD ✓</t>
        </is>
      </c>
    </row>
    <row r="79">
      <c r="A79" s="7" t="inlineStr">
        <is>
          <t>Objem: 68 CBM ✓</t>
        </is>
      </c>
    </row>
    <row r="80">
      <c r="A80" s="7" t="inlineStr"/>
    </row>
    <row r="81">
      <c r="A81" s="6">
        <f>== ZDROJOVÉ DOKLADY ===</f>
        <v/>
      </c>
    </row>
    <row r="82">
      <c r="A82" s="7" t="inlineStr">
        <is>
          <t>1. 2605491_T.PDF – Maersk Bill of Lading ENBBRV2605491</t>
        </is>
      </c>
    </row>
    <row r="83">
      <c r="A83" s="7" t="inlineStr">
        <is>
          <t>2. img20260913_17374585.pdf – Commercial Invoice 26200232C, 21.7.2026 (sken)</t>
        </is>
      </c>
    </row>
    <row r="84">
      <c r="A84" s="7" t="inlineStr">
        <is>
          <t>3. img20260913_17382101.pdf – Packing List 26200131C, 21.7.2026, kontejner MRKU3227650 (sken)</t>
        </is>
      </c>
    </row>
    <row r="85">
      <c r="A85" s="7" t="inlineStr">
        <is>
          <t>4. INSTRUKCE_ghe_stool.ods – Instrukce k celnímu odbavení a doručení zboží (Maurice Ward &amp; Co.)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2026-09-15T07:06:36Z</dcterms:created>
  <dcterms:modified xsi:type="dcterms:W3CDTF">2026-09-15T07:06:36Z</dcterms:modified>
</cp:coreProperties>
</file>