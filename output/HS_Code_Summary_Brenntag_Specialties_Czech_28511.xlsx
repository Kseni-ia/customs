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>
    <definedName name="_xlnm._FilterDatabase" localSheetId="0" hidden="1">'HS Summary'!$A$1:$Q$4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9C0006"/>
      <sz val="10"/>
    </font>
    <font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0" fontId="5" fillId="3" borderId="0" pivotButton="0" quotePrefix="0" xfId="0"/>
    <xf numFmtId="0" fontId="2" fillId="0" borderId="0" applyAlignment="1" pivotButton="0" quotePrefix="0" xfId="0">
      <alignment/>
    </xf>
    <xf numFmtId="0" fontId="5" fillId="5" borderId="0" pivotButton="0" quotePrefix="0" xfId="0"/>
    <xf numFmtId="0" fontId="5" fillId="0" borderId="0" pivotButton="0" quotePrefix="0" xfId="0"/>
    <xf numFmtId="0" fontId="4" fillId="6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52" customWidth="1" min="4" max="4"/>
    <col width="46" customWidth="1" min="5" max="5"/>
    <col width="11" customWidth="1" min="6" max="6"/>
    <col width="12" customWidth="1" min="7" max="7"/>
    <col width="17" customWidth="1" min="8" max="8"/>
    <col width="17" customWidth="1" min="9" max="9"/>
    <col width="22" customWidth="1" min="10" max="10"/>
    <col width="16" customWidth="1" min="11" max="11"/>
    <col width="16" customWidth="1" min="12" max="12"/>
    <col width="18" customWidth="1" min="13" max="13"/>
    <col width="14" customWidth="1" min="14" max="14"/>
    <col width="12" customWidth="1" min="15" max="15"/>
    <col width="14" customWidth="1" min="16" max="16"/>
    <col width="78" customWidth="1" min="17" max="17"/>
  </cols>
  <sheetData>
    <row r="1" ht="46" customHeight="1">
      <c r="A1" s="1" t="inlineStr">
        <is>
          <t>Odesílatel</t>
        </is>
      </c>
      <c r="B1" s="1" t="inlineStr">
        <is>
          <t>HS kód (KN 8)</t>
        </is>
      </c>
      <c r="C1" s="1" t="inlineStr">
        <is>
          <t>TARIC (10)</t>
        </is>
      </c>
      <c r="D1" s="1" t="inlineStr">
        <is>
          <t>Popis zboží (CZ)</t>
        </is>
      </c>
      <c r="E1" s="1" t="inlineStr">
        <is>
          <t>Popis dle dokladu (EN)</t>
        </is>
      </c>
      <c r="F1" s="1" t="inlineStr">
        <is>
          <t>Země původu (COO)</t>
        </is>
      </c>
      <c r="G1" s="1" t="inlineStr">
        <is>
          <t>Množství (ks)</t>
        </is>
      </c>
      <c r="H1" s="1" t="inlineStr">
        <is>
          <t>Čistá hmotnost (kg)</t>
        </is>
      </c>
      <c r="I1" s="1" t="inlineStr">
        <is>
          <t>Hrubá hmotnost (kg)</t>
        </is>
      </c>
      <c r="J1" s="1" t="inlineStr">
        <is>
          <t>Čistá hmotnost – ORIENTAČNÍ VÝPOČET (kg)</t>
        </is>
      </c>
      <c r="K1" s="1" t="inlineStr">
        <is>
          <t>Hodnota dle faktury (CHF)</t>
        </is>
      </c>
      <c r="L1" s="1" t="inlineStr">
        <is>
          <t>Podíl obalu – VPV 5(b) (CHF)</t>
        </is>
      </c>
      <c r="M1" s="1" t="inlineStr">
        <is>
          <t>Celní hodnota EXW vč. obalu (CHF)</t>
        </is>
      </c>
      <c r="N1" s="1" t="inlineStr">
        <is>
          <t>Incoterm</t>
        </is>
      </c>
      <c r="O1" s="1" t="inlineStr">
        <is>
          <t>Pozice faktury</t>
        </is>
      </c>
      <c r="P1" s="1" t="inlineStr">
        <is>
          <t>Příznak</t>
        </is>
      </c>
      <c r="Q1" s="1" t="inlineStr">
        <is>
          <t>Poznámka / clo / CBAM / Antidumping</t>
        </is>
      </c>
    </row>
    <row r="2" ht="92" customHeight="1">
      <c r="A2" s="2" t="inlineStr">
        <is>
          <t>Lugaia AG, Industriezone Basper 31, CH-3942 Raron (CH)</t>
        </is>
      </c>
      <c r="B2" s="2" t="inlineStr">
        <is>
          <t>3920 10 25</t>
        </is>
      </c>
      <c r="C2" s="2" t="inlineStr">
        <is>
          <t>3920 10 25 90</t>
        </is>
      </c>
      <c r="D2" s="2" t="inlineStr">
        <is>
          <t>Fólie z polymerů ethylenu (LDPE), nelehčená, nevyztužená, tloušťka 80 µm, nepotištěná, měrná hmotnost &lt; 0,94, tloušťka ≤ 0,125 mm – vložky (linerunity) CLS-500 a CLS-600, antistatické</t>
        </is>
      </c>
      <c r="E2" s="2" t="inlineStr">
        <is>
          <t>Linerunit CLS-500 / CLS-600 – film material LDPE antistatic (migrating), film thickness 80 µm, print: none (doklad uvádí 3920.1000)</t>
        </is>
      </c>
      <c r="F2" s="2" t="inlineStr">
        <is>
          <t>CH</t>
        </is>
      </c>
      <c r="G2" s="2" t="n">
        <v>20</v>
      </c>
      <c r="H2" s="3" t="inlineStr">
        <is>
          <t>CHYBÍ v dokladech</t>
        </is>
      </c>
      <c r="I2" s="3" t="inlineStr">
        <is>
          <t>CHYBÍ v dokladech</t>
        </is>
      </c>
      <c r="J2" s="2" t="n">
        <v>73.59999999999999</v>
      </c>
      <c r="K2" s="4" t="n">
        <v>6330</v>
      </c>
      <c r="L2" s="4" t="n">
        <v>72.59</v>
      </c>
      <c r="M2" s="4" t="n">
        <v>6402.59</v>
      </c>
      <c r="N2" s="2" t="inlineStr">
        <is>
          <t>EXW Raron</t>
        </is>
      </c>
      <c r="O2" s="2" t="inlineStr">
        <is>
          <t>1, 2</t>
        </is>
      </c>
      <c r="P2" s="2" t="inlineStr"/>
      <c r="Q2" s="2" t="inlineStr">
        <is>
          <t>Clo 3. zemí orientačně 6,5 % (ověřit v TARIC CZ). Preferenčně CH = 0 %, ALE viz kritické upozornění k preferenční větě. Odvození KN 8: LDPE (měrná hmotnost &lt; 0,94), tloušťka 80 µm ≤ 0,125 mm, nepotištěná, nejde o stretch fólii → 3920 10 25; TARIC 90 = ostatní (05 = pro letadla). Bez CBAM, bez antidumpingu.</t>
        </is>
      </c>
    </row>
    <row r="3" ht="92" customHeight="1">
      <c r="A3" s="2" t="inlineStr">
        <is>
          <t>Lugaia AG, Industriezone Basper 31, CH-3942 Raron (CH)</t>
        </is>
      </c>
      <c r="B3" s="2" t="inlineStr">
        <is>
          <t>3923 50 90</t>
        </is>
      </c>
      <c r="C3" s="2" t="inlineStr">
        <is>
          <t>3923 50 90 00</t>
        </is>
      </c>
      <c r="D3" s="2" t="inlineStr">
        <is>
          <t>Uzávěry z plastů (jiné než uzávěry a zátky na láhve) – dvoudílné plomby SafeSeal vel. M, ochranné krytky SafeSeal vel. M, závěsná oka SafeSeal (vzorek)</t>
        </is>
      </c>
      <c r="E3" s="2" t="inlineStr">
        <is>
          <t>Lugaia SafeSeal Crimp (Size M) / SafeSeal Protection Cap (Size M) / SafeSeal Suspension Lug (sample, free of charge) (doklad uvádí 3923.5090)</t>
        </is>
      </c>
      <c r="F3" s="2" t="inlineStr">
        <is>
          <t>CH</t>
        </is>
      </c>
      <c r="G3" s="2" t="n">
        <v>502</v>
      </c>
      <c r="H3" s="3" t="inlineStr">
        <is>
          <t>CHYBÍ v dokladech</t>
        </is>
      </c>
      <c r="I3" s="3" t="inlineStr">
        <is>
          <t>CHYBÍ v dokladech</t>
        </is>
      </c>
      <c r="J3" s="2" t="inlineStr">
        <is>
          <t>nelze odvodit z dokladů</t>
        </is>
      </c>
      <c r="K3" s="4" t="n">
        <v>992</v>
      </c>
      <c r="L3" s="4" t="n">
        <v>11.38</v>
      </c>
      <c r="M3" s="4" t="n">
        <v>1003.38</v>
      </c>
      <c r="N3" s="2" t="inlineStr">
        <is>
          <t>EXW Raron</t>
        </is>
      </c>
      <c r="O3" s="2" t="inlineStr">
        <is>
          <t>3, 4, 6</t>
        </is>
      </c>
      <c r="P3" s="2" t="inlineStr"/>
      <c r="Q3" s="2" t="inlineStr">
        <is>
          <t>Clo 3. zemí orientačně 6,5 % (ověřit v TARIC CZ). Preferenčně CH = 0 %. Pos. 6 (2 ks, 2,00 CHF) je bezplatný vzorek – „Value for customs purposes only“ – v celní hodnotě ponechán. Bez CBAM, bez antidumpingu.</t>
        </is>
      </c>
    </row>
    <row r="4" ht="92" customHeight="1">
      <c r="A4" s="2" t="inlineStr">
        <is>
          <t>Lugaia AG, Industriezone Basper 31, CH-3942 Raron (CH)</t>
        </is>
      </c>
      <c r="B4" s="2" t="inlineStr">
        <is>
          <t>8203 20 00</t>
        </is>
      </c>
      <c r="C4" s="2" t="inlineStr">
        <is>
          <t>8203 20 00 00</t>
        </is>
      </c>
      <c r="D4" s="2" t="inlineStr">
        <is>
          <t>Kleště (včetně štípacích kleští), kleštičky, pinzety a podobné ruční nástroje – otvírák plomb SafeSeal vel. M</t>
        </is>
      </c>
      <c r="E4" s="2" t="inlineStr">
        <is>
          <t>Lugaia SafeSeal Opener (Size M) (doklad uvádí 8203.2000)</t>
        </is>
      </c>
      <c r="F4" s="2" t="inlineStr">
        <is>
          <t>CH</t>
        </is>
      </c>
      <c r="G4" s="2" t="n">
        <v>1</v>
      </c>
      <c r="H4" s="3" t="inlineStr">
        <is>
          <t>CHYBÍ v dokladech</t>
        </is>
      </c>
      <c r="I4" s="3" t="inlineStr">
        <is>
          <t>CHYBÍ v dokladech</t>
        </is>
      </c>
      <c r="J4" s="2" t="inlineStr">
        <is>
          <t>nelze odvodit z dokladů</t>
        </is>
      </c>
      <c r="K4" s="4" t="n">
        <v>90</v>
      </c>
      <c r="L4" s="4" t="n">
        <v>1.03</v>
      </c>
      <c r="M4" s="4" t="n">
        <v>91.03</v>
      </c>
      <c r="N4" s="2" t="inlineStr">
        <is>
          <t>EXW Raron</t>
        </is>
      </c>
      <c r="O4" s="2" t="inlineStr">
        <is>
          <t>5</t>
        </is>
      </c>
      <c r="P4" s="2" t="inlineStr"/>
      <c r="Q4" s="2" t="inlineStr">
        <is>
          <t>Clo 3. zemí orientačně 3,7 % (ověřit v TARIC CZ). Preferenčně CH = 0 %. Pozn. ke kap. 82 – nástroj musí mít pracovní část ze základního kovu; materiál otvíráku není v dokladech uveden. Bez CBAM, bez antidumpingu.</t>
        </is>
      </c>
    </row>
    <row r="5" ht="60" customHeight="1">
      <c r="A5" s="5" t="inlineStr">
        <is>
          <t>CELKEM</t>
        </is>
      </c>
      <c r="B5" s="5" t="n"/>
      <c r="C5" s="5" t="n"/>
      <c r="D5" s="5" t="n"/>
      <c r="E5" s="5" t="n"/>
      <c r="F5" s="5" t="n"/>
      <c r="G5" s="5" t="n">
        <v>523</v>
      </c>
      <c r="H5" s="5" t="inlineStr">
        <is>
          <t>CHYBÍ v dokladech</t>
        </is>
      </c>
      <c r="I5" s="5" t="n">
        <v>99</v>
      </c>
      <c r="J5" s="5" t="n">
        <v>73.59999999999999</v>
      </c>
      <c r="K5" s="6" t="n">
        <v>7412</v>
      </c>
      <c r="L5" s="6" t="n">
        <v>85</v>
      </c>
      <c r="M5" s="6" t="n">
        <v>7497</v>
      </c>
      <c r="N5" s="5" t="n"/>
      <c r="O5" s="5" t="n"/>
      <c r="P5" s="5" t="n"/>
      <c r="Q5" s="5" t="inlineStr">
        <is>
          <t>Hrubá hmotnost 99,00 kg = ÚDAJ ZA CELOU ZÁSILKU (1 × 1/2 paleta 80×60×99 cm vč. palety), rozpis na HS kódy v dokladech NENÍ. Orientační výpočet 73,60 kg = pouze fólie pos. 1+2, dopočteno ze specifikace (2 × šíře × délka × 80 µm × 0,92 g/cm³) – NEPOUŽÍVAT pro JSD bez potvrzení dodavatelem.</t>
        </is>
      </c>
    </row>
    <row r="7">
      <c r="A7" s="7" t="inlineStr">
        <is>
          <t>🔴 KRITICKÉ – PREFERENČNÍ PŮVOD (preferenční věta)</t>
        </is>
      </c>
    </row>
    <row r="8">
      <c r="A8" s="8" t="inlineStr">
        <is>
          <t>Preferenční věta JE na faktuře i na dodacím listu (pos. 11): „The exporter of the products covered by this document declares that,</t>
        </is>
      </c>
    </row>
    <row r="9">
      <c r="A9" s="8" t="inlineStr">
        <is>
          <t>except where otherwise clearly indicated, these products are of swiss-preferential origine.“</t>
        </is>
      </c>
    </row>
    <row r="10">
      <c r="A10" s="8" t="inlineStr">
        <is>
          <t>ALE: NEOBSAHUJE ČÍSLO CELNÍHO POVOLENÍ (schválený vývozce). Hodnota zásilky 7 497,00 CHF (cca 8 000 EUR) PŘEKRAČUJE limit 6 000 EUR,</t>
        </is>
      </c>
    </row>
    <row r="11">
      <c r="A11" s="8" t="inlineStr">
        <is>
          <t>do kterého smí prohlášení o původu na faktuře učinit kterýkoli vývozce. Nad 6 000 EUR je prohlášení platné POUZE od schváleného vývozce</t>
        </is>
      </c>
    </row>
    <row r="12">
      <c r="A12" s="8" t="inlineStr">
        <is>
          <t>s uvedeným číslem povolení. → V této podobě je preferenční nárok NAPADNUTELNÝ.</t>
        </is>
      </c>
    </row>
    <row r="13">
      <c r="A13" s="8" t="inlineStr">
        <is>
          <t>ŘEŠENÍ (před podáním JSD): (a) vyžádat od Lugaia AG doplnění čísla povolení schváleného vývozce do věty, NEBO (b) vyžádat průvodní</t>
        </is>
      </c>
    </row>
    <row r="14">
      <c r="A14" s="8" t="inlineStr">
        <is>
          <t>osvědčení EUR.1, NEBO (c) proclít bez preference se clem 3. zemí (cca 6,5 % / 3,7 %, tj. cca 480 CHF navíc).</t>
        </is>
      </c>
    </row>
    <row r="15">
      <c r="A15" s="8" t="inlineStr">
        <is>
          <t>Znění věty je navíc nestandardní („swiss-preferential origine“) a chybí místo a datum – doporučuji nechat přepsat na standardní text.</t>
        </is>
      </c>
    </row>
    <row r="17">
      <c r="A17" s="7" t="inlineStr">
        <is>
          <t>🔴 KRITICKÉ – REX ČÍSLO</t>
        </is>
      </c>
    </row>
    <row r="18">
      <c r="A18" s="8" t="inlineStr">
        <is>
          <t>NA FAKTUŘE NENÍ ŽÁDNÉ REX ČÍSLO – ani REX, ani jiné číslo celního povolení. Explicitně: REX číslo CHYBÍ.</t>
        </is>
      </c>
    </row>
    <row r="19">
      <c r="A19" s="8" t="inlineStr">
        <is>
          <t>Pozn.: pro Švýcarsko se REX nepoužívá; relevantní je číslo povolení SCHVÁLENÉHO VÝVOZCE – to na dokladech rovněž CHYBÍ (viz výše).</t>
        </is>
      </c>
    </row>
    <row r="21">
      <c r="A21" s="9" t="inlineStr">
        <is>
          <t>⚠️ CCT/VPV KN – ZBOŽÍ BEZ HS KÓDU (odvozeno mnou)</t>
        </is>
      </c>
    </row>
    <row r="22">
      <c r="A22" s="8" t="inlineStr">
        <is>
          <t>Pos. 7 „packaging“ (1 × 1/2 paleta 80×60×99 cm, 99 kg, 85,00 CHF) NEMÁ v dokladech přiděleno tarifní číslo.</t>
        </is>
      </c>
    </row>
    <row r="23">
      <c r="A23" s="8" t="inlineStr">
        <is>
          <t>Zařazeno pravidlem CCT/VPV KN – viz list „Dokumenty a poznámky“.</t>
        </is>
      </c>
    </row>
    <row r="24">
      <c r="A24" s="8" t="inlineStr">
        <is>
          <t>VÝSLEDEK: samostatná položka se NEUVÁDÍ – obal se dle VPV 5(b) zařazuje spolu se zbožím; 85,00 CHF vstupuje do celní hodnoty</t>
        </is>
      </c>
    </row>
    <row r="25">
      <c r="A25" s="8" t="inlineStr">
        <is>
          <t>zboží (čl. 71 odst. 1 písm. a) UCC) a je rozpuštěno proporcionálně podle hodnoty (sloupec L).</t>
        </is>
      </c>
    </row>
    <row r="26">
      <c r="A26" s="8" t="inlineStr">
        <is>
          <t>Záložní varianta, pokud by celní úřad požadoval samostatnou položku (paleta jako zboží): 4415 20 00 (palety ze dřeva), clo 0 %.</t>
        </is>
      </c>
    </row>
    <row r="28">
      <c r="A28" s="10" t="inlineStr">
        <is>
          <t>Legenda</t>
        </is>
      </c>
    </row>
    <row r="29">
      <c r="A29" s="8" t="inlineStr">
        <is>
          <t>🔴 ČERVENÁ – kritické zjištění, nutno vyřešit PŘED podáním JSD</t>
        </is>
      </c>
    </row>
    <row r="30">
      <c r="A30" s="8" t="inlineStr">
        <is>
          <t>🟠 ORANŽOVÁ – HS kód odvozen pravidlem CCT/VPV KN (nebyl v dokladech)</t>
        </is>
      </c>
    </row>
    <row r="31">
      <c r="A31" s="8" t="inlineStr">
        <is>
          <t>CHYBÍ v dokladech – údaj není v žádném z předaných dokumentů; sloupec ponechán záměrně</t>
        </is>
      </c>
    </row>
    <row r="32">
      <c r="A32" s="8" t="inlineStr">
        <is>
          <t>CBAM – v zásilce NENÍ žádný CBAM zboží (3920, 3923, 8203 nejsou v příloze I CBAM). Příjemce navíc NENÍ v registru – viz poznámky.</t>
        </is>
      </c>
    </row>
    <row r="33">
      <c r="A33" s="8" t="inlineStr">
        <is>
          <t>ANTIDUMPING – k žádnému z kódů při původu CH nebyla zjištěna antidumpingová opatření.</t>
        </is>
      </c>
    </row>
  </sheetData>
  <autoFilter ref="A1: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11">
        <f>== ZÁSILKA ===</f>
        <v/>
      </c>
    </row>
    <row r="2">
      <c r="A2" s="12" t="inlineStr">
        <is>
          <t>Odesílatel (vývozce): Lugaia AG, Industriezone Basper 31, CH-3942 Raron, Švýcarsko. VAT CHE-113.224.199 MWST.</t>
        </is>
      </c>
    </row>
    <row r="3">
      <c r="A3" s="12" t="inlineStr">
        <is>
          <t>Příjemce (dovozce CZ): Brenntag Specialties Czech a.s., Stachovice 176, CZ-74245 Fulnek.</t>
        </is>
      </c>
    </row>
    <row r="4">
      <c r="A4" s="12" t="inlineStr">
        <is>
          <t>Faktura / dodací list č. 28511 (DL: L.28511), datum 10.09.2026. Zákazník č. 2816. ZAZ 5339-2. Objednávka OBJ-2026-00182. Reference: Eva Olecká.</t>
        </is>
      </c>
    </row>
    <row r="5">
      <c r="A5" s="12" t="inlineStr">
        <is>
          <t>Měna faktury: CHF. Celkem 7 497,00 CHF. Platba 30 dní netto.</t>
        </is>
      </c>
    </row>
    <row r="6">
      <c r="A6" s="12" t="inlineStr">
        <is>
          <t>Zásilka má JEDINÉHO ODESÍLATELE → klasifikace „nejprve dle odesílatele, pak dle HS kódu“ dává 1 blok; HS kódy sloučeny na unikátní v rámci tohoto odesílatele (7 fakturačních pozic → 3 HS kódy).</t>
        </is>
      </c>
    </row>
    <row r="7">
      <c r="A7" s="12" t="inlineStr"/>
    </row>
    <row r="8">
      <c r="A8" s="11">
        <f>== PŘIJATÉ DOKUMENTY (stav 16.09.2026) ===</f>
        <v/>
      </c>
    </row>
    <row r="9">
      <c r="A9" s="12" t="inlineStr">
        <is>
          <t>✓ COMMERCIAL INVOICE 28511 – POZOR, je označena jako DRAFT (vodoznak). Před podáním JSD vyžádat finální (nedraftovou) fakturu.</t>
        </is>
      </c>
    </row>
    <row r="10">
      <c r="A10" s="12" t="inlineStr">
        <is>
          <t>✓ DELIVERY NOTE L.28511</t>
        </is>
      </c>
    </row>
    <row r="11">
      <c r="A11" s="12" t="inlineStr">
        <is>
          <t>✗ CHYBÍ packing list / rozpis hmotností po položkách</t>
        </is>
      </c>
    </row>
    <row r="12">
      <c r="A12" s="12" t="inlineStr">
        <is>
          <t>✗ CHYBÍ doklad o přepravních nákladech Raron (CH) → hranice EU (nutné pro celní hodnotu, viz níže)</t>
        </is>
      </c>
    </row>
    <row r="13">
      <c r="A13" s="12" t="inlineStr">
        <is>
          <t>✗ CHYBÍ plná moc k zastupování (pokud dosud nebyla pro Brenntag Specialties Czech a.s. založena)</t>
        </is>
      </c>
    </row>
    <row r="14">
      <c r="A14" s="12" t="inlineStr"/>
    </row>
    <row r="15">
      <c r="A15" s="13">
        <f>== 🔴 KRITICKÉ: PREFERENČNÍ VĚTA / COO ===</f>
        <v/>
      </c>
    </row>
    <row r="16">
      <c r="A16" s="12" t="inlineStr">
        <is>
          <t>Preferenční věta JE PŘÍTOMNA, shodně na faktuře i dodacím listu, pozice 11 „export declaration“:</t>
        </is>
      </c>
    </row>
    <row r="17">
      <c r="A17" s="12" t="inlineStr">
        <is>
          <t xml:space="preserve">  „The exporter of the products covered by this document declares that, except where otherwise clearly indicated,</t>
        </is>
      </c>
    </row>
    <row r="18">
      <c r="A18" s="12" t="inlineStr">
        <is>
          <t xml:space="preserve">   these products are of swiss-preferential origine.“</t>
        </is>
      </c>
    </row>
    <row r="19">
      <c r="A19" s="12" t="inlineStr">
        <is>
          <t>Deklarovaný původ: ŠVÝCARSKO (CH). Při platném prohlášení = preferenční sazba 0 % (Dohoda EU–Švýcarsko / úmluva PEM).</t>
        </is>
      </c>
    </row>
    <row r="20">
      <c r="A20" s="12" t="inlineStr"/>
    </row>
    <row r="21">
      <c r="A21" s="12" t="inlineStr">
        <is>
          <t>PROBLÉM č. 1 – CHYBÍ ČÍSLO CELNÍHO POVOLENÍ:</t>
        </is>
      </c>
    </row>
    <row r="22">
      <c r="A22" s="12" t="inlineStr">
        <is>
          <t xml:space="preserve">  Prohlášení o původu na faktuře může bez čísla povolení učinit kterýkoli vývozce POUZE do hodnoty 6 000 EUR na zásilku.</t>
        </is>
      </c>
    </row>
    <row r="23">
      <c r="A23" s="12" t="inlineStr">
        <is>
          <t xml:space="preserve">  Hodnota této zásilky je 7 497,00 CHF ≈ 8 000 EUR, tedy NAD limitem. Nad 6 000 EUR musí prohlášení učinit SCHVÁLENÝ VÝVOZCE</t>
        </is>
      </c>
    </row>
    <row r="24">
      <c r="A24" s="12" t="inlineStr">
        <is>
          <t xml:space="preserve">  a MUSÍ v něm uvést číslo svého celního povolení (srov. korejský vzor: „customs authorization No. 020-12-200186“).</t>
        </is>
      </c>
    </row>
    <row r="25">
      <c r="A25" s="12" t="inlineStr">
        <is>
          <t xml:space="preserve">  → Prohlášení v této podobě celní úřad může odmítnout a doměřit clo 3. zemí.</t>
        </is>
      </c>
    </row>
    <row r="26">
      <c r="A26" s="12" t="inlineStr"/>
    </row>
    <row r="27">
      <c r="A27" s="12" t="inlineStr">
        <is>
          <t>PROBLÉM č. 2 – NESTANDARDNÍ ZNĚNÍ:</t>
        </is>
      </c>
    </row>
    <row r="28">
      <c r="A28" s="12" t="inlineStr">
        <is>
          <t xml:space="preserve">  Předepsaný text zní „...these products are of Switzerland preferential origin.“ Doklad uvádí „of swiss-preferential origine“</t>
        </is>
      </c>
    </row>
    <row r="29">
      <c r="A29" s="12" t="inlineStr">
        <is>
          <t xml:space="preserve">  (nesprávný tvar + překlep). Chybí rovněž místo a datum vystavení.</t>
        </is>
      </c>
    </row>
    <row r="30">
      <c r="A30" s="12" t="inlineStr"/>
    </row>
    <row r="31">
      <c r="A31" s="12" t="inlineStr">
        <is>
          <t>CO OD DODAVATELE VYŽÁDAT (jedna z variant):</t>
        </is>
      </c>
    </row>
    <row r="32">
      <c r="A32" s="12" t="inlineStr">
        <is>
          <t xml:space="preserve">  (a) opravenou fakturu s prohlášením ve standardním znění a s číslem povolení schváleného vývozce, NEBO</t>
        </is>
      </c>
    </row>
    <row r="33">
      <c r="A33" s="12" t="inlineStr">
        <is>
          <t xml:space="preserve">  (b) průvodní osvědčení EUR.1 ověřené švýcarským celním úřadem, NEBO</t>
        </is>
      </c>
    </row>
    <row r="34">
      <c r="A34" s="12" t="inlineStr">
        <is>
          <t xml:space="preserve">  (c) potvrdit, že preference nebude uplatněna → proclení se clem 3. zemí.</t>
        </is>
      </c>
    </row>
    <row r="35">
      <c r="A35" s="12" t="inlineStr">
        <is>
          <t>FINANČNÍ DOPAD (orientačně): clo 3. zemí cca 6,5 % (3920, 3923) a 3,7 % (8203) z celní hodnoty ≈ 480 CHF navíc oproti preferenci 0 %.</t>
        </is>
      </c>
    </row>
    <row r="36">
      <c r="A36" s="12" t="inlineStr"/>
    </row>
    <row r="37">
      <c r="A37" s="13">
        <f>== 🔴 KRITICKÉ: REX ČÍSLO ===</f>
        <v/>
      </c>
    </row>
    <row r="38">
      <c r="A38" s="12" t="inlineStr">
        <is>
          <t>NA FAKTUŘE NENÍ UVEDENO ŽÁDNÉ REX ČÍSLO. Explicitně konstatuji: REX číslo CHYBÍ.</t>
        </is>
      </c>
    </row>
    <row r="39">
      <c r="A39" s="12" t="inlineStr">
        <is>
          <t>Na faktuře ani na dodacím listu není uvedeno ani žádné jiné číslo celního povolení vývozce.</t>
        </is>
      </c>
    </row>
    <row r="40">
      <c r="A40" s="12" t="inlineStr">
        <is>
          <t>Metodická poznámka: systém REX (registrovaný vývozce) se na Švýcarsko NEVZTAHUJE – pro EU–CH se používá institut SCHVÁLENÉHO VÝVOZCE</t>
        </is>
      </c>
    </row>
    <row r="41">
      <c r="A41" s="12" t="inlineStr">
        <is>
          <t>s číslem celního povolení. To na dokladech rovněž chybí, takže preferenční nárok nad 6 000 EUR není podložen (viz výše).</t>
        </is>
      </c>
    </row>
    <row r="42">
      <c r="A42" s="12" t="inlineStr"/>
    </row>
    <row r="43">
      <c r="A43" s="14">
        <f>== ⚠️ CCT/VPV KN – POLOŽKA BEZ HS KÓDU ===</f>
        <v/>
      </c>
    </row>
    <row r="44">
      <c r="A44" s="12" t="inlineStr">
        <is>
          <t>Doklady přiřazují tarifní čísla pouze pozicím 1+2 (3920.1000), 3+4+6 (3923.5090) a 5 (8203.2000).</t>
        </is>
      </c>
    </row>
    <row r="45">
      <c r="A45" s="12" t="inlineStr">
        <is>
          <t>POZICE 7 „packaging“ (1 × 1/2 paleta 80×60×99 cm – 99 kg, 85,00 CHF) NEMÁ PŘIDĚLENO TARIFNÍ ČÍSLO.</t>
        </is>
      </c>
    </row>
    <row r="46">
      <c r="A46" s="12" t="inlineStr">
        <is>
          <t>Zařazeno postupem CCT/VPV KN (reference/Common_Customs_Tariff_EU_CZ.pptx):</t>
        </is>
      </c>
    </row>
    <row r="47">
      <c r="A47" s="12" t="inlineStr">
        <is>
          <t xml:space="preserve">  1) CO TO JE?        Přepravní obal zásilky (půlpaleta + balení), nikoli samostatně prodávané zboží; na faktuře jako nákladová položka.</t>
        </is>
      </c>
    </row>
    <row r="48">
      <c r="A48" s="12" t="inlineStr">
        <is>
          <t xml:space="preserve">  2) Z ČEHO TO JE?    Materiál V DOKLADECH NENÍ UVEDEN (u rozměru 80×60 cm typicky dřevo, příp. plast + stretch fólie/karton).</t>
        </is>
      </c>
    </row>
    <row r="49">
      <c r="A49" s="12" t="inlineStr">
        <is>
          <t xml:space="preserve">  3) K ČEMU SLOUŽÍ?   K zabalení a přepravě zboží pozic 1–6; není určeno k samostatnému užití příjemcem.</t>
        </is>
      </c>
    </row>
    <row r="50">
      <c r="A50" s="12" t="inlineStr">
        <is>
          <t>Aplikovaná pravidla: VPV 1 + VPV 5(b) – „obalové materiály a obalové schránky předkládané se zbožím v nich se zařazují spolu se zbožím,</t>
        </is>
      </c>
    </row>
    <row r="51">
      <c r="A51" s="12" t="inlineStr">
        <is>
          <t>pokud jsou takového druhu, který se pro balení tohoto zboží obvykle používá“. Dále čl. 71 odst. 1 písm. a) body ii) a iii) UCC – náklady</t>
        </is>
      </c>
    </row>
    <row r="52">
      <c r="A52" s="12" t="inlineStr">
        <is>
          <t>na obaly a balení se PŘIČÍTAJÍ k celní hodnotě zboží.</t>
        </is>
      </c>
    </row>
    <row r="53">
      <c r="A53" s="12" t="inlineStr">
        <is>
          <t>→ VÝSLEDEK: pro pos. 7 se NEVYTVÁŘÍ samostatná položka JSD. Částka 85,00 CHF je rozpuštěna do celní hodnoty pozic 1–6 proporcionálně</t>
        </is>
      </c>
    </row>
    <row r="54">
      <c r="A54" s="12" t="inlineStr">
        <is>
          <t xml:space="preserve">   podle hodnoty (faktor 85,00 / 7 412,00 = 0,0114679): 3920 10 25 → 72,59 CHF; 3923 50 90 → 11,38 CHF; 8203 20 00 → 1,03 CHF.</t>
        </is>
      </c>
    </row>
    <row r="55">
      <c r="A55" s="12" t="inlineStr">
        <is>
          <t>→ NEJISTOTA / ZÁLOŽNÍ VARIANTA: druhá věta VPV 5(b) říká, že pravidlo není závazné u obalů zjevně vhodných k opakovanému použití – paleta</t>
        </is>
      </c>
    </row>
    <row r="56">
      <c r="A56" s="12" t="inlineStr">
        <is>
          <t xml:space="preserve">   takovým obalem je. Pokud by celní úřad (nebo dodavatel prodejem palety) vyžadoval samostatnou položku, připadá v úvahu 4415 20 00</t>
        </is>
      </c>
    </row>
    <row r="57">
      <c r="A57" s="12" t="inlineStr">
        <is>
          <t xml:space="preserve">   „Palety, ohradové palety a jiné nakládací plošiny, ze dřeva“, clo 0 %. Vyžaduje potvrzení materiálu palety.</t>
        </is>
      </c>
    </row>
    <row r="58">
      <c r="A58" s="12" t="inlineStr">
        <is>
          <t>→ Toto je JEDINÁ položka, jejíž zařazení jsem odvozoval sám. Vzhledem k nejednoznačnosti doporučuji konzultaci: customs.tariff@mauriceward.com.</t>
        </is>
      </c>
    </row>
    <row r="59">
      <c r="A59" s="12" t="inlineStr"/>
    </row>
    <row r="60">
      <c r="A60" s="11">
        <f>== ODVOZENÍ KN 8 / TARIC 10 U KÓDŮ Z DOKLADŮ ===</f>
        <v/>
      </c>
    </row>
    <row r="61">
      <c r="A61" s="12" t="inlineStr">
        <is>
          <t>Dodavatel uvedl pouze 6místné HS (3920.1000, 3923.5090, 8203.2000). Pro JSD je nutný 8místný KN / 10místný TARIC – doplněno:</t>
        </is>
      </c>
    </row>
    <row r="62">
      <c r="A62" s="12" t="inlineStr">
        <is>
          <t>• 3920.1000 → KN 3920 10 25, TARIC 3920 10 25 90. Cesta: tloušťka 80 µm ≤ 0,125 mm → LDPE, měrná hmotnost &lt; 0,94 → není fólie pro</t>
        </is>
      </c>
    </row>
    <row r="63">
      <c r="A63" s="12" t="inlineStr">
        <is>
          <t xml:space="preserve">  fotorezist (3920 10 23) → není stretch fólie (3920 10 24) → nepotištěná („Print: none“), tedy ne 3920 10 28 → 3920 10 25 „ostatní“.</t>
        </is>
      </c>
    </row>
    <row r="64">
      <c r="A64" s="12" t="inlineStr">
        <is>
          <t xml:space="preserve">  TARIC: 05 = pro použití v letadlech, 90 = ostatní → 3920 10 25 90.</t>
        </is>
      </c>
    </row>
    <row r="65">
      <c r="A65" s="12" t="inlineStr">
        <is>
          <t xml:space="preserve">  POZN. K OVĚŘENÍ: linerunit je hadicová (layflat) fólie na roli. Dokud není zpracována na hotové vaky, patří do 3920 jako fólie.</t>
        </is>
      </c>
    </row>
    <row r="66">
      <c r="A66" s="12" t="inlineStr">
        <is>
          <t xml:space="preserve">  Pokud by byla dodávána jako předem zhotovené vaky/rukávy, přicházelo by v úvahu 3923 21 00. Dle specifikace (role 40/50 m) = 3920.</t>
        </is>
      </c>
    </row>
    <row r="67">
      <c r="A67" s="12" t="inlineStr">
        <is>
          <t>• 3923.5090 → KN 3923 50 90, TARIC 3923 50 90 00 („uzávěry z plastů, jiné než uzávěry a zátky na láhve“).</t>
        </is>
      </c>
    </row>
    <row r="68">
      <c r="A68" s="12" t="inlineStr">
        <is>
          <t xml:space="preserve">  POZN.: pos. 6 „Suspension Lug“ (závěsné oko) je spíše závěsný prvek než uzávěr; jako součást systému SafeSeal a při hodnotě 2,00 CHF</t>
        </is>
      </c>
    </row>
    <row r="69">
      <c r="A69" s="12" t="inlineStr">
        <is>
          <t xml:space="preserve">  ponecháno dle deklarace dodavatele. Alternativa 3926 90 97 by byla obhajitelná – dopad nulový.</t>
        </is>
      </c>
    </row>
    <row r="70">
      <c r="A70" s="12" t="inlineStr">
        <is>
          <t>• 8203.2000 → KN 8203 20 00, TARIC 8203 20 00 00 („kleště včetně štípacích, kleštičky, pinzety a podobné ruční nástroje“).</t>
        </is>
      </c>
    </row>
    <row r="71">
      <c r="A71" s="12" t="inlineStr">
        <is>
          <t>Sazby cla uvedené v listu HS Summary jsou ORIENTAČNÍ – před podáním JSD ověřit v TARIC CZ k datu přijetí celního prohlášení.</t>
        </is>
      </c>
    </row>
    <row r="72">
      <c r="A72" s="12" t="inlineStr"/>
    </row>
    <row r="73">
      <c r="A73" s="11">
        <f>== JAZYK POPISU ===</f>
        <v/>
      </c>
    </row>
    <row r="74">
      <c r="A74" s="12" t="inlineStr">
        <is>
          <t>V ŽÁDNÉM z předaných dokladů NENÍ český popis zboží – doklady jsou pouze anglicky. Dle pravidla „čeština má přednost“ jsem tedy použil</t>
        </is>
      </c>
    </row>
    <row r="75">
      <c r="A75" s="12" t="inlineStr">
        <is>
          <t>fallback: sloupec „Popis zboží (CZ)“ je MŮJ PŘEKLAD / celně-tarifní popis, originální anglické znění je zachováno ve sloupci</t>
        </is>
      </c>
    </row>
    <row r="76">
      <c r="A76" s="12" t="inlineStr">
        <is>
          <t>„Popis dle dokladu (EN)“ pro kontrolu.</t>
        </is>
      </c>
    </row>
    <row r="77">
      <c r="A77" s="12" t="inlineStr"/>
    </row>
    <row r="78">
      <c r="A78" s="13">
        <f>== 🔴 HMOTNOSTI – CHYBĚJÍCÍ ÚDAJE ===</f>
        <v/>
      </c>
    </row>
    <row r="79">
      <c r="A79" s="12" t="inlineStr">
        <is>
          <t>V dokladech je JEDINÝ hmotnostní údaj: „1 x 1/2 pallet 80x60x99cm - 99Kg“ = HRUBÁ hmotnost celé zásilky včetně palety.</t>
        </is>
      </c>
    </row>
    <row r="80">
      <c r="A80" s="12" t="inlineStr">
        <is>
          <t>• ČISTÁ hmotnost: NENÍ UVEDENA NIKDE – ani celková, ani po položkách.</t>
        </is>
      </c>
    </row>
    <row r="81">
      <c r="A81" s="12" t="inlineStr">
        <is>
          <t>• HRUBÁ hmotnost PO HS KÓDECH: NENÍ UVEDENA – rozpis chybí.</t>
        </is>
      </c>
    </row>
    <row r="82">
      <c r="A82" s="12" t="inlineStr">
        <is>
          <t>Sloupce „Čistá hmotnost“ a „Hrubá hmotnost“ jsou proto ZÁMĚRNĚ PONECHÁNY a označeny „CHYBÍ v dokladech“ – nejsou vyplněny odhadem.</t>
        </is>
      </c>
    </row>
    <row r="83">
      <c r="A83" s="12" t="inlineStr">
        <is>
          <t>ORIENTAČNÍ VÝPOČET (pouze fólie pos. 1+2, z technické specifikace, NIKOLI z dokladu):</t>
        </is>
      </c>
    </row>
    <row r="84">
      <c r="A84" s="12" t="inlineStr">
        <is>
          <t xml:space="preserve">   pos. 1: 2 × 0,500 m × 40 m × 80 µm × 0,92 g/cm³ × 10 ks = 29,44 kg</t>
        </is>
      </c>
    </row>
    <row r="85">
      <c r="A85" s="12" t="inlineStr">
        <is>
          <t xml:space="preserve">   pos. 2: 2 × 0,600 m × 50 m × 80 µm × 0,92 g/cm³ × 10 ks = 44,16 kg   → celkem 73,60 kg</t>
        </is>
      </c>
    </row>
    <row r="86">
      <c r="A86" s="12" t="inlineStr">
        <is>
          <t xml:space="preserve">   (Kontrola věrohodnosti: 73,60 kg fólie + krycí vaky + plomby/krytky/otvírák + paleta ≈ 99 kg hrubé hmotnosti – sedí.)</t>
        </is>
      </c>
    </row>
    <row r="87">
      <c r="A87" s="12" t="inlineStr">
        <is>
          <t xml:space="preserve">   Hmotnost plomb, krytek a otvíráku NELZE z dokladů odvodit, proto zde odhad neuvádím.</t>
        </is>
      </c>
    </row>
    <row r="88">
      <c r="A88" s="12" t="inlineStr">
        <is>
          <t>→ VYŽÁDAT OD LUGAIA AG PACKING LIST s čistou a hrubou hmotností po položkách. Pro JSD je čistá hmotnost povinný údaj u každé položky.</t>
        </is>
      </c>
    </row>
    <row r="89">
      <c r="A89" s="12" t="inlineStr"/>
    </row>
    <row r="90">
      <c r="A90" s="11">
        <f>== INCOTERM ===</f>
        <v/>
      </c>
    </row>
    <row r="91">
      <c r="A91" s="12" t="inlineStr">
        <is>
          <t>Uvádím: EXW Raron (Švýcarsko) – shodně v hlavičce faktury i dodacího listu („Shipping Condition: EXW Raron“).</t>
        </is>
      </c>
    </row>
    <row r="92">
      <c r="A92" s="12" t="inlineStr">
        <is>
          <t>⚠️ ROZPOR V DOKLADECH: v pozici 7 (packaging) uvádí DODACÍ LIST „DAP - CZ-74245 Fulnek“, zatímco FAKTURA uvádí „EXW - CZ-74245 Fulnek“.</t>
        </is>
      </c>
    </row>
    <row r="93">
      <c r="A93" s="12" t="inlineStr">
        <is>
          <t xml:space="preserve">   Kombinace „EXW + místo určení“ je věcně nesmysl. Před podáním JSD nechat dodavatele potvrdit, zda platí EXW Raron nebo DAP Fulnek.</t>
        </is>
      </c>
    </row>
    <row r="94">
      <c r="A94" s="12" t="inlineStr">
        <is>
          <t>DOPAD NA CELNÍ HODNOTU: při EXW Raron NENÍ ve fakturované částce zahrnuta přeprava. Dle čl. 71 UCC se do celní hodnoty PŘIČÍTAJÍ náklady</t>
        </is>
      </c>
    </row>
    <row r="95">
      <c r="A95" s="12" t="inlineStr">
        <is>
          <t>na dopravu a pojištění až na místo vstupu do celního území EU. Fakturovaných 7 497,00 CHF tedy NENÍ konečná celní hodnota – je nutné</t>
        </is>
      </c>
    </row>
    <row r="96">
      <c r="A96" s="12" t="inlineStr">
        <is>
          <t>doplnit dopravné Raron (CH) → hranice EU. Naopak při DAP Fulnek by se vnitrounijní úsek dopravy odečítal.</t>
        </is>
      </c>
    </row>
    <row r="97">
      <c r="A97" s="12" t="inlineStr"/>
    </row>
    <row r="98">
      <c r="A98" s="11">
        <f>== CELNÍ HODNOTA / MĚNA / SLEVA ===</f>
        <v/>
      </c>
    </row>
    <row r="99">
      <c r="A99" s="12" t="inlineStr">
        <is>
          <t>Fakturováno v CHF. Pro JSD přepočíst celním kurzem platným pro měsíc přijetí celního prohlášení.</t>
        </is>
      </c>
    </row>
    <row r="100">
      <c r="A100" s="12" t="inlineStr">
        <is>
          <t>Rozpis (viz list HS Summary): zboží 7 412,00 CHF + obal 85,00 CHF = 7 497,00 CHF, tj. celá fakturovaná částka je v celní hodnotě.</t>
        </is>
      </c>
    </row>
    <row r="101">
      <c r="A101" s="12" t="inlineStr">
        <is>
          <t>Pos. 6 (vzorek zdarma, 2,00 CHF, „Value for customs purposes only“) – hodnota pro celní účely ponechána, do celní hodnoty se zahrnuje.</t>
        </is>
      </c>
    </row>
    <row r="102">
      <c r="A102" s="12" t="inlineStr">
        <is>
          <t>ŽÁDNÁ OBCHODNÍ SLEVA na faktuře není uvedena → proporcionální rozpuštění slevy se neuplatňuje. Uplatněn pouze proporcionální rozpis obalu.</t>
        </is>
      </c>
    </row>
    <row r="103">
      <c r="A103" s="12" t="inlineStr"/>
    </row>
    <row r="104">
      <c r="A104" s="11">
        <f>== CBAM ===</f>
        <v/>
      </c>
    </row>
    <row r="105">
      <c r="A105" s="12" t="inlineStr">
        <is>
          <t>V zásilce NENÍ ŽÁDNÉ CBAM ZBOŽÍ. HS kódy 3920 (plasty), 3923 (plasty) a 8203 (ruční nástroje, kap. 82) nejsou v příloze I nařízení CBAM</t>
        </is>
      </c>
    </row>
    <row r="106">
      <c r="A106" s="12" t="inlineStr">
        <is>
          <t>(to pokrývá cement, elektřinu, hnojiva, železo a ocel – kap. 72 a vybrané kódy kap. 73, hliník a vodík). → CBAM se na tuto zásilku NEVZTAHUJE,</t>
        </is>
      </c>
    </row>
    <row r="107">
      <c r="A107" s="12" t="inlineStr">
        <is>
          <t>v JSD se neuvádí žádný Y kód.</t>
        </is>
      </c>
    </row>
    <row r="108">
      <c r="A108" s="12" t="inlineStr">
        <is>
          <t>KONTROLA REGISTRU (provedena i přesto, pro budoucí zásilky): příjemce „Brenntag Specialties Czech a.s.“ (Stachovice 176, CZ-74245 Fulnek)</t>
        </is>
      </c>
    </row>
    <row r="109">
      <c r="A109" s="15" t="inlineStr">
        <is>
          <t>🔴 NENÍ V SOUBORU reference/CBAM_receivers_CZ.xlsx (list List1, 100 záznamů) – hledáno dle názvu firmy i dle obce. Rovněž není mezi</t>
        </is>
      </c>
    </row>
    <row r="110">
      <c r="A110" s="12" t="inlineStr">
        <is>
          <t xml:space="preserve">   společnostmi mimo EU využívajícími náš sdílený účet CBAM-CZ-2025-QGM67089385721.</t>
        </is>
      </c>
    </row>
    <row r="111">
      <c r="A111" s="12" t="inlineStr">
        <is>
          <t>→ Pro TUTO zásilku to nevadí (žádné CBAM zboží). Pokud ale Brenntag Specialties Czech a.s. bude dovážet CBAM zboží, je třeba zjistit jeho</t>
        </is>
      </c>
    </row>
    <row r="112">
      <c r="A112" s="12" t="inlineStr">
        <is>
          <t xml:space="preserve">   CBAM status (Y128 / Y238 / Y137) a doplnit ho do registru. Status jsem neodhadoval.</t>
        </is>
      </c>
    </row>
    <row r="113">
      <c r="A113" s="12" t="inlineStr"/>
    </row>
    <row r="114">
      <c r="A114" s="11">
        <f>== ANTIDUMPING ===</f>
        <v/>
      </c>
    </row>
    <row r="115">
      <c r="A115" s="12" t="inlineStr">
        <is>
          <t>K žádnému ze tří kódů (3920 10 25, 3923 50 90, 8203 20 00) nebyla při deklarovaném původu ŠVÝCARSKO zjištěna antidumpingová</t>
        </is>
      </c>
    </row>
    <row r="116">
      <c r="A116" s="12" t="inlineStr">
        <is>
          <t>ani vyrovnávací opatření. Antidumpingová opatření jsou vázána na původ zboží – pokud by se potvrdil jiný původ než CH, je nutné ověřit znovu.</t>
        </is>
      </c>
    </row>
    <row r="117">
      <c r="A117" s="12" t="inlineStr"/>
    </row>
    <row r="118">
      <c r="A118" s="11">
        <f>== DALŠÍ KONTROLY PŘED PODÁNÍM JSD ===</f>
        <v/>
      </c>
    </row>
    <row r="119">
      <c r="A119" s="12" t="inlineStr">
        <is>
          <t>1. Vyžádat FINÁLNÍ fakturu – předaná je označena „DRAFT“.</t>
        </is>
      </c>
    </row>
    <row r="120">
      <c r="A120" s="12" t="inlineStr">
        <is>
          <t>2. Vyřešit preferenční větu / číslo povolení schváleného vývozce (viz výše) – rozhoduje o cle cca 480 CHF.</t>
        </is>
      </c>
    </row>
    <row r="121">
      <c r="A121" s="12" t="inlineStr">
        <is>
          <t>3. Vyžádat packing list s čistými hmotnostmi po položkách.</t>
        </is>
      </c>
    </row>
    <row r="122">
      <c r="A122" s="12" t="inlineStr">
        <is>
          <t>4. Potvrdit Incoterm (EXW Raron vs. DAP Fulnek) a doložit dopravné do hranice EU.</t>
        </is>
      </c>
    </row>
    <row r="123">
      <c r="A123" s="12" t="inlineStr">
        <is>
          <t>5. Potvrdit materiál palety; je-li dřevěná, ověřit aktuální požadavky na dřevěný obalový materiál (ISPM 15) pro dovoz ze Švýcarska.</t>
        </is>
      </c>
    </row>
    <row r="124">
      <c r="A124" s="12" t="inlineStr">
        <is>
          <t>6. Ověřit materiál otvíráku SafeSeal (pos. 5) – pro kap. 82 je nutná pracovní část ze základního kovu.</t>
        </is>
      </c>
    </row>
    <row r="125">
      <c r="A125" s="12" t="inlineStr">
        <is>
          <t>7. Ověřit sazby cla a případná opatření v TARIC CZ k datu přijetí celního prohlášení.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2026-09-16T11:06:48Z</dcterms:created>
  <dcterms:modified xmlns:dcterms="http://purl.org/dc/terms/" xmlns:xsi="http://www.w3.org/2001/XMLSchema-instance" xsi:type="dcterms:W3CDTF">2026-09-16T11:06:48Z</dcterms:modified>
</cp:coreProperties>
</file>