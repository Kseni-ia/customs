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Položky faktur" sheetId="2" state="visible" r:id="rId2"/>
    <sheet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vertical="top" wrapText="1"/>
    </xf>
    <xf numFmtId="3" fontId="1" fillId="0" borderId="1" pivotButton="0" quotePrefix="0" xfId="0"/>
    <xf numFmtId="164" fontId="1" fillId="0" borderId="1" pivotButton="0" quotePrefix="0" xfId="0"/>
    <xf numFmtId="4" fontId="1" fillId="0" borderId="1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40" customWidth="1" min="4" max="4"/>
    <col width="10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0" customWidth="1" min="11" max="11"/>
    <col width="60" customWidth="1" min="12" max="12"/>
  </cols>
  <sheetData>
    <row r="1">
      <c r="A1" s="1" t="inlineStr">
        <is>
          <t>Odesílatel</t>
        </is>
      </c>
      <c r="B1" s="1" t="inlineStr">
        <is>
          <t>HS kód (EU TARIC)</t>
        </is>
      </c>
      <c r="C1" s="1" t="inlineStr">
        <is>
          <t>HS kód dle faktury</t>
        </is>
      </c>
      <c r="D1" s="1" t="inlineStr">
        <is>
          <t>Popis zboží</t>
        </is>
      </c>
      <c r="E1" s="1" t="inlineStr">
        <is>
          <t>Země původu (COO)</t>
        </is>
      </c>
      <c r="F1" s="1" t="inlineStr">
        <is>
          <t>Celkové množství (ks)</t>
        </is>
      </c>
      <c r="G1" s="1" t="inlineStr">
        <is>
          <t>Čistá hmotnost (kg)</t>
        </is>
      </c>
      <c r="H1" s="1" t="inlineStr">
        <is>
          <t>Hrubá hmotnost (kg)</t>
        </is>
      </c>
      <c r="I1" s="1" t="inlineStr">
        <is>
          <t>Hodnota USD – Total (faktura)</t>
        </is>
      </c>
      <c r="J1" s="1" t="inlineStr">
        <is>
          <t>Incoterm</t>
        </is>
      </c>
      <c r="K1" s="1" t="inlineStr">
        <is>
          <t>Příznak</t>
        </is>
      </c>
      <c r="L1" s="1" t="inlineStr">
        <is>
          <t>Poznámka / CBAM / Antidumping</t>
        </is>
      </c>
    </row>
    <row r="2">
      <c r="A2" s="2" t="inlineStr">
        <is>
          <t>GYC GAYANG CORP., Seoul, KR</t>
        </is>
      </c>
      <c r="B2" s="2" t="inlineStr">
        <is>
          <t>3304990000</t>
        </is>
      </c>
      <c r="C2" s="2" t="inlineStr">
        <is>
          <t>3304.99.1000 (korejský HSK)</t>
        </is>
      </c>
      <c r="D2" s="3" t="inlineStr">
        <is>
          <t>Skin Care Cosmetics – hydrogel eye gels / eye patches (EN – česky popis od klienta nedodán)</t>
        </is>
      </c>
      <c r="E2" s="2" t="inlineStr">
        <is>
          <t>KR</t>
        </is>
      </c>
      <c r="F2" s="4" t="n">
        <v>111280</v>
      </c>
      <c r="G2" s="5" t="n">
        <v>7817.44</v>
      </c>
      <c r="H2" s="5" t="n">
        <v>10467.8</v>
      </c>
      <c r="I2" s="6" t="n">
        <v>259380</v>
      </c>
      <c r="J2" s="2" t="inlineStr">
        <is>
          <t>DDP Kněževes</t>
        </is>
      </c>
      <c r="K2" s="2" t="n"/>
      <c r="L2" s="3" t="inlineStr">
        <is>
          <t>Bez CBAM, bez antidumpingu. Clo 3304 99 00 = 0 % (erga omnes) → chybějící preferenční věta nemá dopad na clo. Hrubá hmotnost vč. palet (29 PLT, 159,5 kg) – shoda s HBL 10 467,8 kg.</t>
        </is>
      </c>
    </row>
    <row r="3">
      <c r="A3" s="7" t="inlineStr">
        <is>
          <t>CELKEM</t>
        </is>
      </c>
      <c r="B3" s="7" t="n"/>
      <c r="C3" s="7" t="n"/>
      <c r="D3" s="8" t="n"/>
      <c r="E3" s="7" t="n"/>
      <c r="F3" s="9" t="n">
        <v>111280</v>
      </c>
      <c r="G3" s="10" t="n">
        <v>7817.44</v>
      </c>
      <c r="H3" s="10" t="n">
        <v>10467.8</v>
      </c>
      <c r="I3" s="11" t="n">
        <v>259380</v>
      </c>
      <c r="J3" s="7" t="n"/>
      <c r="K3" s="7" t="n"/>
      <c r="L3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55" customWidth="1" min="3" max="3"/>
    <col width="16" customWidth="1" min="4" max="4"/>
    <col width="12" customWidth="1" min="5" max="5"/>
    <col width="14" customWidth="1" min="6" max="6"/>
    <col width="16" customWidth="1" min="7" max="7"/>
    <col width="14" customWidth="1" min="8" max="8"/>
    <col width="10" customWidth="1" min="9" max="9"/>
  </cols>
  <sheetData>
    <row r="1">
      <c r="A1" s="12" t="inlineStr">
        <is>
          <t>Odesílatel</t>
        </is>
      </c>
      <c r="B1" s="12" t="inlineStr">
        <is>
          <t>Faktura</t>
        </is>
      </c>
      <c r="C1" s="12" t="inlineStr">
        <is>
          <t>Popis zboží (faktura)</t>
        </is>
      </c>
      <c r="D1" s="12" t="inlineStr">
        <is>
          <t>HS kód dle faktury</t>
        </is>
      </c>
      <c r="E1" s="12" t="inlineStr">
        <is>
          <t>Množství (ks)</t>
        </is>
      </c>
      <c r="F1" s="12" t="inlineStr">
        <is>
          <t>Čistá hmotnost (kg)</t>
        </is>
      </c>
      <c r="G1" s="12" t="inlineStr">
        <is>
          <t>Hrubá hmotnost bez palet (kg)</t>
        </is>
      </c>
      <c r="H1" s="12" t="inlineStr">
        <is>
          <t>Hodnota USD</t>
        </is>
      </c>
      <c r="I1" s="12" t="inlineStr">
        <is>
          <t>Batch</t>
        </is>
      </c>
    </row>
    <row r="2">
      <c r="A2" t="inlineStr">
        <is>
          <t>GYC GAYANG CORP.</t>
        </is>
      </c>
      <c r="B2" t="inlineStr">
        <is>
          <t>1424-1425-1427-01</t>
        </is>
      </c>
      <c r="C2" t="inlineStr">
        <is>
          <t>IEG5 / Iced Hydrogel Eye Gels - 5 Pack</t>
        </is>
      </c>
      <c r="D2" t="inlineStr">
        <is>
          <t>3304.99.1000</t>
        </is>
      </c>
      <c r="E2" t="n">
        <v>25056</v>
      </c>
      <c r="F2" t="n">
        <v>1628.64</v>
      </c>
      <c r="G2" t="n">
        <v>2088</v>
      </c>
      <c r="H2" t="n">
        <v>63892.8</v>
      </c>
      <c r="I2" t="n">
        <v>26191</v>
      </c>
    </row>
    <row r="3">
      <c r="A3" t="inlineStr">
        <is>
          <t>GYC GAYANG CORP.</t>
        </is>
      </c>
      <c r="B3" t="inlineStr">
        <is>
          <t>1424-1425-1427-01</t>
        </is>
      </c>
      <c r="C3" t="inlineStr">
        <is>
          <t>FPE-PM5 / Flash patch Restoring Night Eye Gels - 5 Pack</t>
        </is>
      </c>
      <c r="D3" t="inlineStr">
        <is>
          <t>3304.99.1000</t>
        </is>
      </c>
      <c r="E3" t="n">
        <v>10080</v>
      </c>
      <c r="F3" t="n">
        <v>655.2</v>
      </c>
      <c r="G3" t="n">
        <v>945</v>
      </c>
      <c r="H3" t="n">
        <v>25804.8</v>
      </c>
      <c r="I3" t="n">
        <v>26197</v>
      </c>
    </row>
    <row r="4">
      <c r="A4" t="inlineStr">
        <is>
          <t>GYC GAYANG CORP.</t>
        </is>
      </c>
      <c r="B4" t="inlineStr">
        <is>
          <t>1424-1425-1427-01</t>
        </is>
      </c>
      <c r="C4" t="inlineStr">
        <is>
          <t>FPE-PM1 / Flash patch Restoring Night  Eye Gels - Single</t>
        </is>
      </c>
      <c r="D4" t="inlineStr">
        <is>
          <t>3304.99.1000</t>
        </is>
      </c>
      <c r="E4" t="n">
        <v>12160</v>
      </c>
      <c r="F4" t="n">
        <v>158.08</v>
      </c>
      <c r="G4" t="n">
        <v>197.6</v>
      </c>
      <c r="H4" t="n">
        <v>5472</v>
      </c>
      <c r="I4" t="n">
        <v>26208</v>
      </c>
    </row>
    <row r="5">
      <c r="A5" t="inlineStr">
        <is>
          <t>GYC GAYANG CORP.</t>
        </is>
      </c>
      <c r="B5" t="inlineStr">
        <is>
          <t>1424-1425-1427-01</t>
        </is>
      </c>
      <c r="C5" t="inlineStr">
        <is>
          <t>OGY-FPE5 / Flash patch Rejuvenating Eye Gels - 5 Pack</t>
        </is>
      </c>
      <c r="D5" t="inlineStr">
        <is>
          <t>3304.99.1000</t>
        </is>
      </c>
      <c r="E5" t="n">
        <v>25056</v>
      </c>
      <c r="F5" t="n">
        <v>1628.64</v>
      </c>
      <c r="G5" t="n">
        <v>2349</v>
      </c>
      <c r="H5" t="n">
        <v>64143.36</v>
      </c>
      <c r="I5" t="n">
        <v>26208</v>
      </c>
    </row>
    <row r="6">
      <c r="A6" t="inlineStr">
        <is>
          <t>GYC GAYANG CORP.</t>
        </is>
      </c>
      <c r="B6" t="inlineStr">
        <is>
          <t>1428-01</t>
        </is>
      </c>
      <c r="C6" t="inlineStr">
        <is>
          <t>CCRUSH5 / Cool Crush Eye Gel 5-Pack</t>
        </is>
      </c>
      <c r="D6" t="inlineStr">
        <is>
          <t>3304.99.1000</t>
        </is>
      </c>
      <c r="E6" t="n">
        <v>8928</v>
      </c>
      <c r="F6" t="n">
        <v>401.76</v>
      </c>
      <c r="G6" t="n">
        <v>744</v>
      </c>
      <c r="H6" t="n">
        <v>24194.88</v>
      </c>
      <c r="I6" t="n">
        <v>26209</v>
      </c>
    </row>
    <row r="7">
      <c r="A7" t="inlineStr">
        <is>
          <t>GYC GAYANG CORP.</t>
        </is>
      </c>
      <c r="B7" t="inlineStr">
        <is>
          <t>1420-1422-01</t>
        </is>
      </c>
      <c r="C7" t="inlineStr">
        <is>
          <t>OGY-FPE30 / Flash Patch Rejuvenating Eye Gels - 30 pair jar</t>
        </is>
      </c>
      <c r="D7" t="inlineStr">
        <is>
          <t>3304.99.1000</t>
        </is>
      </c>
      <c r="E7" t="n">
        <v>2544</v>
      </c>
      <c r="F7" t="n">
        <v>455.376</v>
      </c>
      <c r="G7" t="n">
        <v>477</v>
      </c>
      <c r="H7" t="n">
        <v>8776.800000000001</v>
      </c>
      <c r="I7" t="n">
        <v>26223</v>
      </c>
    </row>
    <row r="8">
      <c r="A8" t="inlineStr">
        <is>
          <t>GYC GAYANG CORP.</t>
        </is>
      </c>
      <c r="B8" t="inlineStr">
        <is>
          <t>1420-1422-01</t>
        </is>
      </c>
      <c r="C8" t="inlineStr">
        <is>
          <t>FPE-PM30 / Flash patch Restoring Night Eye Gels - 30 Jar</t>
        </is>
      </c>
      <c r="D8" t="inlineStr">
        <is>
          <t>3304.99.1000</t>
        </is>
      </c>
      <c r="E8" t="n">
        <v>4032</v>
      </c>
      <c r="F8" t="n">
        <v>721.728</v>
      </c>
      <c r="G8" t="n">
        <v>756</v>
      </c>
      <c r="H8" t="n">
        <v>13910.4</v>
      </c>
      <c r="I8" t="n">
        <v>26128</v>
      </c>
    </row>
    <row r="9">
      <c r="A9" t="inlineStr">
        <is>
          <t>GYC GAYANG CORP.</t>
        </is>
      </c>
      <c r="B9" t="inlineStr">
        <is>
          <t>1429-01</t>
        </is>
      </c>
      <c r="C9" t="inlineStr">
        <is>
          <t>AEOY / All Eyes on You Kit</t>
        </is>
      </c>
      <c r="D9" t="inlineStr">
        <is>
          <t>3304.99.1000</t>
        </is>
      </c>
      <c r="E9" t="n">
        <v>5088</v>
      </c>
      <c r="F9" t="n">
        <v>447.744</v>
      </c>
      <c r="G9" t="n">
        <v>503.5</v>
      </c>
      <c r="H9" t="n">
        <v>14958.72</v>
      </c>
      <c r="I9" t="n">
        <v>26210</v>
      </c>
    </row>
    <row r="10">
      <c r="A10" t="inlineStr">
        <is>
          <t>GYC GAYANG CORP.</t>
        </is>
      </c>
      <c r="B10" t="inlineStr">
        <is>
          <t>1418-1421-1426-01</t>
        </is>
      </c>
      <c r="C10" t="inlineStr">
        <is>
          <t>IEG15 / Iced Hydrogel Eye Gels - 15 Pack Jar</t>
        </is>
      </c>
      <c r="D10" t="inlineStr">
        <is>
          <t>3304.99.1000</t>
        </is>
      </c>
      <c r="E10" t="n">
        <v>5040</v>
      </c>
      <c r="F10" t="n">
        <v>599.76</v>
      </c>
      <c r="G10" t="n">
        <v>756</v>
      </c>
      <c r="H10" t="n">
        <v>16682.4</v>
      </c>
      <c r="I10" t="n">
        <v>26211</v>
      </c>
    </row>
    <row r="11">
      <c r="A11" t="inlineStr">
        <is>
          <t>GYC GAYANG CORP.</t>
        </is>
      </c>
      <c r="B11" t="inlineStr">
        <is>
          <t>1418-1421-1426-01</t>
        </is>
      </c>
      <c r="C11" t="inlineStr">
        <is>
          <t>OTFLY3 / On the Fly 3.0</t>
        </is>
      </c>
      <c r="D11" t="inlineStr">
        <is>
          <t>3304.99.1000</t>
        </is>
      </c>
      <c r="E11" t="n">
        <v>8016</v>
      </c>
      <c r="F11" t="n">
        <v>977.952</v>
      </c>
      <c r="G11" t="n">
        <v>1336</v>
      </c>
      <c r="H11" t="n">
        <v>19959.84</v>
      </c>
      <c r="I11" t="n">
        <v>26198</v>
      </c>
    </row>
    <row r="12">
      <c r="A12" t="inlineStr">
        <is>
          <t>GYC GAYANG CORP.</t>
        </is>
      </c>
      <c r="B12" t="inlineStr">
        <is>
          <t>1418-1421-1426-01</t>
        </is>
      </c>
      <c r="C12" t="inlineStr">
        <is>
          <t>MM-ACNE / Mood Mask The Good Fight - Single</t>
        </is>
      </c>
      <c r="D12" t="inlineStr">
        <is>
          <t>3304.99.1000</t>
        </is>
      </c>
      <c r="E12" t="n">
        <v>5280</v>
      </c>
      <c r="F12" t="n">
        <v>142.56</v>
      </c>
      <c r="G12" t="n">
        <v>156.2</v>
      </c>
      <c r="H12" t="n">
        <v>1584</v>
      </c>
      <c r="I12" t="n">
        <v>26211</v>
      </c>
    </row>
    <row r="14">
      <c r="A14" t="inlineStr">
        <is>
          <t>Faktura</t>
        </is>
      </c>
      <c r="B14" t="inlineStr">
        <is>
          <t>Palety (ks)</t>
        </is>
      </c>
      <c r="C14" t="inlineStr">
        <is>
          <t>Váha palet (kg)</t>
        </is>
      </c>
      <c r="D14" t="inlineStr">
        <is>
          <t>Total množství</t>
        </is>
      </c>
      <c r="E14" t="inlineStr">
        <is>
          <t>Total NW</t>
        </is>
      </c>
      <c r="F14" t="inlineStr">
        <is>
          <t>Total GW (vč. palet)</t>
        </is>
      </c>
      <c r="G14" t="inlineStr">
        <is>
          <t>Total USD</t>
        </is>
      </c>
    </row>
    <row r="15">
      <c r="A15" t="inlineStr">
        <is>
          <t>1424-1425-1427-01</t>
        </is>
      </c>
      <c r="B15" t="n">
        <v>16</v>
      </c>
      <c r="C15" t="n">
        <v>88</v>
      </c>
      <c r="D15" t="n">
        <v>72352</v>
      </c>
      <c r="E15" t="n">
        <v>4070.56</v>
      </c>
      <c r="F15" t="n">
        <v>5667.6</v>
      </c>
      <c r="G15" t="n">
        <v>159312.96</v>
      </c>
    </row>
    <row r="16">
      <c r="A16" t="inlineStr">
        <is>
          <t>1428-01</t>
        </is>
      </c>
      <c r="B16" t="n">
        <v>3</v>
      </c>
      <c r="C16" t="n">
        <v>16.5</v>
      </c>
      <c r="D16" t="n">
        <v>8928</v>
      </c>
      <c r="E16" t="n">
        <v>401.76</v>
      </c>
      <c r="F16" t="n">
        <v>760.5</v>
      </c>
      <c r="G16" t="n">
        <v>24194.88</v>
      </c>
    </row>
    <row r="17">
      <c r="A17" t="inlineStr">
        <is>
          <t>1420-1422-01</t>
        </is>
      </c>
      <c r="B17" t="n">
        <v>2</v>
      </c>
      <c r="C17" t="n">
        <v>11</v>
      </c>
      <c r="D17" t="n">
        <v>6576</v>
      </c>
      <c r="E17" t="n">
        <v>1177.104</v>
      </c>
      <c r="F17" t="n">
        <v>1244</v>
      </c>
      <c r="G17" t="n">
        <v>22687.2</v>
      </c>
    </row>
    <row r="18">
      <c r="A18" t="inlineStr">
        <is>
          <t>1429-01</t>
        </is>
      </c>
      <c r="B18" t="n">
        <v>2</v>
      </c>
      <c r="C18" t="n">
        <v>11</v>
      </c>
      <c r="D18" t="n">
        <v>5088</v>
      </c>
      <c r="E18" t="n">
        <v>447.744</v>
      </c>
      <c r="F18" t="n">
        <v>514.5</v>
      </c>
      <c r="G18" t="n">
        <v>14958.72</v>
      </c>
    </row>
    <row r="19">
      <c r="A19" t="inlineStr">
        <is>
          <t>1418-1421-1426-01</t>
        </is>
      </c>
      <c r="B19" t="n">
        <v>6</v>
      </c>
      <c r="C19" t="n">
        <v>33</v>
      </c>
      <c r="D19" t="n">
        <v>18336</v>
      </c>
      <c r="E19" t="n">
        <v>1720.272</v>
      </c>
      <c r="F19" t="n">
        <v>2281.2</v>
      </c>
      <c r="G19" t="n">
        <v>38226.24000000001</v>
      </c>
    </row>
    <row r="20">
      <c r="A20" t="inlineStr">
        <is>
          <t>CELKEM</t>
        </is>
      </c>
      <c r="B20" t="n">
        <v>29</v>
      </c>
      <c r="C20" t="n">
        <v>159.5</v>
      </c>
      <c r="D20" t="n">
        <v>111280</v>
      </c>
      <c r="E20" t="n">
        <v>7817.44</v>
      </c>
      <c r="F20" t="n">
        <v>10467.8</v>
      </c>
      <c r="G20" t="n">
        <v>259380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3">
        <f>== ZÁSILKA ===</f>
        <v/>
      </c>
    </row>
    <row r="2">
      <c r="A2" t="inlineStr">
        <is>
          <t>Klient / příjemce: RARE BEAUTY C/O MAURICE WARD &amp; CO., S.R.O., CTPark Prague Airport, Nad Kovárnou 185, 252 68 Kněževes. Kupující: Rare Beauty Brands Inc., Boston, USA.</t>
        </is>
      </c>
    </row>
    <row r="3">
      <c r="A3" t="inlineStr">
        <is>
          <t>Odesílatel / výrobce: GYC GAYANG CORP., Seoul, Republic of Korea (jediný odesílatel).</t>
        </is>
      </c>
    </row>
    <row r="4">
      <c r="A4" t="inlineStr">
        <is>
          <t>HBL KIMXHAM2608086 (KIMEX, SURRENDERED), loď ONE INNOVATION 011W, Busan → Hamburg → Praha; on board 29.8.2026; 29 PKGS, 20'DV + 40'HC (SEGU4573756 / YMMU1249314); 10 467,8 kg; 60,05 CBM.</t>
        </is>
      </c>
    </row>
    <row r="5">
      <c r="A5" t="inlineStr">
        <is>
          <t>Faktury: 1420-1422-01, 1424-1425-1427-01, 1429-01, 1418-1421-1426-01 (14.8.2026), 1428-01 (20.8.2026). Měna USD.</t>
        </is>
      </c>
    </row>
    <row r="6">
      <c r="A6" s="13">
        <f>== HODNOTA ===</f>
        <v/>
      </c>
    </row>
    <row r="7">
      <c r="A7" t="inlineStr">
        <is>
          <t>Použita částka "Total" z každé faktury; součet 259,380.00 USD. Faktury neobsahují slevu.</t>
        </is>
      </c>
    </row>
    <row r="8">
      <c r="A8" s="13">
        <f>== INCOTERM ===</f>
        <v/>
      </c>
    </row>
    <row r="9">
      <c r="A9" t="inlineStr">
        <is>
          <t>Faktury (Remarks): "DDP, KNEZEVES" → DDP Kněževes.</t>
        </is>
      </c>
    </row>
    <row r="10">
      <c r="A10" t="inlineStr">
        <is>
          <t>⚠ Rozpor: faktury uvádí "FREIGHT COLLECT", HBL uvádí "FREIGHT PREPAID" (payable at Boston, USA). Ověřit před stanovením celní hodnoty.</t>
        </is>
      </c>
    </row>
    <row r="11">
      <c r="A11" s="13">
        <f>== COO / PREFERENČNÍ VĚTA / REX ===</f>
        <v/>
      </c>
    </row>
    <row r="12">
      <c r="A12" t="inlineStr">
        <is>
          <t>COO: Korea (Made in Korea) – dle Remarks na fakturách.</t>
        </is>
      </c>
    </row>
    <row r="13">
      <c r="A13" t="inlineStr">
        <is>
          <t>Preferenční věta: NENÍ na žádné z 5 faktur.</t>
        </is>
      </c>
    </row>
    <row r="14">
      <c r="A14" t="inlineStr">
        <is>
          <t>REX / číslo schváleného vývozce: NENÍ na fakturách.</t>
        </is>
      </c>
    </row>
    <row r="15">
      <c r="A15" t="inlineStr">
        <is>
          <t>Dopad: 3304 99 00 má konvenční clo 0 %, takže bez preference se clo nemění; DPH 21 % beze změny.</t>
        </is>
      </c>
    </row>
    <row r="16">
      <c r="A16" s="13">
        <f>== CBAM / ANTIDUMPING / MELT AND POUR ===</f>
        <v/>
      </c>
    </row>
    <row r="17">
      <c r="A17" t="inlineStr">
        <is>
          <t>CBAM: nevztahuje se (kap. 33 není CBAM zboží) – lustrace příjemce v registru nebyla nutná.</t>
        </is>
      </c>
    </row>
    <row r="18">
      <c r="A18" t="inlineStr">
        <is>
          <t>Antidumping: žádný pro 3304 99 00 z KR.</t>
        </is>
      </c>
    </row>
    <row r="19">
      <c r="A19" t="inlineStr">
        <is>
          <t>Melt and pour: nevztahuje se (nejde o železo/ocel).</t>
        </is>
      </c>
    </row>
    <row r="20">
      <c r="A20" s="13">
        <f>== POPIS ===</f>
        <v/>
      </c>
    </row>
    <row r="21">
      <c r="A21" t="inlineStr">
        <is>
          <t>Klient nedodal český popis a dokumenty žádný český popis neobsahují → použit anglický popis z faktur.</t>
        </is>
      </c>
    </row>
    <row r="22">
      <c r="A22" s="13">
        <f>== HMOTNOSTI ===</f>
        <v/>
      </c>
    </row>
    <row r="23">
      <c r="A23" t="inlineStr">
        <is>
          <t>Čistá hmotnost: 7,817.440 kg; hrubá: 10,467.800 kg vč. 29 palet (159.5 kg) = shoda s HBL.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2026-09-30T10:26:31Z</dcterms:created>
  <dcterms:modified xsi:type="dcterms:W3CDTF">2026-09-30T10:26:31Z</dcterms:modified>
</cp:coreProperties>
</file>