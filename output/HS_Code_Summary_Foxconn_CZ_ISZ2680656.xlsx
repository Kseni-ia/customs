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Summary" sheetId="1" state="visible" r:id="rId1"/>
    <sheet name="Položky faktury" sheetId="2" state="visible" r:id="rId2"/>
    <sheet name="Poznámky a kontroly" sheetId="3" state="visible" r:id="rId3"/>
    <sheet name="Rozpor 8473 vs 841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D966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64" fontId="2" fillId="4" borderId="1" applyAlignment="1" pivotButton="0" quotePrefix="0" xfId="0">
      <alignment vertical="top" wrapText="1"/>
    </xf>
    <xf numFmtId="4" fontId="2" fillId="4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4" fontId="0" fillId="0" borderId="0" pivotButton="0" quotePrefix="0" xfId="0"/>
    <xf numFmtId="164" fontId="0" fillId="0" borderId="0" pivotButton="0" quotePrefix="0" xfId="0"/>
    <xf numFmtId="0" fontId="2" fillId="4" borderId="0" pivotButton="0" quotePrefix="0" xfId="0"/>
    <xf numFmtId="4" fontId="2" fillId="4" borderId="0" pivotButton="0" quotePrefix="0" xfId="0"/>
    <xf numFmtId="164" fontId="2" fillId="4" borderId="0" pivotButton="0" quotePrefix="0" xfId="0"/>
    <xf numFmtId="4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0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30" customWidth="1" style="19" min="1" max="1"/>
    <col width="18" customWidth="1" style="19" min="2" max="2"/>
    <col width="44" customWidth="1" style="19" min="3" max="3"/>
    <col width="44" customWidth="1" style="19" min="4" max="4"/>
    <col width="10" customWidth="1" style="19" min="5" max="5"/>
    <col width="18" customWidth="1" style="19" min="6" max="6"/>
    <col width="12" customWidth="1" style="19" min="7" max="7"/>
    <col width="16" customWidth="1" style="19" min="8" max="8"/>
    <col width="16" customWidth="1" style="19" min="9" max="9"/>
    <col width="15" customWidth="1" style="19" min="10" max="10"/>
    <col width="8" customWidth="1" style="19" min="11" max="11"/>
    <col width="14" customWidth="1" style="19" min="12" max="12"/>
    <col width="60" customWidth="1" style="19" min="13" max="13"/>
  </cols>
  <sheetData>
    <row r="1" ht="46" customHeight="1" s="19">
      <c r="A1" s="1" t="inlineStr">
        <is>
          <t>Odesílatel (sender)</t>
        </is>
      </c>
      <c r="B1" s="1" t="inlineStr">
        <is>
          <t>HS kód / KN (TARIC)</t>
        </is>
      </c>
      <c r="C1" s="1" t="inlineStr">
        <is>
          <t>Popis zboží – dle klienta (EN/CN, verbatim)</t>
        </is>
      </c>
      <c r="D1" s="1" t="inlineStr">
        <is>
          <t>Popis CZ (doplnil MW – klient CZ popis nedodal)</t>
        </is>
      </c>
      <c r="E1" s="1" t="inlineStr">
        <is>
          <t>Země původu (COO)</t>
        </is>
      </c>
      <c r="F1" s="1" t="inlineStr">
        <is>
          <t>Incoterm</t>
        </is>
      </c>
      <c r="G1" s="1" t="inlineStr">
        <is>
          <t>Množství (ks)</t>
        </is>
      </c>
      <c r="H1" s="1" t="inlineStr">
        <is>
          <t>Čistá hmotnost NW (kg)</t>
        </is>
      </c>
      <c r="I1" s="1" t="inlineStr">
        <is>
          <t>Hrubá hmotnost GW (kg)</t>
        </is>
      </c>
      <c r="J1" s="1" t="inlineStr">
        <is>
          <t>Celní hodnota (USD)</t>
        </is>
      </c>
      <c r="K1" s="1" t="inlineStr">
        <is>
          <t>Měna</t>
        </is>
      </c>
      <c r="L1" s="1" t="inlineStr">
        <is>
          <t>Příznak</t>
        </is>
      </c>
      <c r="M1" s="1" t="inlineStr">
        <is>
          <t>Poznámka</t>
        </is>
      </c>
    </row>
    <row r="2">
      <c r="A2" s="2" t="inlineStr">
        <is>
          <t>ASIA VITAL COMPONENTS CO., LTD. (Shenzhen, CN)</t>
        </is>
      </c>
      <c r="B2" s="2" t="inlineStr">
        <is>
          <t>8473 30 80 00</t>
        </is>
      </c>
      <c r="C2" s="2" t="inlineStr">
        <is>
          <t>HF-Heatsink-DL360Perf Gen12 w / HF-HEATSINK-TOWER_4U_G12_STD / HF-散熱片成品4200 Gen11 STD</t>
        </is>
      </c>
      <c r="D2" s="2" t="inlineStr">
        <is>
          <t>Chladiče (pasivní chladiče) – části a součásti pro servery / zařízení pro automatizované zpracování dat</t>
        </is>
      </c>
      <c r="E2" s="2" t="inlineStr">
        <is>
          <t>CN</t>
        </is>
      </c>
      <c r="F2" s="2" t="inlineStr">
        <is>
          <t>DDP Kutná Hora</t>
        </is>
      </c>
      <c r="G2" s="2" t="n">
        <v>2236</v>
      </c>
      <c r="H2" s="3" t="n">
        <v>1139.196</v>
      </c>
      <c r="I2" s="3" t="n">
        <v>1405.44</v>
      </c>
      <c r="J2" s="4" t="n">
        <v>66634.67999999999</v>
      </c>
      <c r="K2" s="2" t="inlineStr">
        <is>
          <t>USD</t>
        </is>
      </c>
      <c r="L2" s="5" t="inlineStr">
        <is>
          <t>CCT/VPV KN</t>
        </is>
      </c>
      <c r="M2" s="2" t="inlineStr">
        <is>
          <t>HS kód nebyl uveden na faktuře – odvozeno dle CCT/VPV KN (potvrzeno deklarací odesílatele 847330 na B/L). Clo 0 %. GW bez palet; +115,00 kg palety = 1 520,44 kg dle B/L. ⚠️ E-mail MW uvádí 8414599050 / BRUSHLESS DC FAN – na toto zboží se nevztahuje (a kód je neplatný od 2006); viz list 'Rozpor 8473 vs 8414'.</t>
        </is>
      </c>
    </row>
    <row r="4">
      <c r="A4" s="6" t="inlineStr">
        <is>
          <t>CELKEM</t>
        </is>
      </c>
      <c r="B4" s="6" t="inlineStr"/>
      <c r="C4" s="6" t="inlineStr"/>
      <c r="D4" s="6" t="inlineStr"/>
      <c r="E4" s="6" t="inlineStr"/>
      <c r="F4" s="6" t="inlineStr"/>
      <c r="G4" s="6" t="n">
        <v>2236</v>
      </c>
      <c r="H4" s="7" t="n">
        <v>1139.196</v>
      </c>
      <c r="I4" s="7" t="n">
        <v>1405.44</v>
      </c>
      <c r="J4" s="8" t="n">
        <v>66634.67999999999</v>
      </c>
      <c r="K4" s="6" t="inlineStr">
        <is>
          <t>USD</t>
        </is>
      </c>
      <c r="L4" s="6" t="inlineStr"/>
      <c r="M4" s="6" t="inlineStr">
        <is>
          <t>Hrubá hmotnost vč. 7 palet: 1 520,44 kg (shoda s B/L a packing listem)</t>
        </is>
      </c>
    </row>
    <row r="6">
      <c r="A6" s="9" t="inlineStr">
        <is>
          <t>Legenda:</t>
        </is>
      </c>
    </row>
    <row r="7">
      <c r="A7" s="9" t="inlineStr">
        <is>
          <t>🟠 CCT/VPV KN</t>
        </is>
      </c>
      <c r="C7" s="10" t="inlineStr">
        <is>
          <t>HS kód nebyl v podkladech od klienta – odvozen metodou Společného celního sazebníku EU (VPV KN 1 a 6).</t>
        </is>
      </c>
    </row>
    <row r="8">
      <c r="A8" s="9" t="inlineStr">
        <is>
          <t>CBAM</t>
        </is>
      </c>
      <c r="C8" s="10" t="inlineStr">
        <is>
          <t>NEAPLIKUJE SE – KN 8473 30 80 není v příloze I nařízení CBAM (netýká se železa/oceli, hliníku, cementu, hnojiv, elektřiny ani vodíku).</t>
        </is>
      </c>
    </row>
    <row r="9">
      <c r="A9" s="9" t="inlineStr">
        <is>
          <t>ANTIDUMPING</t>
        </is>
      </c>
      <c r="C9" s="10" t="inlineStr">
        <is>
          <t>NEAPLIKUJE SE při zařazení do 8473 30 80. POZOR: při zařazení hliníkových chladičů do 7616 99 by se uplatnilo ADD na hliníkové profily z ČLR (nař. 2021/546) + CBAM.</t>
        </is>
      </c>
    </row>
    <row r="10">
      <c r="A10" s="9" t="inlineStr">
        <is>
          <t>Preferenční původ</t>
        </is>
      </c>
      <c r="C10" s="10" t="inlineStr">
        <is>
          <t>Preferenční věta NENALEZENA. REX číslo NENALEZENO. Původ ČLR – EU nemá s Čínou preferenční dohodu. Sazba cla 8473 30 80 je však 0 %, takže bez dopadu na clo.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6" customWidth="1" style="19" min="1" max="1"/>
    <col width="16" customWidth="1" style="19" min="2" max="2"/>
    <col width="40" customWidth="1" style="19" min="3" max="3"/>
    <col width="16" customWidth="1" style="19" min="4" max="4"/>
    <col width="13" customWidth="1" style="19" min="5" max="5"/>
    <col width="14" customWidth="1" style="19" min="6" max="6"/>
    <col width="14" customWidth="1" style="19" min="7" max="7"/>
    <col width="13" customWidth="1" style="19" min="8" max="8"/>
    <col width="17" customWidth="1" style="19" min="9" max="9"/>
    <col width="30" customWidth="1" style="19" min="10" max="10"/>
    <col width="14" customWidth="1" style="19" min="11" max="11"/>
  </cols>
  <sheetData>
    <row r="1" ht="34" customHeight="1" s="19">
      <c r="A1" s="1" t="inlineStr">
        <is>
          <t>Customer P/N</t>
        </is>
      </c>
      <c r="B1" s="1" t="inlineStr">
        <is>
          <t>AVC P/N</t>
        </is>
      </c>
      <c r="C1" s="1" t="inlineStr">
        <is>
          <t>Popis (verbatim dle klienta)</t>
        </is>
      </c>
      <c r="D1" s="1" t="inlineStr">
        <is>
          <t>HS kód / KN</t>
        </is>
      </c>
      <c r="E1" s="1" t="inlineStr">
        <is>
          <t>Množství (ks)</t>
        </is>
      </c>
      <c r="F1" s="1" t="inlineStr">
        <is>
          <t>Jedn. cena (USD)</t>
        </is>
      </c>
      <c r="G1" s="1" t="inlineStr">
        <is>
          <t>Hodnota (USD)</t>
        </is>
      </c>
      <c r="H1" s="1" t="inlineStr">
        <is>
          <t>NW (kg)</t>
        </is>
      </c>
      <c r="I1" s="1" t="inlineStr">
        <is>
          <t>GW bez palet (kg)</t>
        </is>
      </c>
      <c r="J1" s="1" t="inlineStr">
        <is>
          <t>Kartony</t>
        </is>
      </c>
      <c r="K1" s="1" t="inlineStr">
        <is>
          <t>Palety</t>
        </is>
      </c>
    </row>
    <row r="2">
      <c r="A2" t="inlineStr">
        <is>
          <t>P70603-001</t>
        </is>
      </c>
      <c r="B2" t="inlineStr">
        <is>
          <t>SF40A84001-1</t>
        </is>
      </c>
      <c r="C2" t="inlineStr">
        <is>
          <t>HF-Heatsink-DL360Perf Gen12 w</t>
        </is>
      </c>
      <c r="D2" t="inlineStr">
        <is>
          <t>8473 30 80 00</t>
        </is>
      </c>
      <c r="E2" t="n">
        <v>760</v>
      </c>
      <c r="F2" s="11" t="n">
        <v>35.76</v>
      </c>
      <c r="G2" s="11" t="n">
        <v>27177.6</v>
      </c>
      <c r="H2" s="12" t="n">
        <v>426.36</v>
      </c>
      <c r="I2" s="12" t="n">
        <v>490.2</v>
      </c>
      <c r="J2" t="inlineStr">
        <is>
          <t>A1-A24 (24 ktn) + A25-A38 (14 ktn) = 38</t>
        </is>
      </c>
      <c r="K2" t="inlineStr">
        <is>
          <t>plt 1 + plt 7</t>
        </is>
      </c>
    </row>
    <row r="3">
      <c r="A3" t="inlineStr">
        <is>
          <t>P70874-001</t>
        </is>
      </c>
      <c r="B3" t="inlineStr">
        <is>
          <t>SF40A17001-1</t>
        </is>
      </c>
      <c r="C3" t="inlineStr">
        <is>
          <t>HF-HEATSINK-TOWER_4U_G12_STD</t>
        </is>
      </c>
      <c r="D3" t="inlineStr">
        <is>
          <t>8473 30 80 00</t>
        </is>
      </c>
      <c r="E3" t="n">
        <v>504</v>
      </c>
      <c r="F3" s="11" t="n">
        <v>25.85</v>
      </c>
      <c r="G3" s="11" t="n">
        <v>13028.4</v>
      </c>
      <c r="H3" s="12" t="n">
        <v>309.456</v>
      </c>
      <c r="I3" s="12" t="n">
        <v>406.56</v>
      </c>
      <c r="J3" t="inlineStr">
        <is>
          <t>B1-B42 = 42</t>
        </is>
      </c>
      <c r="K3" t="inlineStr">
        <is>
          <t>plt 2-3</t>
        </is>
      </c>
    </row>
    <row r="4">
      <c r="A4" t="inlineStr">
        <is>
          <t>P51839-001</t>
        </is>
      </c>
      <c r="B4" t="inlineStr">
        <is>
          <t>SF4B970007-1</t>
        </is>
      </c>
      <c r="C4" t="inlineStr">
        <is>
          <t>HF-散熱片成品4200 Gen11 STD</t>
        </is>
      </c>
      <c r="D4" t="inlineStr">
        <is>
          <t>8473 30 80 00</t>
        </is>
      </c>
      <c r="E4" t="n">
        <v>972</v>
      </c>
      <c r="F4" s="11" t="n">
        <v>27.19</v>
      </c>
      <c r="G4" s="11" t="n">
        <v>26428.68</v>
      </c>
      <c r="H4" s="12" t="n">
        <v>403.38</v>
      </c>
      <c r="I4" s="12" t="n">
        <v>508.68</v>
      </c>
      <c r="J4" t="inlineStr">
        <is>
          <t>C1-C54 = 54</t>
        </is>
      </c>
      <c r="K4" t="inlineStr">
        <is>
          <t>plt 4-6</t>
        </is>
      </c>
    </row>
    <row r="5">
      <c r="F5" s="11" t="n"/>
      <c r="G5" s="11" t="n"/>
      <c r="H5" s="12" t="n"/>
      <c r="I5" s="12" t="n"/>
    </row>
    <row r="6">
      <c r="A6" s="13" t="inlineStr">
        <is>
          <t>CELKEM</t>
        </is>
      </c>
      <c r="B6" s="13" t="inlineStr"/>
      <c r="C6" s="13" t="inlineStr"/>
      <c r="D6" s="13" t="inlineStr"/>
      <c r="E6" s="13" t="n">
        <v>2236</v>
      </c>
      <c r="F6" s="14" t="inlineStr"/>
      <c r="G6" s="14" t="n">
        <v>66634.67999999999</v>
      </c>
      <c r="H6" s="15" t="n">
        <v>1139.196</v>
      </c>
      <c r="I6" s="15" t="n">
        <v>1405.44</v>
      </c>
      <c r="J6" s="13" t="inlineStr">
        <is>
          <t>134 kartonů</t>
        </is>
      </c>
      <c r="K6" s="13" t="inlineStr">
        <is>
          <t>7 palet</t>
        </is>
      </c>
    </row>
    <row r="7">
      <c r="C7" t="inlineStr">
        <is>
          <t>Hmotnost palet (pouze palety)</t>
        </is>
      </c>
      <c r="F7" s="11" t="inlineStr"/>
      <c r="G7" s="11" t="inlineStr"/>
      <c r="H7" s="12" t="inlineStr"/>
      <c r="I7" s="12" t="n">
        <v>115</v>
      </c>
    </row>
    <row r="8">
      <c r="A8" s="9" t="inlineStr"/>
      <c r="B8" s="9" t="inlineStr"/>
      <c r="C8" s="9" t="inlineStr">
        <is>
          <t>CELKEM GW vč. palet (dle B/L)</t>
        </is>
      </c>
      <c r="D8" s="9" t="inlineStr"/>
      <c r="E8" s="9" t="inlineStr"/>
      <c r="F8" s="16" t="inlineStr"/>
      <c r="G8" s="16" t="inlineStr"/>
      <c r="H8" s="17" t="inlineStr"/>
      <c r="I8" s="17" t="n">
        <v>1520.44</v>
      </c>
      <c r="J8" s="9" t="inlineStr"/>
      <c r="K8" s="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2"/>
  <sheetViews>
    <sheetView workbookViewId="0">
      <selection activeCell="A1" sqref="A1"/>
    </sheetView>
  </sheetViews>
  <sheetFormatPr baseColWidth="8" defaultRowHeight="15"/>
  <cols>
    <col width="170" customWidth="1" style="19" min="1" max="1"/>
  </cols>
  <sheetData>
    <row r="1">
      <c r="A1" s="18">
        <f>== ZÁSILKA ===</f>
        <v/>
      </c>
    </row>
    <row r="2">
      <c r="A2" t="inlineStr">
        <is>
          <t>Faktura č. ISZ2680656, datum odeslání 13-Aug-2026. AVC výdejka ILT2680069. P/O 4619002452.</t>
        </is>
      </c>
    </row>
    <row r="3">
      <c r="A3" t="inlineStr">
        <is>
          <t>Odesílatel (sender): ASIA VITAL COMPONENTS CO., LTD., West Industrial Park, Xinyang Community, Shajing Branch, Baoan District, Shenzhen 518104, CHINA.</t>
        </is>
      </c>
    </row>
    <row r="4">
      <c r="A4" t="inlineStr">
        <is>
          <t>Příjemce v ČR (consignee): FOXCONN CZ s.r.o. c/o JUSDA EUROPE, s.r.o. (HPE B/S for Foxconn), Ramps 100-121 GLS 100-121, Karlov 245, Kutná Hora 28401. EORI: CZ25938002. VAT (z faktury): CZ682138185.</t>
        </is>
      </c>
    </row>
    <row r="5">
      <c r="A5" t="inlineStr">
        <is>
          <t>Notify: Asia Vital Component Co., Ltd., New Taipei City, Taiwan.</t>
        </is>
      </c>
    </row>
    <row r="6">
      <c r="A6" t="inlineStr">
        <is>
          <t>Doprava: FANG ZHOU 27 / 260827N, Hong Kong → Hamburk (DE) → Kutná Hora. On board 29-Aug-2026. Kontejner OOLU9629630 / 40'HQ / plomba 30933593. CFS/CFS, telex release.</t>
        </is>
      </c>
    </row>
    <row r="7">
      <c r="A7" t="inlineStr">
        <is>
          <t>B/L: HKGPRG2609004 (ref. ITMTPESE2609004), HBL Intermax 326081010. Doručení: Maurice Ward &amp; Co. s.r.o.</t>
        </is>
      </c>
    </row>
    <row r="8">
      <c r="A8" t="inlineStr">
        <is>
          <t>Balení: 7 palet / 134 kartonů, 7,670 CBM. Palety: c-煙燻棧板 = tepelně ošetřené (fumigované) palety s IPPC značením – doloženo na B/L ('SOLID WOOD MATERIAL WITH IPPC SEAL').</t>
        </is>
      </c>
    </row>
    <row r="9"/>
    <row r="10">
      <c r="A10" s="18">
        <f>== ⚠️ HS KÓD ODVOZEN – CCT/VPV KN tariff rule ===</f>
        <v/>
      </c>
    </row>
    <row r="11">
      <c r="A11" t="inlineStr">
        <is>
          <t>Faktura ani packing list NEOBSAHUJÍ HS kód u položek. HS kód byl odvozen metodou Společného celního sazebníku EU pro všechny 3 položky:</t>
        </is>
      </c>
    </row>
    <row r="12">
      <c r="A12" t="inlineStr">
        <is>
          <t xml:space="preserve">  P70603-001 HF-Heatsink-DL360Perf Gen12 w → 8473 30 80 00</t>
        </is>
      </c>
    </row>
    <row r="13">
      <c r="A13" t="inlineStr">
        <is>
          <t xml:space="preserve">  P70874-001 HF-HEATSINK-TOWER_4U_G12_STD → 8473 30 80 00</t>
        </is>
      </c>
    </row>
    <row r="14">
      <c r="A14" t="inlineStr">
        <is>
          <t xml:space="preserve">  P51839-001 HF-散熱片成品4200 Gen11 STD → 8473 30 80 00</t>
        </is>
      </c>
    </row>
    <row r="15">
      <c r="A15" t="inlineStr">
        <is>
          <t>CO TO JE? Pasivní chladič (heatsink, 散熱片) – žebrovaný chladicí blok pro serverové CPU (HPE ProLiant DL360 Gen12, Tower 4U Gen12, 4200 Gen11).</t>
        </is>
      </c>
    </row>
    <row r="16">
      <c r="A16" t="inlineStr">
        <is>
          <t>Z ČEHO TO JE? Kov (hliník / měď, příp. s heat-pipe). POZOR: přesný materiál není v podkladech uveden – viz otevřené otázky níže.</t>
        </is>
      </c>
    </row>
    <row r="17">
      <c r="A17" t="inlineStr">
        <is>
          <t>K ČEMU SLOUŽÍ? Odvod tepla z procesoru serveru; nemá vlastní funkci, je použitelné výhradně/hlavně se stroji č. 8471.</t>
        </is>
      </c>
    </row>
    <row r="18">
      <c r="A18" t="inlineStr">
        <is>
          <t>Postup nomenklaturou: Třída XVI → kapitola 84. Pozn. 2 písm. b) ke třídě XVI: části a součásti vhodné výhradně/hlavně pro určitý stroj se zařazují k tomuto stroji.</t>
        </is>
      </c>
    </row>
    <row r="19">
      <c r="A19" t="inlineStr">
        <is>
          <t>Číslo 8473 = části a součásti strojů čísel 8470–8472 → položka 8473 30 (části ADP strojů č. 8471) → 8473 30 80 (jiné než elektronické sestavy, chladič není osazená deska) → KN/TARIC 8473 30 80 00. Aplikována VPV KN 1 a 6.</t>
        </is>
      </c>
    </row>
    <row r="20">
      <c r="A20" t="inlineStr">
        <is>
          <t>Kontrolní shoda: odesílatel na B/L i HBL deklaruje 'HS CODE: 847330' a faktura je nadepsána 'PARTS OF COMPUTER USED ONLY' – odvozené zařazení se shoduje.</t>
        </is>
      </c>
    </row>
    <row r="21">
      <c r="A21" t="inlineStr">
        <is>
          <t>Smluvní sazba cla erga omnes pro 8473 30 80: 0 %.</t>
        </is>
      </c>
    </row>
    <row r="22"/>
    <row r="23">
      <c r="A23" s="18">
        <f>== ⚠️ POPIS ZBOŽÍ – ŽÁDNÝ ČESKÝ POPIS NEDODÁN ===</f>
        <v/>
      </c>
    </row>
    <row r="24">
      <c r="A24" t="inlineStr">
        <is>
          <t>Klient NEDODAL český popis zboží a v podkladech (faktura, packing list, B/L, HBL, marks) není ŽÁDNÝ český text.</t>
        </is>
      </c>
    </row>
    <row r="25">
      <c r="A25" t="inlineStr">
        <is>
          <t>Ve sloupci 'Popis zboží – dle klienta' je proto ponechán původní popis klienta VERBATIM (angličtina / čínština).</t>
        </is>
      </c>
    </row>
    <row r="26">
      <c r="A26" t="inlineStr">
        <is>
          <t>Český popis ve vedlejším sloupci doplnil Maurice Ward pro potřeby JSD – NENÍ to popis klienta. Doporučuji si ho nechat od klienta potvrdit.</t>
        </is>
      </c>
    </row>
    <row r="27"/>
    <row r="28">
      <c r="A28" s="18">
        <f>== CBAM ===</f>
        <v/>
      </c>
    </row>
    <row r="29">
      <c r="A29" t="inlineStr">
        <is>
          <t>CBAM SE NEAPLIKUJE. KN 8473 30 80 není uvedeno v příloze I nařízení (EU) 2023/956 – CBAM se týká železa a oceli, hliníku, cementu, hnojiv, elektřiny a vodíku, nikoli částí ADP strojů.</t>
        </is>
      </c>
    </row>
    <row r="30">
      <c r="A30" t="inlineStr">
        <is>
          <t>⚠️ Příjemce FOXCONN CZ s.r.o. (EORI CZ25938002) NENÍ v registru reference/CBAM_receivers_CZ.xlsx (list List1, 100 záznamů) – ani podle názvu firmy, ani podle EORI. Nenašel jsem ani JUSDA EUROPE s.r.o.</t>
        </is>
      </c>
    </row>
    <row r="31">
      <c r="A31" t="inlineStr">
        <is>
          <t>Pro tuto zásilku to nevadí (zboží není CBAM), ale doporučuji firmu prověřit a doplnit do registru pro případné budoucí zásilky s CBAM zbožím.</t>
        </is>
      </c>
    </row>
    <row r="32"/>
    <row r="33">
      <c r="A33" s="18">
        <f>== ANTIDUMPING ===</f>
        <v/>
      </c>
    </row>
    <row r="34">
      <c r="A34" t="inlineStr">
        <is>
          <t>Při zařazení do 8473 30 80 se antidumpingové clo NEUPLATŇUJE.</t>
        </is>
      </c>
    </row>
    <row r="35">
      <c r="A35" t="inlineStr">
        <is>
          <t>⚠️ RIZIKO: pokud by celní orgán chladiče přeřadil mezi výrobky z hliníku (7616 99), uplatnilo by se antidumpingové clo na hliníkové výlisky/profily z ČLR (prov. nař. (EU) 2021/546) a zboží by zároveň spadlo pod CBAM. Zařazení do 8473 30 80 je podloženo tím, že jde o části použitelné výhradně pro servery č. 8471 – doporučuji mít po ruce technickou specifikaci / prohlášení výrobce o použití.</t>
        </is>
      </c>
    </row>
    <row r="36"/>
    <row r="37">
      <c r="A37" s="18">
        <f>== PREFERENČNÍ PŮVOD / COO – KONTROLA DOKLADŮ ===</f>
        <v/>
      </c>
    </row>
    <row r="38">
      <c r="A38" t="inlineStr">
        <is>
          <t>⚠️ PREFERENČNÍ VĚTA: NENALEZENA. Prošel jsem fakturu ISZ2680656, packing list, marks, B/L HKGPRG2609004 i HBL 326081010 – žádné prohlášení o preferenčním původu.</t>
        </is>
      </c>
    </row>
    <row r="39">
      <c r="A39" t="inlineStr">
        <is>
          <t>⚠️ REX ČÍSLO: NA FAKTUŘE NENÍ. Faktura neobsahuje žádné REX číslo ani číslo celního povolení vývozce.</t>
        </is>
      </c>
    </row>
    <row r="40">
      <c r="A40" t="inlineStr">
        <is>
          <t>Původ zboží: ČÍNA (deklarováno na faktuře 'COUNTRY OF ORIGIN: CHINA', na packing listu i na obalových značkách 'MADE IN CHINA').</t>
        </is>
      </c>
    </row>
    <row r="41">
      <c r="A41" t="inlineStr">
        <is>
          <t>EU nemá s ČLR preferenční dohodu, proto by preferenční věta ani REX stejně nepřinesly zvýhodnění. Uplatňuje se sazba erga omnes = 0 % pro 8473 30 80, takže absence preferenčního dokladu NEMÁ v této zásilce dopad na clo.</t>
        </is>
      </c>
    </row>
    <row r="42"/>
    <row r="43">
      <c r="A43" s="18">
        <f>== INCOTERM ===</f>
        <v/>
      </c>
    </row>
    <row r="44">
      <c r="A44" t="inlineStr">
        <is>
          <t>Incoterm dle faktury: DDP Kutná Hora (faktura, pole 'SHIPPING TERM: DDP' + poznámka 'DDP Kutna Hora VAT# CZ682138185'). Město je uvedeno.</t>
        </is>
      </c>
    </row>
    <row r="45">
      <c r="A45" t="inlineStr">
        <is>
          <t>⚠️ NESOULAD V DOKLADECH: HBL Intermax 326081010 uvádí u zboží 'FOB HONG KONG' a 'FREIGHT COLLECT', zatímco B/L HKGPRG2609004 uvádí 'FREIGHT PREPAID'. Jde o přepravní podmínky mezi odesílatelem a dopravcem, ne o obchodní dodací doložku – pro celní účely platí DDP Kutná Hora z faktury. Doporučuji nesoulad potvrdit s odesílatelem.</t>
        </is>
      </c>
    </row>
    <row r="46">
      <c r="A46" t="inlineStr">
        <is>
          <t>⚠️ DOPAD DDP NA CELNÍ HODNOTU: fakturovaná částka 66 634,68 USD je cena DDP Kutná Hora, tj. zahrnuje dopravu až do Kutné Hory, clo i případné poplatky. Pro celní hodnotu je nutné ODEČÍST náklady vzniklé po vstupu do EU (přeprava Hamburk → Kutná Hora) a clo/daně. Potřebuji od vás/od dopravce rozpis přepravních nákladů, abych celní hodnotu upravil – bez rozpisu je v tabulce uvedena plná fakturovaná hodnota.</t>
        </is>
      </c>
    </row>
    <row r="47"/>
    <row r="48">
      <c r="A48" s="18">
        <f>== SLEVA ===</f>
        <v/>
      </c>
    </row>
    <row r="49">
      <c r="A49" t="inlineStr">
        <is>
          <t>Na faktuře NENÍ uvedena žádná obchodní sleva – proporcionální rozpuštění slevy se proto neaplikovalo. Jednotkové ceny × množství přesně odpovídají celkové částce 66 634,68 USD.</t>
        </is>
      </c>
    </row>
    <row r="50"/>
    <row r="51">
      <c r="A51" s="18">
        <f>== HMOTNOSTI – OVĚŘENÍ ===</f>
        <v/>
      </c>
    </row>
    <row r="52">
      <c r="A52" t="inlineStr">
        <is>
          <t>Čistá hmotnost 1 139,196 kg = 269,28 + 309,456 + 403,38 + 157,08 – souhlasí se součtem v packing listu.</t>
        </is>
      </c>
    </row>
    <row r="53">
      <c r="A53" t="inlineStr">
        <is>
          <t>Hrubá hmotnost položek 1 405,44 kg = 309,60 + 406,56 + 508,68 + 180,60. Palety 115,00 kg. Celkem 1 520,44 kg – souhlasí s B/L i HBL.</t>
        </is>
      </c>
    </row>
    <row r="54">
      <c r="A54" t="inlineStr">
        <is>
          <t>Množství 2 236 ks (760 + 504 + 972) – souhlasí s fakturou i packing listem.</t>
        </is>
      </c>
    </row>
    <row r="55">
      <c r="A55" t="inlineStr">
        <is>
          <t>Protože celá zásilka spadá pod jeden HS kód a jednoho odesílatele, je v souhrnu jeden řádek. Rozpad na položky je na listu 'Položky faktury'.</t>
        </is>
      </c>
    </row>
    <row r="56"/>
    <row r="57">
      <c r="A57" s="18">
        <f>== ⚠️ OTEVŘENÉ OTÁZKY PRO KLIENTA ===</f>
        <v/>
      </c>
    </row>
    <row r="58">
      <c r="A58" t="inlineStr">
        <is>
          <t>1) Český popis zboží – klient žádný nedodal. Potvrdit navržený český popis, nebo dodat vlastní.</t>
        </is>
      </c>
    </row>
    <row r="59">
      <c r="A59" t="inlineStr">
        <is>
          <t>2) DDP – rozpis přepravních nákladů po vstupu do EU (Hamburk → Kutná Hora) pro úpravu celní hodnoty.</t>
        </is>
      </c>
    </row>
    <row r="60">
      <c r="A60" t="inlineStr">
        <is>
          <t>3) Materiál chladičů (hliník / měď / heat-pipe) – pro obhájení zařazení 8473 30 80 vs. 7616 99 (antidumping + CBAM).</t>
        </is>
      </c>
    </row>
    <row r="61">
      <c r="A61" t="inlineStr">
        <is>
          <t>4) Název klienta a číslo zásilky pro pojmenování souboru – použil jsem Foxconn_CZ / ISZ2680656 (č. faktury). Dejte vědět, pokud používáte jiné označení.</t>
        </is>
      </c>
    </row>
    <row r="62">
      <c r="A62" t="inlineStr">
        <is>
          <t>5) Nesoulad DDP (faktura) × FOB Hong Kong / freight collect (HBL) – potvrdit s odesílatelem.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175" customWidth="1" style="19" min="1" max="1"/>
  </cols>
  <sheetData>
    <row r="1">
      <c r="A1" s="18">
        <f>== ROZPOR: e-mail MW (8414599050 / BRUSHLESS DC FAN) × doklady k faktuře ISZ2680656 (HEATSINK) ===</f>
        <v/>
      </c>
    </row>
    <row r="2">
      <c r="A2" t="inlineStr">
        <is>
          <t>E-mail Moniky Karlíkové (MW, ref. OR/Import/CZ26013469 / 585427 / HKG2026/08/14/1) uvádí zboží 'BRUSHLESS DC FAN (DC VENTILÁTOR)' a kód 8414599050.</t>
        </is>
      </c>
    </row>
    <row r="3">
      <c r="A3" s="20" t="inlineStr">
        <is>
          <t>ZÁVĚR: pro zboží na faktuře ISZ2680656 je správně 8473 30 80 00. Kód 8414 59 se na toto zboží nevztahuje. Navíc kód 8414 59 90 50 z e-mailu NEEXISTUJE.</t>
        </is>
      </c>
    </row>
    <row r="4">
      <c r="A4" t="inlineStr"/>
    </row>
    <row r="5">
      <c r="A5" s="18" t="inlineStr">
        <is>
          <t>--- 1) V dokladech není ANI JEDNA zmínka o ventilátoru ---</t>
        </is>
      </c>
    </row>
    <row r="6">
      <c r="A6" t="inlineStr">
        <is>
          <t>Prohledal jsem fakturu, packing list, list marks, B/L HKGPRG2609004 i HBL 326081010 na výrazy fan / 風扇 / 风扇 / ventilátor / blower / motor: NULA výskytů.</t>
        </is>
      </c>
    </row>
    <row r="7">
      <c r="A7" t="inlineStr">
        <is>
          <t>Popisy položek: 'HF-Heatsink-DL360Perf Gen12 w', 'HF-HEATSINK-TOWER_4U_G12_STD', 'HF-散熱片成品4200 Gen11 STD'. 散熱片 = chladicí žebro / chladič (heatsink), nikoli 風扇 (ventilátor).</t>
        </is>
      </c>
    </row>
    <row r="8">
      <c r="A8" t="inlineStr">
        <is>
          <t>Faktura je nadepsána 'PARTS OF COMPUTER USED ONLY'. Odesílatel na obou konosamentech deklaruje 'HEATSINK' a 'HS CODE: 847330'.</t>
        </is>
      </c>
    </row>
    <row r="9">
      <c r="A9" t="inlineStr"/>
    </row>
    <row r="10">
      <c r="A10" s="18" t="inlineStr">
        <is>
          <t>--- 2) Hmotnost na kus vylučuje ventilátor ---</t>
        </is>
      </c>
    </row>
    <row r="11">
      <c r="A11" t="inlineStr">
        <is>
          <t>P70603-001: 11,220 kg / 20 ks = 0,561 kg/ks</t>
        </is>
      </c>
    </row>
    <row r="12">
      <c r="A12" t="inlineStr">
        <is>
          <t>P70874-001: 7,368 kg / 12 ks = 0,614 kg/ks</t>
        </is>
      </c>
    </row>
    <row r="13">
      <c r="A13" t="inlineStr">
        <is>
          <t>P51839-001: 7,470 kg / 18 ks = 0,415 kg/ks</t>
        </is>
      </c>
    </row>
    <row r="14">
      <c r="A14" t="inlineStr">
        <is>
          <t>Serverový brushless DC ventilátor (40–80 mm) váží cca 0,05–0,20 kg/ks. Hmotnosti 0,42–0,61 kg/ks odpovídají kovovému chladiči (hliník/měď, příp. s heat-pipe), ne ventilátoru.</t>
        </is>
      </c>
    </row>
    <row r="15">
      <c r="A15" t="inlineStr"/>
    </row>
    <row r="16">
      <c r="A16" s="18" t="inlineStr">
        <is>
          <t>--- 3) Proč by u SKUTEČNÝCH ventilátorů 8473 správně NEBYLO ---</t>
        </is>
      </c>
    </row>
    <row r="17">
      <c r="A17" t="inlineStr">
        <is>
          <t>Pozn. 2 písm. a) ke třídě XVI má přednost před pozn. 2 písm. b): části, které jsou samy zbožím uvedeným v některém čísle kap. 84/85, se zařazují do svého vlastního čísla.</t>
        </is>
      </c>
    </row>
    <row r="18">
      <c r="A18" t="inlineStr">
        <is>
          <t>Ventilátor s vlastním motorem je zbožím čísla 8414, proto by patřil do 8414 59 i při použití výhradně v serveru – do 8473 30 by NEŠEL. Rozlišení je tedy věcné, ne formální.</t>
        </is>
      </c>
    </row>
    <row r="19">
      <c r="A19" t="inlineStr">
        <is>
          <t>Pasivní chladič naproti tomu vlastní číslo nemá → pozn. 2 písm. b) → 8473 30 80 (jiné než elektronické sestavy).</t>
        </is>
      </c>
    </row>
    <row r="20">
      <c r="A20" t="inlineStr"/>
    </row>
    <row r="21">
      <c r="A21" s="18" t="inlineStr">
        <is>
          <t>--- 4) Kód 8414 59 90 50 z e-mailu je neplatný ---</t>
        </is>
      </c>
    </row>
    <row r="22">
      <c r="A22" t="inlineStr">
        <is>
          <t>CN 8414 59 90 byl sloučen do 8414 59 80 už v roce 2006; 8414 59 80 bylo později rozděleno. Platná struktura 2026: 8414 59 15 / 25 / 35 / 95.</t>
        </is>
      </c>
    </row>
    <row r="23">
      <c r="A23" t="inlineStr">
        <is>
          <t>8414 59 15 00 – ventilátory používané výhradně nebo hlavně k chlazení mikroprocesorů, telekomunikačních zařízení nebo zařízení pro automatizované zpracování dat – clo 0 %.</t>
        </is>
      </c>
    </row>
    <row r="24">
      <c r="A24" t="inlineStr">
        <is>
          <t>8414 59 25 axiální / 8414 59 35 radiální / 8414 59 95 ostatní – clo 2,3 %.</t>
        </is>
      </c>
    </row>
    <row r="25">
      <c r="A25" t="inlineStr">
        <is>
          <t>Kdyby tedy skutečně šlo o serverové DC ventilátory, správný kód je 8414 59 15 00 (0 %), NIKOLI 8414 59 90 50 ani 8414 59 95 (2,3 %).</t>
        </is>
      </c>
    </row>
    <row r="26">
      <c r="A26" t="inlineStr"/>
    </row>
    <row r="27">
      <c r="A27" s="18" t="inlineStr">
        <is>
          <t>--- 5) Dopad na clo ---</t>
        </is>
      </c>
    </row>
    <row r="28">
      <c r="A28" t="inlineStr">
        <is>
          <t>8473 30 80 00 = 0 % i 8414 59 15 00 = 0 % → mezi těmito dvěma kódy není rozdíl ve vyměřeném clu.</t>
        </is>
      </c>
    </row>
    <row r="29">
      <c r="A29" t="inlineStr">
        <is>
          <t>Pozor ale na 8414 59 95 (2,3 %): z hodnoty 66 634,68 USD by to bylo cca 1 533 USD cla navíc. Chybný kód z e-mailu proto neopisovat.</t>
        </is>
      </c>
    </row>
    <row r="30">
      <c r="A30" t="inlineStr"/>
    </row>
    <row r="31">
      <c r="A31" s="18" t="inlineStr">
        <is>
          <t>--- 6) ⚠️ JEDINÁ OTEVŘENÁ VĚC: useknutý popis u P70603-001 ---</t>
        </is>
      </c>
    </row>
    <row r="32">
      <c r="A32" t="inlineStr">
        <is>
          <t>Popis 'HF-Heatsink-DL360Perf Gen12 w' je v systému odesílatele useknutý na 29 znaků a končí na 'w' – může jít o 'w/ fan' (chladič s ventilátorem) i o něco jiného.</t>
        </is>
      </c>
    </row>
    <row r="33">
      <c r="A33" t="inlineStr">
        <is>
          <t>Pokud by šlo o sestavu chladič + ventilátor, zařazení by se řešilo dle VPV 3 b) podle podstatného charakteru a mohlo by spadnout do 8414 59 15 00 (rovněž 0 %).</t>
        </is>
      </c>
    </row>
    <row r="34">
      <c r="A34" t="inlineStr">
        <is>
          <t>Hmotnost 0,561 kg/ks a označení 'Perf' nicméně odpovídají pasivnímu výkonnostnímu chladiči pro 1U server (ventilátory šasi DL360 se dodávají jako samostatné díly).</t>
        </is>
      </c>
    </row>
    <row r="35">
      <c r="A35" t="inlineStr">
        <is>
          <t>→ Vyžádat od AVC plný nezkrácený popis P70603-001. Do té doby ponechávám 8473 30 80 00.</t>
        </is>
      </c>
    </row>
    <row r="36">
      <c r="A36" t="inlineStr"/>
    </row>
    <row r="37">
      <c r="A37" s="18" t="inlineStr">
        <is>
          <t>--- 7) ⚠️ Jde vůbec o tutéž zásilku? ---</t>
        </is>
      </c>
    </row>
    <row r="38">
      <c r="A38" t="inlineStr">
        <is>
          <t>E-mail neuvádí číslo faktury ani B/L, takže vazbu na ISZ2680656 nelze z něj ověřit. Shoduje se příjemce (JUSDA Europe, Kutná Hora), původ HKG a datum 2026/08/14 (faktura 13-Aug-26).</t>
        </is>
      </c>
    </row>
    <row r="39">
      <c r="A39" t="inlineStr">
        <is>
          <t>Monika Karlíková je zároveň kontaktem MW uvedeným na HBL 326081010 – stejný agent.</t>
        </is>
      </c>
    </row>
    <row r="40">
      <c r="A40" t="inlineStr">
        <is>
          <t>NESEDÍ ale termín: 'Přijede na A1 Uhříněves cca 17/06' – naše zboží bylo naloženo on board až 29-Aug-2026, takže 17/06 nemůže platit.</t>
        </is>
      </c>
    </row>
    <row r="41">
      <c r="A41" t="inlineStr">
        <is>
          <t>Kontejner je CFS/CFS (LCL konsolidace) a AVC vyrábí chladiče i ventilátory – e-mail se tedy patrně týká JINÉ zásilky AVC pro stejného příjemce.</t>
        </is>
      </c>
    </row>
    <row r="42">
      <c r="A42" t="inlineStr">
        <is>
          <t>→ Vyžádat od Moniky K. potvrzení, k jaké faktuře se ref. 585427 / CZ26013469 váže.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2026-09-21T09:54:36Z</dcterms:created>
  <dcterms:modified xsi:type="dcterms:W3CDTF">2026-09-21T11:26:59Z</dcterms:modified>
</cp:coreProperties>
</file>