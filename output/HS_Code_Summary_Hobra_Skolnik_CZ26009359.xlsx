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pivotButton="0" quotePrefix="0" xfId="0"/>
    <xf numFmtId="164" fontId="2" fillId="4" borderId="1" pivotButton="0" quotePrefix="0" xfId="0"/>
    <xf numFmtId="4" fontId="2" fillId="4" borderId="1" pivotButton="0" quotePrefix="0" xfId="0"/>
    <xf numFmtId="0" fontId="3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  <col width="30" customWidth="1" min="4" max="4"/>
    <col width="9" customWidth="1" min="5" max="5"/>
    <col width="18" customWidth="1" min="6" max="6"/>
    <col width="14" customWidth="1" min="7" max="7"/>
    <col width="14" customWidth="1" min="8" max="8"/>
    <col width="16" customWidth="1" min="9" max="9"/>
    <col width="12" customWidth="1" min="10" max="10"/>
    <col width="17" customWidth="1" min="11" max="11"/>
    <col width="14" customWidth="1" min="12" max="12"/>
    <col width="20" customWidth="1" min="13" max="13"/>
    <col width="22" customWidth="1" min="14" max="14"/>
    <col width="40" customWidth="1" min="15" max="15"/>
  </cols>
  <sheetData>
    <row r="1" ht="46" customHeight="1">
      <c r="A1" s="1" t="inlineStr">
        <is>
          <t>Odesílatel (sender)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Popis zboží (EN)</t>
        </is>
      </c>
      <c r="E1" s="1" t="inlineStr">
        <is>
          <t>Země původu (COO)</t>
        </is>
      </c>
      <c r="F1" s="1" t="inlineStr">
        <is>
          <t>Množství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Fakturovaná hodnota USD (FOB)</t>
        </is>
      </c>
      <c r="J1" s="1" t="inlineStr">
        <is>
          <t>Přepravné USD</t>
        </is>
      </c>
      <c r="K1" s="1" t="inlineStr">
        <is>
          <t>Celní hodnota USD (CIF báze)</t>
        </is>
      </c>
      <c r="L1" s="1" t="inlineStr">
        <is>
          <t>Incoterm</t>
        </is>
      </c>
      <c r="M1" s="1" t="inlineStr">
        <is>
          <t>CBAM</t>
        </is>
      </c>
      <c r="N1" s="1" t="inlineStr">
        <is>
          <t>Antidumping</t>
        </is>
      </c>
      <c r="O1" s="1" t="inlineStr">
        <is>
          <t>Poznámka</t>
        </is>
      </c>
    </row>
    <row r="2" ht="78" customHeight="1">
      <c r="A2" s="2" t="inlineStr">
        <is>
          <t>LUYANG UNIFRAX TRADING COMPANY LIMITED, Zibo, Shandong, CN</t>
        </is>
      </c>
      <c r="B2" s="2" t="inlineStr">
        <is>
          <t>6806 10 00</t>
        </is>
      </c>
      <c r="C2" s="2" t="inlineStr">
        <is>
          <t>Keramické vlákno LYTX 221 (6-8 mm) – volně ložené keramické vlákno pro výrobu izolací</t>
        </is>
      </c>
      <c r="D2" s="2" t="inlineStr">
        <is>
          <t>Ceramic Fiber Blowing Bulk (LYTX-221)</t>
        </is>
      </c>
      <c r="E2" s="2" t="inlineStr">
        <is>
          <t>CN</t>
        </is>
      </c>
      <c r="F2" s="2" t="inlineStr">
        <is>
          <t>650 BAGS (20 kg/bag)</t>
        </is>
      </c>
      <c r="G2" s="3" t="n">
        <v>13000</v>
      </c>
      <c r="H2" s="3" t="n">
        <v>13650</v>
      </c>
      <c r="I2" s="4" t="n">
        <v>12350</v>
      </c>
      <c r="J2" s="4" t="n">
        <v>6890</v>
      </c>
      <c r="K2" s="4" t="n">
        <v>19240</v>
      </c>
      <c r="L2" s="2" t="inlineStr">
        <is>
          <t>FOB Qingdao</t>
        </is>
      </c>
      <c r="M2" s="5" t="inlineStr">
        <is>
          <t>NE – mimo přílohu I CBAM</t>
        </is>
      </c>
      <c r="N2" s="2" t="inlineStr">
        <is>
          <t>Neaplikováno – ověřit v TARIC</t>
        </is>
      </c>
      <c r="O2" s="2" t="inlineStr">
        <is>
          <t>Bez slevy. Celní hodnota = FOB 12 350 + přepravné 6 890 USD.</t>
        </is>
      </c>
    </row>
    <row r="3">
      <c r="A3" s="6" t="inlineStr">
        <is>
          <t>CELKEM</t>
        </is>
      </c>
      <c r="B3" s="6" t="inlineStr"/>
      <c r="C3" s="6" t="inlineStr"/>
      <c r="D3" s="6" t="inlineStr"/>
      <c r="E3" s="6" t="inlineStr"/>
      <c r="F3" s="6" t="inlineStr">
        <is>
          <t>650 BAGS</t>
        </is>
      </c>
      <c r="G3" s="7" t="n">
        <v>13000</v>
      </c>
      <c r="H3" s="7" t="n">
        <v>13650</v>
      </c>
      <c r="I3" s="8" t="n">
        <v>12350</v>
      </c>
      <c r="J3" s="8" t="n">
        <v>6890</v>
      </c>
      <c r="K3" s="8" t="n">
        <v>19240</v>
      </c>
      <c r="L3" s="6" t="inlineStr"/>
      <c r="M3" s="6" t="inlineStr"/>
      <c r="N3" s="6" t="inlineStr"/>
      <c r="O3" s="6" t="inlineStr"/>
    </row>
    <row r="5">
      <c r="A5" s="9" t="inlineStr">
        <is>
          <t>KRITICKÉ UPOZORNĚNÍ</t>
        </is>
      </c>
    </row>
    <row r="6">
      <c r="A6" s="10" t="inlineStr">
        <is>
          <t>🔴 PREFERENČNÍ VĚTA – NENÍ v dokladech</t>
        </is>
      </c>
    </row>
    <row r="7">
      <c r="A7" t="inlineStr">
        <is>
          <t xml:space="preserve">   Na faktuře je pouze prosté prohlášení o původu: „We hereby certify that materials are origin</t>
        </is>
      </c>
    </row>
    <row r="8">
      <c r="A8" t="inlineStr">
        <is>
          <t xml:space="preserve">   of china and the invoice is true and correct.“ – to NENÍ preferenční věta (chybí číslo celního</t>
        </is>
      </c>
    </row>
    <row r="9">
      <c r="A9" t="inlineStr">
        <is>
          <t xml:space="preserve">   povolení vývozce i formulace o preferenčním původu).</t>
        </is>
      </c>
    </row>
    <row r="10">
      <c r="A10" t="inlineStr">
        <is>
          <t xml:space="preserve">   ČLR nemá s EU preferenční dohodu → preferenční sazební zacházení NELZE uplatnit.</t>
        </is>
      </c>
    </row>
    <row r="11">
      <c r="A11" t="inlineStr">
        <is>
          <t xml:space="preserve">   → Uplatní se běžné clo erga omnes pro třetí země.</t>
        </is>
      </c>
    </row>
    <row r="12">
      <c r="A12" t="inlineStr"/>
    </row>
    <row r="13">
      <c r="A13" s="10" t="inlineStr">
        <is>
          <t>🔴 CBAM – příjemce NENÍ v registru reference/CBAM_receivers_CZ.xlsx</t>
        </is>
      </c>
    </row>
    <row r="14">
      <c r="A14" t="inlineStr">
        <is>
          <t xml:space="preserve">   HOBRA – ŠKOLNÍK s.r.o. (IČ 08747016 / CZ08747016) nebyl v souboru nalezen –</t>
        </is>
      </c>
    </row>
    <row r="15">
      <c r="A15" t="inlineStr">
        <is>
          <t xml:space="preserve">   ani podle sloupce „Firma“, ani podle EORI. Nedohaduji status, prosím ověřit a doplnit do registru.</t>
        </is>
      </c>
    </row>
    <row r="16">
      <c r="A16" t="inlineStr">
        <is>
          <t xml:space="preserve">   Pro TUTO zásilku to ale nemá dopad: HS 6806 10 00 (minerální/keramická vlákna) NENÍ</t>
        </is>
      </c>
    </row>
    <row r="17">
      <c r="A17" t="inlineStr">
        <is>
          <t xml:space="preserve">   na příloze I nařízení CBAM (cement, železo/ocel, hliník, hnojiva, elektřina, vodík).</t>
        </is>
      </c>
    </row>
    <row r="18">
      <c r="A18" t="inlineStr">
        <is>
          <t xml:space="preserve">   → CBAM se na tuto zásilku NEVZTAHUJE, kód Y se neuvádí.</t>
        </is>
      </c>
    </row>
    <row r="19">
      <c r="A19" t="inlineStr"/>
    </row>
    <row r="20">
      <c r="A20" s="11" t="inlineStr">
        <is>
          <t>🟡 CELNÍ HODNOTA – přepravné se musí přičíst k FOB</t>
        </is>
      </c>
    </row>
    <row r="21">
      <c r="A21" t="inlineStr">
        <is>
          <t xml:space="preserve">   Incoterm FOB Qingdao → cena 12 350 USD nezahrnuje přepravu. Celní hodnota v EU se tvoří</t>
        </is>
      </c>
    </row>
    <row r="22">
      <c r="A22" t="inlineStr">
        <is>
          <t xml:space="preserve">   na bázi CIF k místu vstupu do celního území EU.</t>
        </is>
      </c>
    </row>
    <row r="23">
      <c r="A23" t="inlineStr">
        <is>
          <t xml:space="preserve">   FOB 12 350 USD + přepravné 6 890 USD = 19 240 USD (konzervativní báze, celé přepravné).</t>
        </is>
      </c>
    </row>
    <row r="24">
      <c r="A24" t="inlineStr">
        <is>
          <t xml:space="preserve">   POZOR: vstup do EU je Gdaňsk (PL), odtud železnicí do ČR. Náklady vzniklé PO vstupu do EU</t>
        </is>
      </c>
    </row>
    <row r="25">
      <c r="A25" t="inlineStr">
        <is>
          <t xml:space="preserve">   (úsek Gdaňsk → Mělník/Paskov/Ostrava) lze z celní hodnoty odečíst, pokud je dopravce</t>
        </is>
      </c>
    </row>
    <row r="26">
      <c r="A26" t="inlineStr">
        <is>
          <t xml:space="preserve">   vyčíslí zvlášť. → Vyžádat od ECL rozpad přepravného na úsek do Gdaňsku a po Gdaňsku.</t>
        </is>
      </c>
    </row>
    <row r="27">
      <c r="A27" t="inlineStr">
        <is>
          <t xml:space="preserve">   Pojistné v dokladech uvedeno není – pokud bylo sjednáno, je nutné je do hodnoty zahrnout.</t>
        </is>
      </c>
    </row>
    <row r="28">
      <c r="A28" t="inlineStr"/>
    </row>
    <row r="29">
      <c r="A29" s="9" t="inlineStr">
        <is>
          <t>LEGENDA</t>
        </is>
      </c>
    </row>
    <row r="30">
      <c r="A30" s="12" t="inlineStr">
        <is>
          <t>🔴 ČERVENÁ – kritické, nutný zásah před podáním celního prohlášení</t>
        </is>
      </c>
    </row>
    <row r="31">
      <c r="A31" s="13" t="inlineStr">
        <is>
          <t>🟡 ORANŽOVÁ – nutné ověření / doplnění podkladu</t>
        </is>
      </c>
    </row>
    <row r="32">
      <c r="A32" s="14" t="inlineStr">
        <is>
          <t>🟢 ZELENÁ – ověřeno, bez dopadu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>
        <f>== ZÁSILKA ===</f>
        <v/>
      </c>
    </row>
    <row r="2">
      <c r="A2" t="inlineStr">
        <is>
          <t>Job: CZ26009359 / KLI20260609001 – Doprava Čína (import, nové)</t>
        </is>
      </c>
    </row>
    <row r="3">
      <c r="A3" t="inlineStr">
        <is>
          <t>Klient / příjemce (CZ): HOBRA – ŠKOLNÍK s.r.o., Smetanova ul., Broumov CZ-550 01</t>
        </is>
      </c>
    </row>
    <row r="4">
      <c r="A4" t="inlineStr">
        <is>
          <t xml:space="preserve">   IČ 08747016, DIČ CZ08747016, tel. 420/491 580 111</t>
        </is>
      </c>
    </row>
    <row r="5">
      <c r="A5" t="inlineStr">
        <is>
          <t>Odesílatel: LUYANG UNIFRAX TRADING COMPANY LIMITED, No.11 Yihe Road, Yiyuan County,</t>
        </is>
      </c>
    </row>
    <row r="6">
      <c r="A6" t="inlineStr">
        <is>
          <t xml:space="preserve">   Zibo, Shandong, China 256120</t>
        </is>
      </c>
    </row>
    <row r="7">
      <c r="A7" t="inlineStr">
        <is>
          <t>Faktura / packing list: SD2606003-HSK ze dne 22.6.2026, P/O SU-224/2026</t>
        </is>
      </c>
    </row>
    <row r="8">
      <c r="A8" t="inlineStr">
        <is>
          <t>B/L: DK26061280CNTSTCZMNKFD, kontejner MRKU4379350, 1x40HQ, plomba ML-CN7649947</t>
        </is>
      </c>
    </row>
    <row r="9">
      <c r="A9" t="inlineStr">
        <is>
          <t>Plavidlo: MARSEILLE MAERSK / 627W, shipped on board 5.7.2026 (Shenzhen)</t>
        </is>
      </c>
    </row>
    <row r="10">
      <c r="A10" t="inlineStr">
        <is>
          <t>Trasa: Qingdao (CN) → Gdaňsk (PL), ETA 29.8. → terminál v ČR (Mělník / Paskov / Ostrava – zatím</t>
        </is>
      </c>
    </row>
    <row r="11">
      <c r="A11" t="inlineStr">
        <is>
          <t xml:space="preserve">   nepotvrzeno, ECL doplní) → konečné místo dodání Broumov</t>
        </is>
      </c>
    </row>
    <row r="12">
      <c r="A12" t="inlineStr">
        <is>
          <t>Platební podmínky zboží: 100 % T/T předem. Přeprava: FREIGHT COLLECT.</t>
        </is>
      </c>
    </row>
    <row r="13">
      <c r="A13" t="inlineStr">
        <is>
          <t>Notify: SAME AS CONSIGNEE. Zástupce: MAURICE WARD &amp; CO., s.r.o., Nad Kovárnou 185, Kněževes</t>
        </is>
      </c>
    </row>
    <row r="14">
      <c r="A14" t="inlineStr"/>
    </row>
    <row r="15">
      <c r="A15" s="9">
        <f>== ZBOŽÍ ===</f>
        <v/>
      </c>
    </row>
    <row r="16">
      <c r="A16" t="inlineStr">
        <is>
          <t>HS kód: 6806 10 00 (dle e-mailu ECL i B/L; TARIC 6806 1000 00)</t>
        </is>
      </c>
    </row>
    <row r="17">
      <c r="A17" t="inlineStr">
        <is>
          <t>Popis CZ: Keramické vlákno LYTX 221 (6-8 mm) – keramické vlákno pro výrobu izolací</t>
        </is>
      </c>
    </row>
    <row r="18">
      <c r="A18" t="inlineStr">
        <is>
          <t>Popis EN: Ceramic Fiber Blowing Bulk (LYTX-221)</t>
        </is>
      </c>
    </row>
    <row r="19">
      <c r="A19" t="inlineStr">
        <is>
          <t>Množství: 650 pytlů à 20 kg = 13 000 kg | Čistá hmotnost 13 000 kg | Hrubá hmotnost 13 650 kg</t>
        </is>
      </c>
    </row>
    <row r="20">
      <c r="A20" t="inlineStr">
        <is>
          <t>Objem: 60,0 CBM | Původ: Čína (CN)</t>
        </is>
      </c>
    </row>
    <row r="21">
      <c r="A21" t="inlineStr">
        <is>
          <t>Hodnota: USD 12 350,00 (FOB Qingdao; 13 000 kg à USD 0,95)</t>
        </is>
      </c>
    </row>
    <row r="22">
      <c r="A22" t="inlineStr">
        <is>
          <t>Přepravné dle e-mailu ECL: USD 6 890</t>
        </is>
      </c>
    </row>
    <row r="23">
      <c r="A23" t="inlineStr"/>
    </row>
    <row r="24">
      <c r="A24" s="15">
        <f>== KONTROLA DOKLADŮ – PREFERENČNÍ VĚTA ===</f>
        <v/>
      </c>
    </row>
    <row r="25">
      <c r="A25" t="inlineStr">
        <is>
          <t>VÝSLEDEK: preferenční věta v dokladech NENÍ.</t>
        </is>
      </c>
    </row>
    <row r="26">
      <c r="A26" t="inlineStr">
        <is>
          <t>Faktura obsahuje pouze: „We hereby certify that materials are origin of china and the invoice is</t>
        </is>
      </c>
    </row>
    <row r="27">
      <c r="A27" t="inlineStr">
        <is>
          <t>true and correct.“ – prosté potvrzení původu, nikoli preferenční prohlášení o původu.</t>
        </is>
      </c>
    </row>
    <row r="28">
      <c r="A28" t="inlineStr">
        <is>
          <t>Chybí číslo celního povolení schváleného vývozce i formulace o preferenčním původu.</t>
        </is>
      </c>
    </row>
    <row r="29">
      <c r="A29" t="inlineStr">
        <is>
          <t>ČLR nemá s EU dohodu o preferenčním sazebním zacházení, takže preferenci nelze uplatnit ani</t>
        </is>
      </c>
    </row>
    <row r="30">
      <c r="A30" t="inlineStr">
        <is>
          <t>při doložení jiného dokladu o původu → uplatní se běžná (erga omnes) sazba cla pro třetí země.</t>
        </is>
      </c>
    </row>
    <row r="31">
      <c r="A31" t="inlineStr">
        <is>
          <t>Sazbu pro 6806 10 00 je třeba ověřit v TARIC k datu propuštění (u této položky bývá 0 %).</t>
        </is>
      </c>
    </row>
    <row r="32">
      <c r="A32" t="inlineStr"/>
    </row>
    <row r="33">
      <c r="A33" s="15">
        <f>== CBAM ===</f>
        <v/>
      </c>
    </row>
    <row r="34">
      <c r="A34" t="inlineStr">
        <is>
          <t>1) HS 6806 10 00 není uveden v příloze I nařízení (EU) 2023/956. CBAM se na tuto zásilku</t>
        </is>
      </c>
    </row>
    <row r="35">
      <c r="A35" t="inlineStr">
        <is>
          <t xml:space="preserve">   NEVZTAHUJE – do JSD se neuvádí žádný kód Y (Y128/Y238/Y137/Y237).</t>
        </is>
      </c>
    </row>
    <row r="36">
      <c r="A36" t="inlineStr">
        <is>
          <t>2) PŘESTO UPOZORŇUJI: příjemce HOBRA – ŠKOLNÍK s.r.o. (IČ 08747016, CZ08747016) NENÍ</t>
        </is>
      </c>
    </row>
    <row r="37">
      <c r="A37" t="inlineStr">
        <is>
          <t xml:space="preserve">   v registru reference/CBAM_receivers_CZ.xlsx (list List1) – nenalezen podle sloupce „Firma“</t>
        </is>
      </c>
    </row>
    <row r="38">
      <c r="A38" t="inlineStr">
        <is>
          <t xml:space="preserve">   ani podle EORI. Status CBAM tedy nedohaduji. Doporučuji firmu prověřit a do registru doplnit,</t>
        </is>
      </c>
    </row>
    <row r="39">
      <c r="A39" t="inlineStr">
        <is>
          <t xml:space="preserve">   aby byl status k dispozici pro případnou budoucí zásilku s CBAM zbožím.</t>
        </is>
      </c>
    </row>
    <row r="40">
      <c r="A40" t="inlineStr">
        <is>
          <t>3) Firma není ani mezi společnostmi mimo EU využívajícími sdílený účet CBAM-CZ-2025-QGM67089385721.</t>
        </is>
      </c>
    </row>
    <row r="41">
      <c r="A41" t="inlineStr"/>
    </row>
    <row r="42">
      <c r="A42" s="9">
        <f>== INCOTERM ===</f>
        <v/>
      </c>
    </row>
    <row r="43">
      <c r="A43" t="inlineStr">
        <is>
          <t>FOB Qingdao – uvedeno přímo na obchodní faktuře v hlavičce sloupce Unit Price („FOB QINGDAO“).</t>
        </is>
      </c>
    </row>
    <row r="44">
      <c r="A44" t="inlineStr">
        <is>
          <t>Konzistentní s B/L: FREIGHT COLLECT (přepravu hradí příjemce).</t>
        </is>
      </c>
    </row>
    <row r="45">
      <c r="A45" t="inlineStr"/>
    </row>
    <row r="46">
      <c r="A46" s="16">
        <f>== CELNÍ HODNOTA ===</f>
        <v/>
      </c>
    </row>
    <row r="47">
      <c r="A47" t="inlineStr">
        <is>
          <t>FOB Qingdao                                   USD 12 350,00</t>
        </is>
      </c>
    </row>
    <row r="48">
      <c r="A48" t="inlineStr">
        <is>
          <t>+ přepravné (dle e-mailu ECL)                 USD  6 890,00</t>
        </is>
      </c>
    </row>
    <row r="49">
      <c r="A49">
        <f> celní hodnota (konzervativní báze)          USD 19 240,00</f>
        <v/>
      </c>
    </row>
    <row r="50">
      <c r="A50" t="inlineStr">
        <is>
          <t>Přepravné tvoří 55,8 % hodnoty zboží, dopad na clo i DPH je tedy zásadní.</t>
        </is>
      </c>
    </row>
    <row r="51">
      <c r="A51" t="inlineStr">
        <is>
          <t>Do celní hodnoty patří náklady na dopravu jen do místa vstupu do celního území EU (Gdaňsk).</t>
        </is>
      </c>
    </row>
    <row r="52">
      <c r="A52" t="inlineStr">
        <is>
          <t>Úsek Gdaňsk → ČR lze odečíst, pokud jej dopravce vyčíslí samostatně – vyžádat rozpad od ECL.</t>
        </is>
      </c>
    </row>
    <row r="53">
      <c r="A53" t="inlineStr">
        <is>
          <t>Pojistné není v dokladech uvedeno; pokud bylo sjednáno, je nutné je připočíst.</t>
        </is>
      </c>
    </row>
    <row r="54">
      <c r="A54" t="inlineStr">
        <is>
          <t>Přepočet na CZK proveďte celním kurzem platným v měsíci přijetí celního prohlášení.</t>
        </is>
      </c>
    </row>
    <row r="55">
      <c r="A55" t="inlineStr"/>
    </row>
    <row r="56">
      <c r="A56" s="9">
        <f>== OBCHODNÍ SLEVA ===</f>
        <v/>
      </c>
    </row>
    <row r="57">
      <c r="A57" t="inlineStr">
        <is>
          <t>Na fakturu se nevztahuje žádná sleva – fakturovaná částka odpovídá 13 000 kg à USD 0,95.</t>
        </is>
      </c>
    </row>
    <row r="58">
      <c r="A58" t="inlineStr">
        <is>
          <t>Proporcionální rozpuštění slevy se tedy neprovádí.</t>
        </is>
      </c>
    </row>
    <row r="59">
      <c r="A59" t="inlineStr"/>
    </row>
    <row r="60">
      <c r="A60" s="9">
        <f>== ANTIDUMPING ===</f>
        <v/>
      </c>
    </row>
    <row r="61">
      <c r="A61" t="inlineStr">
        <is>
          <t>Pro 6806 10 00 s původem v ČLR mi není známo platné antidumpingové opatření.</t>
        </is>
      </c>
    </row>
    <row r="62">
      <c r="A62" t="inlineStr">
        <is>
          <t>Doporučuji standardní ověření v TARIC k datu propuštění (opatření se mohou měnit).</t>
        </is>
      </c>
    </row>
    <row r="63">
      <c r="A63" t="inlineStr"/>
    </row>
    <row r="64">
      <c r="A64" s="9">
        <f>== KONTROLA ÚDAJŮ NAPŘÍČ DOKLADY ===</f>
        <v/>
      </c>
    </row>
    <row r="65">
      <c r="A65" t="inlineStr">
        <is>
          <t>✓ Hrubá hmotnost 13 650 kg – shoda B/L × packing list</t>
        </is>
      </c>
    </row>
    <row r="66">
      <c r="A66" t="inlineStr">
        <is>
          <t>✓ Počet kusů 650 pytlů – shoda B/L × packing list</t>
        </is>
      </c>
    </row>
    <row r="67">
      <c r="A67" t="inlineStr">
        <is>
          <t>✓ Objem 60,0 CBM – shoda B/L × packing list</t>
        </is>
      </c>
    </row>
    <row r="68">
      <c r="A68" t="inlineStr">
        <is>
          <t>✓ Čistá hmotnost 13 000 kg = 650 × 20 kg – shoda s fakturovaným množstvím</t>
        </is>
      </c>
    </row>
    <row r="69">
      <c r="A69" t="inlineStr">
        <is>
          <t>✓ Hodnota 13 000 kg × USD 0,95 = USD 12 350,00 – souhlasí s celkem na faktuře</t>
        </is>
      </c>
    </row>
    <row r="70">
      <c r="A70" t="inlineStr">
        <is>
          <t>! Faktura i packing list uvádějí „Port of Discharge: MELNIK, CZECH REPUBLIC“, což není námořní</t>
        </is>
      </c>
    </row>
    <row r="71">
      <c r="A71" t="inlineStr">
        <is>
          <t xml:space="preserve">  přístav – skutečné vykládací místo je Gdaňsk (PL), Mělník je místo dodání. Formálně nevadí,</t>
        </is>
      </c>
    </row>
    <row r="72">
      <c r="A72" t="inlineStr">
        <is>
          <t xml:space="preserve">  ale při vyměření je nutné vycházet ze vstupu do EU v Gdaňsku.</t>
        </is>
      </c>
    </row>
    <row r="73">
      <c r="A73" t="inlineStr">
        <is>
          <t>! Terminál v ČR zatím nepotvrzen (Mělník / Paskov / Ostrava) – určí, kde bude zásilka odbavena.</t>
        </is>
      </c>
    </row>
    <row r="74">
      <c r="A74" t="inlineStr">
        <is>
          <t xml:space="preserve">  ECL (A. Nedvídková) doplní.</t>
        </is>
      </c>
    </row>
    <row r="75">
      <c r="A75" t="inlineStr"/>
    </row>
    <row r="76">
      <c r="A76" s="9">
        <f>== OSTATNÍ / K OVĚŘENÍ ===</f>
        <v/>
      </c>
    </row>
    <row r="77">
      <c r="A77" t="inlineStr">
        <is>
          <t>Žáruvzdorná keramická vlákna (aluminosilikátová) jsou dle CLP klasifikována jako karcinogen</t>
        </is>
      </c>
    </row>
    <row r="78">
      <c r="A78" t="inlineStr">
        <is>
          <t>kat. 1B a jsou na seznamu látek SVHC dle REACH. Doporučuji ověřit, že má příjemce k dispozici</t>
        </is>
      </c>
    </row>
    <row r="79">
      <c r="A79" t="inlineStr">
        <is>
          <t>bezpečnostní list a plní informační povinnosti – nejde o celní překážku, ale o dovozní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2026-08-13T15:09:12Z</dcterms:created>
  <dcterms:modified xsi:type="dcterms:W3CDTF">2026-08-13T15:09:12Z</dcterms:modified>
</cp:coreProperties>
</file>