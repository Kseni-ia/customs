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8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FF9B9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2" fillId="5" borderId="1" pivotButton="0" quotePrefix="0" xfId="0"/>
    <xf numFmtId="3" fontId="2" fillId="5" borderId="1" pivotButton="0" quotePrefix="0" xfId="0"/>
    <xf numFmtId="4" fontId="2" fillId="5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58" customWidth="1" min="3" max="3"/>
    <col width="18" customWidth="1" min="4" max="4"/>
    <col width="10" customWidth="1" min="5" max="5"/>
    <col width="13" customWidth="1" min="6" max="6"/>
    <col width="15" customWidth="1" min="7" max="7"/>
    <col width="15" customWidth="1" min="8" max="8"/>
    <col width="18" customWidth="1" min="9" max="9"/>
    <col width="13" customWidth="1" min="10" max="10"/>
    <col width="12" customWidth="1" min="11" max="11"/>
    <col width="14" customWidth="1" min="12" max="12"/>
    <col width="74" customWidth="1" min="13" max="13"/>
  </cols>
  <sheetData>
    <row r="1" ht="42" customHeight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Ontime kód</t>
        </is>
      </c>
      <c r="E1" s="1" t="inlineStr">
        <is>
          <t>Země původu (COO)</t>
        </is>
      </c>
      <c r="F1" s="1" t="inlineStr">
        <is>
          <t>Množství (ks)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Hrubá hm. vč. palet (kg)</t>
        </is>
      </c>
      <c r="J1" s="1" t="inlineStr">
        <is>
          <t>Hodnota EUR</t>
        </is>
      </c>
      <c r="K1" s="1" t="inlineStr">
        <is>
          <t>Incoterm</t>
        </is>
      </c>
      <c r="L1" s="1" t="inlineStr">
        <is>
          <t>Příznak</t>
        </is>
      </c>
      <c r="M1" s="1" t="inlineStr">
        <is>
          <t>TARIC / poznámka / CBAM / Antidumping</t>
        </is>
      </c>
    </row>
    <row r="2">
      <c r="A2" s="2" t="inlineStr">
        <is>
          <t>HANGZHOU ONTIME I.T. CO., LTD., Hangzhou, CN</t>
        </is>
      </c>
      <c r="B2" s="2" t="inlineStr">
        <is>
          <t>8531 90 00 00</t>
        </is>
      </c>
      <c r="C2" s="2" t="inlineStr">
        <is>
          <t>Standardní tvrdé etikety (štítky) k ochraně textilu, oděvu a příslušenství – frekvenční technologie RF / AM / RF &amp; AM a magnetický zámek. Určeno k ochraně zboží proti krádeži v obchodech.</t>
        </is>
      </c>
      <c r="D2" s="2" t="inlineStr">
        <is>
          <t>HD2094, HD2051</t>
        </is>
      </c>
      <c r="E2" s="2" t="inlineStr">
        <is>
          <t>CN</t>
        </is>
      </c>
      <c r="F2" s="3" t="n">
        <v>80000</v>
      </c>
      <c r="G2" s="4" t="n">
        <v>662</v>
      </c>
      <c r="H2" s="4" t="n">
        <v>710</v>
      </c>
      <c r="I2" s="4" t="n">
        <v>740.1420000000001</v>
      </c>
      <c r="J2" s="5" t="n">
        <v>5840</v>
      </c>
      <c r="K2" s="2" t="inlineStr">
        <is>
          <t>CFR Praha</t>
        </is>
      </c>
      <c r="L2" s="2" t="inlineStr"/>
      <c r="M2" s="2" t="inlineStr"/>
    </row>
    <row r="3">
      <c r="A3" s="2" t="inlineStr">
        <is>
          <t>HANGZHOU ONTIME I.T. CO., LTD., Hangzhou, CN</t>
        </is>
      </c>
      <c r="B3" s="2" t="inlineStr">
        <is>
          <t>8531 20 95 90</t>
        </is>
      </c>
      <c r="C3" s="2" t="inlineStr">
        <is>
          <t>LCD displej, určený pro zobrazení reklamy (23,1" stripe LCD shelf display)</t>
        </is>
      </c>
      <c r="D3" s="2" t="inlineStr">
        <is>
          <t>SR1405</t>
        </is>
      </c>
      <c r="E3" s="2" t="inlineStr">
        <is>
          <t>CN</t>
        </is>
      </c>
      <c r="F3" s="3" t="n">
        <v>1</v>
      </c>
      <c r="G3" s="4" t="n">
        <v>0.85</v>
      </c>
      <c r="H3" s="4" t="n">
        <v>1.24</v>
      </c>
      <c r="I3" s="4" t="n">
        <v>1.293</v>
      </c>
      <c r="J3" s="5" t="n">
        <v>138</v>
      </c>
      <c r="K3" s="2" t="inlineStr">
        <is>
          <t>CFR Praha</t>
        </is>
      </c>
      <c r="L3" s="2" t="inlineStr"/>
      <c r="M3" s="2" t="inlineStr">
        <is>
          <t>Doplnit ověření TARIC. Bez preferenčního původu → plné celní sazby erga omnes.</t>
        </is>
      </c>
    </row>
    <row r="4">
      <c r="A4" s="2" t="inlineStr">
        <is>
          <t>HANGZHOU ONTIME I.T. CO., LTD., Hangzhou, CN</t>
        </is>
      </c>
      <c r="B4" s="2" t="inlineStr">
        <is>
          <t>8531 20 00 00</t>
        </is>
      </c>
      <c r="C4" s="2" t="inlineStr">
        <is>
          <t>Video tag pro zobrazení údajů o zboží a přehrávání reklamy v obchodech (10,1" jednostranný + oboustranný)</t>
        </is>
      </c>
      <c r="D4" s="2" t="inlineStr">
        <is>
          <t>SRCS101, SRCS101D</t>
        </is>
      </c>
      <c r="E4" s="2" t="inlineStr">
        <is>
          <t>CN</t>
        </is>
      </c>
      <c r="F4" s="3" t="n">
        <v>2</v>
      </c>
      <c r="G4" s="4" t="n">
        <v>0.8</v>
      </c>
      <c r="H4" s="4" t="n">
        <v>0.883</v>
      </c>
      <c r="I4" s="4" t="n">
        <v>0.92</v>
      </c>
      <c r="J4" s="5" t="n">
        <v>56</v>
      </c>
      <c r="K4" s="2" t="inlineStr">
        <is>
          <t>CFR Praha</t>
        </is>
      </c>
      <c r="L4" s="2" t="inlineStr">
        <is>
          <t>HS – OVĚŘIT</t>
        </is>
      </c>
      <c r="M4" s="2" t="inlineStr">
        <is>
          <t>Seznam zákazníka uvádí 8531 20 00 00, což není platné 10místné podčíslí TARIC (853120 vyžaduje podpoložku, např. 8531 20 95 90 jako u SR1405). SRCS101D (oboustranný) není v seznamu HS kódů – přiřazeno podle SRCS101/SRCS101A.</t>
        </is>
      </c>
    </row>
    <row r="5">
      <c r="A5" s="6" t="inlineStr">
        <is>
          <t>HANGZHOU ONTIME I.T. CO., LTD., Hangzhou, CN</t>
        </is>
      </c>
      <c r="B5" s="6" t="inlineStr">
        <is>
          <t>7326 90</t>
        </is>
      </c>
      <c r="C5" s="6" t="inlineStr">
        <is>
          <t>Kovový stojan, na který se zavěsí video tag SRCS101</t>
        </is>
      </c>
      <c r="D5" s="6" t="inlineStr">
        <is>
          <t>SR8170</t>
        </is>
      </c>
      <c r="E5" s="6" t="inlineStr">
        <is>
          <t>CN</t>
        </is>
      </c>
      <c r="F5" s="7" t="n">
        <v>1</v>
      </c>
      <c r="G5" s="8" t="n">
        <v>1.68</v>
      </c>
      <c r="H5" s="8" t="n">
        <v>1.853</v>
      </c>
      <c r="I5" s="8" t="n">
        <v>1.932</v>
      </c>
      <c r="J5" s="9" t="n">
        <v>25</v>
      </c>
      <c r="K5" s="6" t="inlineStr">
        <is>
          <t>CFR Praha</t>
        </is>
      </c>
      <c r="L5" s="6" t="inlineStr">
        <is>
          <t>CBAM</t>
        </is>
      </c>
      <c r="M5" s="6" t="inlineStr">
        <is>
          <t>CBAM zboží (železo/ocel, příloha I). Příjemce V-TOP EUROPE s.r.o. = Y137 (do 50 t ročně). Doplnit 10místný TARIC (např. 7326 90 98 90). Antidumping: u obecné pol. 7326 90 z ČLR není známé opatření – ověřit v TARIC.</t>
        </is>
      </c>
    </row>
    <row r="6">
      <c r="A6" s="10" t="inlineStr">
        <is>
          <t>HANGZHOU ONTIME I.T. CO., LTD., Hangzhou, CN</t>
        </is>
      </c>
      <c r="B6" s="10" t="inlineStr">
        <is>
          <t>? – CHYBÍ</t>
        </is>
      </c>
      <c r="C6" s="10" t="inlineStr">
        <is>
          <t>Napájecí adaptér pro video tagy, 24V 2,5A</t>
        </is>
      </c>
      <c r="D6" s="10" t="inlineStr">
        <is>
          <t>SR8111</t>
        </is>
      </c>
      <c r="E6" s="10" t="inlineStr">
        <is>
          <t>CN</t>
        </is>
      </c>
      <c r="F6" s="11" t="n">
        <v>1</v>
      </c>
      <c r="G6" s="12" t="n">
        <v>0.34</v>
      </c>
      <c r="H6" s="12" t="n">
        <v>0.375</v>
      </c>
      <c r="I6" s="12" t="n">
        <v>0.391</v>
      </c>
      <c r="J6" s="13" t="n">
        <v>8</v>
      </c>
      <c r="K6" s="10" t="inlineStr">
        <is>
          <t>CFR Praha</t>
        </is>
      </c>
      <c r="L6" s="10" t="inlineStr">
        <is>
          <t>HS CHYBÍ</t>
        </is>
      </c>
      <c r="M6" s="10" t="inlineStr">
        <is>
          <t>V seznamu Hs_kody_27.8.2026.xlsx je u SR8111 uvedeno „?“. HS kód nutno doplnit před podáním JSD (adaptér 24V 2,5A – zvážit 8504 40 90).</t>
        </is>
      </c>
    </row>
    <row r="7">
      <c r="A7" s="6" t="inlineStr">
        <is>
          <t>HANGZHOU ONTIME I.T. CO., LTD., Hangzhou, CN</t>
        </is>
      </c>
      <c r="B7" s="6" t="inlineStr">
        <is>
          <t>7616 99</t>
        </is>
      </c>
      <c r="C7" s="6" t="inlineStr">
        <is>
          <t>Magnetická hliníková lišta, 0,5 m</t>
        </is>
      </c>
      <c r="D7" s="6" t="inlineStr">
        <is>
          <t>SR8100</t>
        </is>
      </c>
      <c r="E7" s="6" t="inlineStr">
        <is>
          <t>CN</t>
        </is>
      </c>
      <c r="F7" s="7" t="n">
        <v>1</v>
      </c>
      <c r="G7" s="8" t="n">
        <v>0.28</v>
      </c>
      <c r="H7" s="8" t="n">
        <v>0.309</v>
      </c>
      <c r="I7" s="8" t="n">
        <v>0.322</v>
      </c>
      <c r="J7" s="9" t="n">
        <v>2.2</v>
      </c>
      <c r="K7" s="6" t="inlineStr">
        <is>
          <t>CFR Praha</t>
        </is>
      </c>
      <c r="L7" s="6" t="inlineStr">
        <is>
          <t>CBAM + AD?</t>
        </is>
      </c>
      <c r="M7" s="6" t="inlineStr">
        <is>
          <t>CBAM zboží (hliník, příloha I). Příjemce V-TOP EUROPE s.r.o. = Y137 (do 50 t ročně). Doplnit 10místný TARIC (např. 7616 99 90 90). ANTIDUMPING – OVĚŘIT: nař. (EU) 2021/1784 (hliníkové profily z ČLR) zahrnuje ex 7616 99 10 a ex 7616 99 90. Lišta může být protlačovaný profil → ověřit v TARIC.</t>
        </is>
      </c>
    </row>
    <row r="8">
      <c r="A8" s="14" t="inlineStr">
        <is>
          <t>CELKEM</t>
        </is>
      </c>
      <c r="B8" s="14" t="n"/>
      <c r="C8" s="14" t="n"/>
      <c r="D8" s="14" t="n"/>
      <c r="E8" s="14" t="n"/>
      <c r="F8" s="15" t="n">
        <v>80006</v>
      </c>
      <c r="G8" s="16" t="n">
        <v>665.95</v>
      </c>
      <c r="H8" s="16" t="n">
        <v>714.66</v>
      </c>
      <c r="I8" s="16" t="n">
        <v>745</v>
      </c>
      <c r="J8" s="16" t="n">
        <v>6069.2</v>
      </c>
      <c r="K8" s="14" t="inlineStr">
        <is>
          <t>CFR Praha</t>
        </is>
      </c>
      <c r="L8" s="14" t="n"/>
      <c r="M8" s="14" t="n"/>
    </row>
    <row r="10">
      <c r="A10" s="17" t="inlineStr">
        <is>
          <t>Legenda:</t>
        </is>
      </c>
      <c r="B10" s="18" t="inlineStr"/>
    </row>
    <row r="11">
      <c r="A11" s="17" t="inlineStr">
        <is>
          <t>🟡 ORANŽOVÁ</t>
        </is>
      </c>
      <c r="B11" s="18" t="inlineStr">
        <is>
          <t>CBAM zboží – v JSD uvést kód Y137 (výjimka de minimis, do 50 t/rok) u příjemce V-TOP EUROPE s.r.o.</t>
        </is>
      </c>
    </row>
    <row r="12">
      <c r="A12" s="17" t="inlineStr">
        <is>
          <t>🔴 ČERVENÁ</t>
        </is>
      </c>
      <c r="B12" s="18" t="inlineStr">
        <is>
          <t>Chybějící HS kód – nutno doplnit před podáním JSD.</t>
        </is>
      </c>
    </row>
    <row r="13">
      <c r="A13" s="17" t="inlineStr">
        <is>
          <t>Klasifikace</t>
        </is>
      </c>
      <c r="B13" s="18" t="inlineStr">
        <is>
          <t>Zásilka má jediného odesílatele (Hangzhou Ontime I.T. Co., Ltd.), položky jsou proto sloučeny na unikátní HS kódy v rámci tohoto odesílatele.</t>
        </is>
      </c>
    </row>
    <row r="14">
      <c r="A14" s="17" t="inlineStr">
        <is>
          <t>Hrubá hmotnost</t>
        </is>
      </c>
      <c r="B14" s="18" t="inlineStr">
        <is>
          <t>Sloupec H = hrubá hmotnost kartonů dle packing listu (celkem 714.66 kg). Karton s příslušenstvím (1 CTN, 3,42 kg) obsahuje SRCS101, SRCS101D, SR8100, SR8170 a SR8111 – tára rozpuštěna poměrem k čisté hmotnosti (faktor 1,103226).</t>
        </is>
      </c>
    </row>
    <row r="15">
      <c r="A15" s="17" t="inlineStr">
        <is>
          <t>Hrubá hm. vč. palet</t>
        </is>
      </c>
      <c r="B15" s="18" t="inlineStr">
        <is>
          <t>Sloupec I = sloupec H + poměrný podíl táry 2 palet (30,34 kg), faktor 1.042454. Součet 745.00 kg = deklarovaná hrubá hmotnost zásilky dle PL i nákladního listu.</t>
        </is>
      </c>
    </row>
    <row r="16">
      <c r="A16" s="17" t="inlineStr">
        <is>
          <t>Sleva</t>
        </is>
      </c>
      <c r="B16" s="18" t="inlineStr">
        <is>
          <t>Na faktuře PI24200070026046B&amp;051 NENÍ uvedena žádná obchodní sleva (SUB TOTAL = TOTAL = 6 069,20 EUR). Poměrné rozpouštění slevy se neuplatní.</t>
        </is>
      </c>
    </row>
    <row r="17">
      <c r="A17" s="17" t="inlineStr">
        <is>
          <t>Incoterm</t>
        </is>
      </c>
      <c r="B17" s="18" t="inlineStr">
        <is>
          <t>CFR Praha (faktura, pole TERMS) – přeprava po železnici, FREIGHT PREPAID, CFS-CFS.</t>
        </is>
      </c>
    </row>
    <row r="18">
      <c r="A18" s="17" t="inlineStr">
        <is>
          <t>Měna</t>
        </is>
      </c>
      <c r="B18" s="18" t="inlineStr">
        <is>
          <t>EUR (faktura je vystavena v EUR).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9">
        <f>== ZÁSILKA ===</f>
        <v/>
      </c>
    </row>
    <row r="2">
      <c r="A2" t="inlineStr">
        <is>
          <t>Odesílatel:  HANGZHOU ONTIME I.T. CO., LTD., 8th Fl, Bldg 6, Realblue Center, #18 Zixuan Rd, Hangzhou 310010, ČÍNA</t>
        </is>
      </c>
    </row>
    <row r="3">
      <c r="A3" t="inlineStr">
        <is>
          <t>Příjemce (CZ): V-TOP EUROPE s.r.o., Františka Diviše 1012/64, 104 00 Praha 22 – Uhříněves</t>
        </is>
      </c>
    </row>
    <row r="4">
      <c r="A4" t="inlineStr">
        <is>
          <t>IČO: 257 95 040   |   DIČ / EORI: CZ25795040</t>
        </is>
      </c>
    </row>
    <row r="5">
      <c r="A5" t="inlineStr">
        <is>
          <t>Faktura: PI24200070026046B&amp;051, vystavena 31. 7. 2026   |   P.O. 260021   |   ship date 9. 8. 2026</t>
        </is>
      </c>
    </row>
    <row r="6">
      <c r="A6" t="inlineStr">
        <is>
          <t>Nákladní list (RWB): WPXA26B0812CZ323, Boxline UCL d.o.o. – vydáno 12. 8. 2026, Xi'an</t>
        </is>
      </c>
    </row>
    <row r="7">
      <c r="A7" t="inlineStr">
        <is>
          <t>Trasa: Xi'an → Khorgos (ČÍNA) → Praha, ČR. Železniční přeprava, kontejner CIMU2030715 / 40HC, plomba 328767.</t>
        </is>
      </c>
    </row>
    <row r="8">
      <c r="A8" t="inlineStr">
        <is>
          <t>Agent: MAURICE WARD &amp; CO. s.r.o., CTP Logistic Park, Nad Kovárnou 185, 252 68 Kněževes</t>
        </is>
      </c>
    </row>
    <row r="9">
      <c r="A9" t="inlineStr">
        <is>
          <t>Balení: 82 kartonů na 2 paletách   |   GW 745,00 kg   |   NW 665,95 kg   |   3,18 CBM</t>
        </is>
      </c>
    </row>
    <row r="10">
      <c r="A10" t="inlineStr">
        <is>
          <t>Celková fakturovaná hodnota: 6 069,20 EUR   |   Celkové množství: 80 006 ks</t>
        </is>
      </c>
    </row>
    <row r="11">
      <c r="A11" t="inlineStr"/>
    </row>
    <row r="12">
      <c r="A12" s="19">
        <f>== INCOTERM ===</f>
        <v/>
      </c>
    </row>
    <row r="13">
      <c r="A13" t="inlineStr">
        <is>
          <t>CFR PRAHA (Cost and Freight, Praha) – uvedeno na faktuře v poli TERMS; nákladní list potvrzuje FREIGHT PREPAID.</t>
        </is>
      </c>
    </row>
    <row r="14">
      <c r="A14" t="inlineStr">
        <is>
          <t>POZOR: CFR je termín pro námořní/vnitrozemskou vodní přepravu, zásilka jde po železnici. Fakticky odpovídá CPT Praha.</t>
        </is>
      </c>
    </row>
    <row r="15">
      <c r="A15" t="inlineStr">
        <is>
          <t>Doporučení: potvrdit s odesílatelem / Maurice Ward. Pro celní hodnotu je podstatné, že přeprava do Prahy je v ceně –</t>
        </is>
      </c>
    </row>
    <row r="16">
      <c r="A16" t="inlineStr">
        <is>
          <t>náklady po vstupu do EU lze od celní hodnoty odečíst pouze při doložení jejich výše.</t>
        </is>
      </c>
    </row>
    <row r="17">
      <c r="A17" t="inlineStr"/>
    </row>
    <row r="18">
      <c r="A18" s="19">
        <f>== COO / PREFERENČNÍ VĚTA – DŮLEŽITÉ ===</f>
        <v/>
      </c>
    </row>
    <row r="19">
      <c r="A19" s="20" t="inlineStr">
        <is>
          <t>!!! V DOKUMENTECH NENÍ ŽÁDNÁ PREFERENČNÍ VĚTA (prohlášení o preferenčním původu). !!!</t>
        </is>
      </c>
    </row>
    <row r="20">
      <c r="A20" t="inlineStr">
        <is>
          <t>Prověřeny: obchodní faktura (2 str.), packing list, železniční nákladní list. Nalezeno pouze „MADE IN CHINA“.</t>
        </is>
      </c>
    </row>
    <row r="21">
      <c r="A21" t="inlineStr">
        <is>
          <t>Země původu: ČÍNA (CN). EU nemá s Čínou dohodu o preferenčním obchodu – preferenční sazba tedy stejně nepřipadá v úvahu.</t>
        </is>
      </c>
    </row>
    <row r="22">
      <c r="A22" t="inlineStr">
        <is>
          <t>→ DŮSLEDEK: uplatní se plné třetizemské (erga omnes) clo u všech položek. Sazby ověřit v TARIC k datu podání JSD.</t>
        </is>
      </c>
    </row>
    <row r="23">
      <c r="A23" t="inlineStr">
        <is>
          <t>→ Pokud odesílatel dodatečně doloží jiný původ než CN, je nutné doklad o původu (např. FORM A / prohlášení) vyžádat.</t>
        </is>
      </c>
    </row>
    <row r="24">
      <c r="A24" t="inlineStr"/>
    </row>
    <row r="25">
      <c r="A25" s="19">
        <f>== CBAM – vyhledáno v reference/CBAM_receivers_CZ.xlsx (list List1) ===</f>
        <v/>
      </c>
    </row>
    <row r="26">
      <c r="A26" t="inlineStr">
        <is>
          <t>Zásilka obsahuje CBAM zboží podle přílohy I:</t>
        </is>
      </c>
    </row>
    <row r="27">
      <c r="A27" t="inlineStr">
        <is>
          <t xml:space="preserve">   • 7616 99  – magnetická hliníková lišta SR8100 – čistá hmotnost 0,28 kg (hliník)</t>
        </is>
      </c>
    </row>
    <row r="28">
      <c r="A28" t="inlineStr">
        <is>
          <t xml:space="preserve">   • 7326 90  – kovový stojan SR8170 – čistá hmotnost 1,68 kg (železo / ocel)</t>
        </is>
      </c>
    </row>
    <row r="29">
      <c r="A29" t="inlineStr">
        <is>
          <t>Celková čistá hmotnost CBAM zboží v zásilce: cca 1,96 kg – hluboko pod limitem 50 t/rok.</t>
        </is>
      </c>
    </row>
    <row r="30">
      <c r="A30" t="inlineStr"/>
    </row>
    <row r="31">
      <c r="A31" s="21" t="inlineStr">
        <is>
          <t>PŘÍJEMCE NALEZEN V REGISTRU (řádek 43):</t>
        </is>
      </c>
    </row>
    <row r="32">
      <c r="A32" t="inlineStr">
        <is>
          <t xml:space="preserve">   Firma:              V-TOP EUROPE s.r.o.</t>
        </is>
      </c>
    </row>
    <row r="33">
      <c r="A33" t="inlineStr">
        <is>
          <t xml:space="preserve">   EORI:               CZ25795040   (shoduje se s DIČ na faktuře – CZ 257 95040)</t>
        </is>
      </c>
    </row>
    <row r="34">
      <c r="A34" t="inlineStr">
        <is>
          <t xml:space="preserve">   Y KÓD:              Y137</t>
        </is>
      </c>
    </row>
    <row r="35">
      <c r="A35" t="inlineStr">
        <is>
          <t xml:space="preserve">   Status:             „do 50 t ročně“ – pod limitem de minimis</t>
        </is>
      </c>
    </row>
    <row r="36">
      <c r="A36" t="inlineStr">
        <is>
          <t xml:space="preserve">   Povolení (Y128):    není</t>
        </is>
      </c>
    </row>
    <row r="37">
      <c r="A37" t="inlineStr">
        <is>
          <t xml:space="preserve">   Podaná žádost (Y238): není</t>
        </is>
      </c>
    </row>
    <row r="38">
      <c r="A38" t="inlineStr">
        <is>
          <t xml:space="preserve">   Datum vydání:       neuvedeno</t>
        </is>
      </c>
    </row>
    <row r="39">
      <c r="A39" t="inlineStr">
        <is>
          <t xml:space="preserve">   Interní reference:  25MWCCCIM008782</t>
        </is>
      </c>
    </row>
    <row r="40">
      <c r="A40" t="inlineStr">
        <is>
          <t>→ Do JSD uvést u obou dotčených HS kódů (7616 99 a 7326 90) kód Y137.</t>
        </is>
      </c>
    </row>
    <row r="41">
      <c r="A41" t="inlineStr">
        <is>
          <t>→ Příjemce NEPATŘÍ mezi společnosti mimo EU využívající náš sdílený účet CBAM-CZ-2025-QGM67089385721.</t>
        </is>
      </c>
    </row>
    <row r="42">
      <c r="A42" t="inlineStr"/>
    </row>
    <row r="43">
      <c r="A43" s="19">
        <f>== ANTIDUMPING ===</f>
        <v/>
      </c>
    </row>
    <row r="44">
      <c r="A44" s="21" t="inlineStr">
        <is>
          <t>7616 99 (hliníková lišta SR8100) – NUTNO OVĚŘIT.</t>
        </is>
      </c>
    </row>
    <row r="45">
      <c r="A45" t="inlineStr">
        <is>
          <t>Nařízení (EU) 2021/1784 (hliníkové výlisky/profily z ČLR) zahrnuje mj. ex 7616 99 10 a ex 7616 99 90.</t>
        </is>
      </c>
    </row>
    <row r="46">
      <c r="A46" t="inlineStr">
        <is>
          <t>„Magnetická hliníková lišta 0,5 m“ může být protlačovaný profil, a tedy spadat do rozsahu opatření.</t>
        </is>
      </c>
    </row>
    <row r="47">
      <c r="A47" t="inlineStr">
        <is>
          <t>Hodnota položky je pouze 2,20 EUR, dopad je zanedbatelný, ale zařazení je nutné potvrdit v TARIC při podání JSD.</t>
        </is>
      </c>
    </row>
    <row r="48">
      <c r="A48" t="inlineStr">
        <is>
          <t>7326 90 (kovový stojan SR8170) – u obecné položky není známé antidumpingové opatření vůči ČLR; ověřit v TARIC.</t>
        </is>
      </c>
    </row>
    <row r="49">
      <c r="A49" t="inlineStr">
        <is>
          <t>Ostatní položky (8531 …) – antidumpingová opatření nejsou známa.</t>
        </is>
      </c>
    </row>
    <row r="50">
      <c r="A50" t="inlineStr"/>
    </row>
    <row r="51">
      <c r="A51" s="19">
        <f>== HS KÓDY – ZDROJ A NEDOŘEŠENÉ BODY ===</f>
        <v/>
      </c>
    </row>
    <row r="52">
      <c r="A52" t="inlineStr">
        <is>
          <t>Zdroj: Hs_kody_27.8.2026.xlsx (list List1) – seznam HS kódů a českých popisů dodaný zákazníkem.</t>
        </is>
      </c>
    </row>
    <row r="53">
      <c r="A53" s="20" t="inlineStr">
        <is>
          <t>1) SR8111 (napájecí adaptér 24V 2,5A) – v seznamu je místo HS kódu uvedeno „?“. KÓD NUTNO DOPLNIT.</t>
        </is>
      </c>
    </row>
    <row r="54">
      <c r="A54" t="inlineStr">
        <is>
          <t xml:space="preserve">   Návrh k posouzení: 8504 40 90 (statické měniče / napájecí adaptéry). Nutné potvrzení zákazníka.</t>
        </is>
      </c>
    </row>
    <row r="55">
      <c r="A55" s="21" t="inlineStr">
        <is>
          <t>2) SRCS101D (10,1" video tag, oboustranný) – v seznamu není uveden, obsahuje pouze SRCS101 a SRCS101A.</t>
        </is>
      </c>
    </row>
    <row r="56">
      <c r="A56" t="inlineStr">
        <is>
          <t xml:space="preserve">   Přiřazeno 8531 20 00 00 shodně s SRCS101 (jde o variantu téhož výrobku). Potvrdit se zákazníkem.</t>
        </is>
      </c>
    </row>
    <row r="57">
      <c r="A57" s="21" t="inlineStr">
        <is>
          <t>3) 8531 20 00 00 není platné 10místné podčíslí TARIC – položka 8531 20 vyžaduje podpoložku.</t>
        </is>
      </c>
    </row>
    <row r="58">
      <c r="A58" t="inlineStr">
        <is>
          <t xml:space="preserve">   U SR1405 zákazník uvádí 8531 20 95 90; zvážit stejné zařazení i pro video tagy SRCS101/SRCS101D.</t>
        </is>
      </c>
    </row>
    <row r="59">
      <c r="A59" s="21" t="inlineStr">
        <is>
          <t>4) 7616 99 a 7326 90 jsou v seznamu pouze 6místné – doplnit na 10 míst (např. 7616 99 90 90, 7326 90 98 90).</t>
        </is>
      </c>
    </row>
    <row r="60">
      <c r="A60" t="inlineStr"/>
    </row>
    <row r="61">
      <c r="A61" s="19">
        <f>== HMOTNOSTI – ODVOZENÍ ===</f>
        <v/>
      </c>
    </row>
    <row r="62">
      <c r="A62" t="inlineStr">
        <is>
          <t>Packing list uvádí hrubou hmotnost na úrovni kartonových skupin, ne na úrovni každé položky:</t>
        </is>
      </c>
    </row>
    <row r="63">
      <c r="A63" t="inlineStr">
        <is>
          <t xml:space="preserve">   50 CTN  HD2094                                        GW 365,00   NW 335,00</t>
        </is>
      </c>
    </row>
    <row r="64">
      <c r="A64" t="inlineStr">
        <is>
          <t xml:space="preserve">   30 CTN  HD2051                                        GW 345,00   NW 327,00</t>
        </is>
      </c>
    </row>
    <row r="65">
      <c r="A65" t="inlineStr">
        <is>
          <t xml:space="preserve">    1 CTN  SRCS101 + SRCS101D + SR8100 + SR8170 + SR8111 GW   3,42   NW   3,10  (sloučená buňka)</t>
        </is>
      </c>
    </row>
    <row r="66">
      <c r="A66" t="inlineStr">
        <is>
          <t xml:space="preserve">    1 CTN  SR1405                                        GW   1,24   NW   0,85</t>
        </is>
      </c>
    </row>
    <row r="67">
      <c r="A67" t="inlineStr">
        <is>
          <t xml:space="preserve">   ---------------------------------------------------------------------------------</t>
        </is>
      </c>
    </row>
    <row r="68">
      <c r="A68" t="inlineStr">
        <is>
          <t xml:space="preserve">   82 CTN                                                GW 714,66   NW 665,95</t>
        </is>
      </c>
    </row>
    <row r="69">
      <c r="A69" t="inlineStr">
        <is>
          <t xml:space="preserve">   + 2 palety (tára)                                     GW  30,34</t>
        </is>
      </c>
    </row>
    <row r="70">
      <c r="A70" t="inlineStr">
        <is>
          <t xml:space="preserve">   = CELKEM                                              GW 745,00   NW 665,95   (3,18 CBM)</t>
        </is>
      </c>
    </row>
    <row r="71">
      <c r="A71" t="inlineStr">
        <is>
          <t>Tára kartonu s příslušenstvím (0,32 kg) rozpuštěna poměrem k čisté hmotnosti, faktor 1,103226.</t>
        </is>
      </c>
    </row>
    <row r="72">
      <c r="A72" t="inlineStr">
        <is>
          <t>Tára palet (30,34 kg) rozpuštěna poměrem k hrubé hmotnosti kartonů, faktor 1,042454 (sloupec I).</t>
        </is>
      </c>
    </row>
    <row r="73">
      <c r="A73" t="inlineStr">
        <is>
          <t>Kontrola: součty množství (80 006 ks), čisté hmotnosti (665,95 kg) i hodnoty (6 069,20 EUR) souhlasí s doklady.</t>
        </is>
      </c>
    </row>
    <row r="74">
      <c r="A74" t="inlineStr"/>
    </row>
    <row r="75">
      <c r="A75" s="19">
        <f>== SLEVA ===</f>
        <v/>
      </c>
    </row>
    <row r="76">
      <c r="A76" t="inlineStr">
        <is>
          <t>Faktura neobsahuje obchodní slevu (SUB TOTAL 6 069,20 EUR = TOTAL 6 069,20 EUR). Poměrné rozpouštění se neuplatní.</t>
        </is>
      </c>
    </row>
    <row r="77">
      <c r="A77" t="inlineStr"/>
    </row>
    <row r="78">
      <c r="A78" s="19">
        <f>== POPIS ZBOŽÍ NA NÁKLADNÍM LISTU (said to contain) ===</f>
        <v/>
      </c>
    </row>
    <row r="79">
      <c r="A79" t="inlineStr">
        <is>
          <t>ANTI THEFT ACCESSORIES-TAG / LCD SHELF DISPLAY / MAGNETIC POWER RAIL / STAND FOR VIDEO TAG</t>
        </is>
      </c>
    </row>
    <row r="80">
      <c r="A80" t="inlineStr">
        <is>
          <t>– odpovídá rozpisu na faktuře a packing listu.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2026-09-02T13:23:35Z</dcterms:created>
  <dcterms:modified xsi:type="dcterms:W3CDTF">2026-09-02T13:23:35Z</dcterms:modified>
</cp:coreProperties>
</file>