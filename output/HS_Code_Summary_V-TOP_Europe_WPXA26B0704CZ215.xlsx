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3" fontId="3" fillId="0" borderId="1" applyAlignment="1" pivotButton="0" quotePrefix="0" xfId="0">
      <alignment horizontal="right" vertical="top"/>
    </xf>
    <xf numFmtId="4" fontId="3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center" vertical="top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3" fontId="3" fillId="3" borderId="1" applyAlignment="1" pivotButton="0" quotePrefix="0" xfId="0">
      <alignment horizontal="right" vertical="top"/>
    </xf>
    <xf numFmtId="4" fontId="3" fillId="3" borderId="1" applyAlignment="1" pivotButton="0" quotePrefix="0" xfId="0">
      <alignment horizontal="right" vertical="top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/>
    </xf>
    <xf numFmtId="3" fontId="2" fillId="4" borderId="1" applyAlignment="1" pivotButton="0" quotePrefix="0" xfId="0">
      <alignment horizontal="right" vertical="top"/>
    </xf>
    <xf numFmtId="4" fontId="2" fillId="4" borderId="1" applyAlignment="1" pivotButton="0" quotePrefix="0" xfId="0">
      <alignment horizontal="right" vertical="top"/>
    </xf>
    <xf numFmtId="0" fontId="3" fillId="0" borderId="0" pivotButton="0" quotePrefix="0" xfId="0"/>
    <xf numFmtId="4" fontId="3" fillId="0" borderId="0" applyAlignment="1" pivotButton="0" quotePrefix="0" xfId="0">
      <alignment horizontal="right" vertical="top"/>
    </xf>
    <xf numFmtId="4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14" customWidth="1" min="4" max="4"/>
    <col width="14" customWidth="1" min="5" max="5"/>
    <col width="14" customWidth="1" min="6" max="6"/>
    <col width="15" customWidth="1" min="7" max="7"/>
    <col width="11" customWidth="1" min="8" max="8"/>
    <col width="46" customWidth="1" min="9" max="9"/>
  </cols>
  <sheetData>
    <row r="1">
      <c r="A1" s="1" t="inlineStr">
        <is>
          <t>HS Code Summary – V-TOP Europe s.r.o., zásilka WPXA26B0704CZ215</t>
        </is>
      </c>
    </row>
    <row r="2">
      <c r="A2" s="2" t="inlineStr">
        <is>
          <t>Job / spis č.:</t>
        </is>
      </c>
      <c r="B2" s="3" t="inlineStr">
        <is>
          <t>CZ26010820 (společné s CZ214; samostatná JSD / samostatný souhrn)</t>
        </is>
      </c>
    </row>
    <row r="3">
      <c r="A3" s="2" t="inlineStr">
        <is>
          <t>Klient / dovozce:</t>
        </is>
      </c>
      <c r="B3" s="3" t="inlineStr">
        <is>
          <t>V-TOP EUROPE s.r.o., Františka Diviše 1012/64, Praha 22 – Uhříněves, 104 00 (IČ 257 95 040, DIČ CZ25795040)</t>
        </is>
      </c>
    </row>
    <row r="4">
      <c r="A4" s="2" t="inlineStr">
        <is>
          <t>Odesílatel / vývozce:</t>
        </is>
      </c>
      <c r="B4" s="3" t="inlineStr">
        <is>
          <t>HANGZHOU ONTIME I.T. CO., LTD., Hangzhou, China (jediný odesílatel)</t>
        </is>
      </c>
    </row>
    <row r="5">
      <c r="A5" s="2" t="inlineStr">
        <is>
          <t>Faktura / Packing list:</t>
        </is>
      </c>
      <c r="B5" s="3" t="inlineStr">
        <is>
          <t>PI24200070026038B&amp;040B&amp;041B, ze dne 26.6.2026</t>
        </is>
      </c>
    </row>
    <row r="6">
      <c r="A6" s="2" t="inlineStr">
        <is>
          <t>Přepravní doklad / kontejner:</t>
        </is>
      </c>
      <c r="B6" s="3" t="inlineStr">
        <is>
          <t>WPXA26B0704CZ215 / OVLU2107345 (40HC), 10 palet, 796 kartonů</t>
        </is>
      </c>
    </row>
    <row r="7">
      <c r="A7" s="2" t="inlineStr">
        <is>
          <t>Země původu (COO):</t>
        </is>
      </c>
      <c r="B7" s="3" t="inlineStr">
        <is>
          <t>Čína (CN) – všechny položky (Made in China)</t>
        </is>
      </c>
    </row>
    <row r="8">
      <c r="A8" s="2" t="inlineStr">
        <is>
          <t>Dodací podmínka (Incoterm):</t>
        </is>
      </c>
      <c r="B8" s="3" t="inlineStr">
        <is>
          <t>CFR Praha (faktura: CFR PRAGUE; freight prepaid, CFS-CFS)</t>
        </is>
      </c>
    </row>
    <row r="10">
      <c r="A10" s="4" t="inlineStr">
        <is>
          <t>HS kód</t>
        </is>
      </c>
      <c r="B10" s="4" t="inlineStr">
        <is>
          <t>Popis zboží (CZ)</t>
        </is>
      </c>
      <c r="C10" s="4" t="inlineStr">
        <is>
          <t>Země původu (COO)</t>
        </is>
      </c>
      <c r="D10" s="4" t="inlineStr">
        <is>
          <t>Celkové množství (ks)</t>
        </is>
      </c>
      <c r="E10" s="4" t="inlineStr">
        <is>
          <t>Čistá hmotnost (kg)</t>
        </is>
      </c>
      <c r="F10" s="4" t="inlineStr">
        <is>
          <t>Hrubá hmotnost (kg)</t>
        </is>
      </c>
      <c r="G10" s="4" t="inlineStr">
        <is>
          <t>Celní hodnota (EUR)</t>
        </is>
      </c>
      <c r="H10" s="4" t="inlineStr">
        <is>
          <t>Příznak</t>
        </is>
      </c>
      <c r="I10" s="4" t="inlineStr">
        <is>
          <t>TARIC / poznámka / CBAM / Antidumping</t>
        </is>
      </c>
    </row>
    <row r="11">
      <c r="A11" s="5" t="inlineStr">
        <is>
          <t>8531900000</t>
        </is>
      </c>
      <c r="B11" s="6" t="inlineStr">
        <is>
          <t>Části a příslušenství elektronické ochrany zboží (EAS) – standardní tvrdé bezpečnostní etikety/štítky (HD) na textil, oděvy a příslušenství; technologie RF/AM s magnetickým zámkem. Určeno k ochraně zboží proti krádeži v obchodech.</t>
        </is>
      </c>
      <c r="C11" s="7" t="inlineStr">
        <is>
          <t>CN</t>
        </is>
      </c>
      <c r="D11" s="8" t="n">
        <v>410000</v>
      </c>
      <c r="E11" s="9" t="n">
        <v>3431.5</v>
      </c>
      <c r="F11" s="9" t="n">
        <v>3698</v>
      </c>
      <c r="G11" s="9" t="n">
        <v>15541</v>
      </c>
      <c r="H11" s="10" t="inlineStr"/>
      <c r="I11" s="6" t="inlineStr"/>
    </row>
    <row r="12">
      <c r="A12" s="5" t="inlineStr">
        <is>
          <t>8534001900</t>
        </is>
      </c>
      <c r="B12" s="6" t="inlineStr">
        <is>
          <t>Měkké plastové RF etikety (rolové etikety / roll labels) s poplachovým zabezpečením obsahující tištěný obvod, s falešným čárovým kódem – bílé/černé/transparentní, deaktivovatelné. Určeno k ochraně zboží proti krádeži.</t>
        </is>
      </c>
      <c r="C12" s="7" t="inlineStr">
        <is>
          <t>CN</t>
        </is>
      </c>
      <c r="D12" s="8" t="n">
        <v>6520000</v>
      </c>
      <c r="E12" s="9" t="n">
        <v>2662.1</v>
      </c>
      <c r="F12" s="9" t="n">
        <v>2874</v>
      </c>
      <c r="G12" s="9" t="n">
        <v>34444</v>
      </c>
      <c r="H12" s="10" t="inlineStr"/>
      <c r="I12" s="6" t="inlineStr"/>
    </row>
    <row r="13">
      <c r="A13" s="11" t="inlineStr">
        <is>
          <t>7312900000</t>
        </is>
      </c>
      <c r="B13" s="12" t="inlineStr">
        <is>
          <t>Ocelová (popř. poplastovaná) splétaná lanka / lanko (lanyard) sloužící k připojení etikety ke zboží provlečením.</t>
        </is>
      </c>
      <c r="C13" s="13" t="inlineStr">
        <is>
          <t>CN</t>
        </is>
      </c>
      <c r="D13" s="14" t="n">
        <v>200000</v>
      </c>
      <c r="E13" s="15" t="n">
        <v>334</v>
      </c>
      <c r="F13" s="15" t="n">
        <v>360</v>
      </c>
      <c r="G13" s="15" t="n">
        <v>3640</v>
      </c>
      <c r="H13" s="16" t="inlineStr">
        <is>
          <t>OCEL/ RUS</t>
        </is>
      </c>
      <c r="I13" s="12" t="inlineStr">
        <is>
          <t>Kapitola 73 (ocel). VZTAHUJE SE prohlášení odesílatele o nepůvodu z Ruska (HS kap. 72/73) – přiloženo, viz list Dokumenty. Mimo rozsah CBAM (Příloha I nezahrnuje 7312). Bez preferenčního původu → třetizemní clo (erga omnes).</t>
        </is>
      </c>
    </row>
    <row r="14">
      <c r="A14" s="11" t="inlineStr">
        <is>
          <t>7319400000</t>
        </is>
      </c>
      <c r="B14" s="12" t="inlineStr">
        <is>
          <t>Bezpečnostní špendlík / kuželový ocelový trn (cone steel pin) 16 mm pro tvrdé štítky.</t>
        </is>
      </c>
      <c r="C14" s="13" t="inlineStr">
        <is>
          <t>CN</t>
        </is>
      </c>
      <c r="D14" s="14" t="n">
        <v>200000</v>
      </c>
      <c r="E14" s="15" t="n">
        <v>385</v>
      </c>
      <c r="F14" s="15" t="n">
        <v>398</v>
      </c>
      <c r="G14" s="15" t="n">
        <v>1100</v>
      </c>
      <c r="H14" s="16" t="inlineStr">
        <is>
          <t>OCEL/ RUS</t>
        </is>
      </c>
      <c r="I14" s="12" t="inlineStr">
        <is>
          <t>Kapitola 73 (ocel). VZTAHUJE SE prohlášení odesílatele o nepůvodu z Ruska (HS kap. 72/73) – přiloženo, viz list Dokumenty. Mimo rozsah CBAM (Příloha I nezahrnuje 7319). Bez preferenčního původu → třetizemní clo (erga omnes).</t>
        </is>
      </c>
    </row>
    <row r="15">
      <c r="A15" s="17" t="inlineStr">
        <is>
          <t>CELKEM</t>
        </is>
      </c>
      <c r="B15" s="17" t="n"/>
      <c r="C15" s="17" t="n"/>
      <c r="D15" s="18" t="n">
        <v>7330000</v>
      </c>
      <c r="E15" s="19" t="n">
        <v>6812.6</v>
      </c>
      <c r="F15" s="19" t="n">
        <v>7330</v>
      </c>
      <c r="G15" s="19" t="n">
        <v>54725</v>
      </c>
      <c r="H15" s="17" t="n"/>
      <c r="I15" s="17" t="n"/>
    </row>
    <row r="16">
      <c r="A16" s="20" t="inlineStr">
        <is>
          <t>Palety (10 ks)</t>
        </is>
      </c>
      <c r="F16" s="21" t="n">
        <v>150</v>
      </c>
      <c r="I16" s="20" t="inlineStr">
        <is>
          <t>Hmotnost palet – přičítá se jen k hrubé hmotnosti.</t>
        </is>
      </c>
    </row>
    <row r="17">
      <c r="A17" s="2" t="inlineStr">
        <is>
          <t>Hrubá hmotnost celkem vč. palet</t>
        </is>
      </c>
      <c r="F17" s="22" t="n">
        <v>7480</v>
      </c>
      <c r="I17" s="20">
        <f> 7 480,00 kg (souhlasí s přepravním dokladem).</f>
        <v/>
      </c>
    </row>
    <row r="19">
      <c r="A19" s="2" t="inlineStr">
        <is>
          <t>Legenda / poznámky:</t>
        </is>
      </c>
    </row>
    <row r="20">
      <c r="A20" s="2" t="inlineStr">
        <is>
          <t>🟡 OCEL/RUS</t>
        </is>
      </c>
      <c r="B20" s="3" t="inlineStr">
        <is>
          <t>Ocelová položka (kap. 73). Vztahuje se prohlášení o nepůvodu z Ruska – přiloženo. Týká se 7312 90 (lanka) a 7319 40 (špendlíky).</t>
        </is>
      </c>
    </row>
    <row r="21">
      <c r="A21" s="2" t="inlineStr">
        <is>
          <t>Preferenční původ</t>
        </is>
      </c>
      <c r="B21" s="3" t="inlineStr">
        <is>
          <t>V dokladech NENÍ preferenční věta (origin CN, bez FTA) → uplatní se standardní třetizemní clo (MFN, erga omnes).</t>
        </is>
      </c>
    </row>
    <row r="22">
      <c r="A22" s="2" t="inlineStr">
        <is>
          <t>CBAM</t>
        </is>
      </c>
      <c r="B22" s="3" t="inlineStr">
        <is>
          <t>Žádná položka zásilky nespadá do CBAM. Ocelové položky 7312 90 a 7319 40 nejsou v Příloze I CBAM.</t>
        </is>
      </c>
    </row>
    <row r="23">
      <c r="A23" s="2" t="inlineStr">
        <is>
          <t>Antidumping</t>
        </is>
      </c>
      <c r="B23" s="3" t="inlineStr">
        <is>
          <t>Nezjištěna žádná položka podléhající antidumpingovému clu.</t>
        </is>
      </c>
    </row>
    <row r="24">
      <c r="A24" s="2" t="inlineStr">
        <is>
          <t>Sleva</t>
        </is>
      </c>
      <c r="B24" s="3" t="inlineStr">
        <is>
          <t>Žádná – faktura bez slevy (mezisoučet = součet = 54 725,00 EUR).</t>
        </is>
      </c>
    </row>
    <row r="25">
      <c r="A25" s="2" t="inlineStr">
        <is>
          <t>Hrubá hmotnost</t>
        </is>
      </c>
      <c r="B25" s="3" t="inlineStr">
        <is>
          <t>Skutečná dle packing listu (zboží 7 330,00 kg); palety 150,00 kg zvlášť; celkem 7 480,00 kg.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3">
        <f>== ZÁSILKA ===</f>
        <v/>
      </c>
    </row>
    <row r="2">
      <c r="A2" s="24" t="inlineStr">
        <is>
          <t>Job/spis č. CZ26010820 – společný s předchozí zásilkou WPXA26B0704CZ214, ale SAMOSTATNÁ JSD a samostatný souhrn (jiná faktura, jiný kontejner, jiné zboží).</t>
        </is>
      </c>
    </row>
    <row r="3">
      <c r="A3" s="24" t="inlineStr">
        <is>
          <t>Klient/dovozce: V-TOP EUROPE s.r.o. (IČ 257 95 040, DIČ CZ25795040).</t>
        </is>
      </c>
    </row>
    <row r="4">
      <c r="A4" s="24" t="inlineStr">
        <is>
          <t>Odesílatel/vývozce: HANGZHOU ONTIME I.T. CO., LTD., Hangzhou, Čína – jediný odesílatel (klasifikace dle odesílatele = 1 skupina).</t>
        </is>
      </c>
    </row>
    <row r="5">
      <c r="A5" s="24" t="inlineStr">
        <is>
          <t>Faktura/PL: PI24200070026038B&amp;040B&amp;041B, 26.6.2026. Přeprava po železnici, waybill WPXA26B0704CZ215, kontejner OVLU2107345 (40HC), 10 palet / 796 kartonů.</t>
        </is>
      </c>
    </row>
    <row r="6">
      <c r="A6" s="24" t="inlineStr">
        <is>
          <t>Celková množství: 7 330 000 ks | čistá 6 812,60 kg | hrubá zboží 7 330,00 kg | + palety 150,00 kg = 7 480,00 kg | celní hodnota 54 725,00 EUR.</t>
        </is>
      </c>
    </row>
    <row r="7">
      <c r="A7" s="24" t="inlineStr"/>
    </row>
    <row r="8">
      <c r="A8" s="23">
        <f>== INCOTERM ===</f>
        <v/>
      </c>
    </row>
    <row r="9">
      <c r="A9" s="24" t="inlineStr">
        <is>
          <t>CFR Praha (faktura, pole TERMS: 'CFR PRAGUE'). Přepravní doklad: FREIGHT PREPAID, CFS-CFS.</t>
        </is>
      </c>
    </row>
    <row r="10">
      <c r="A10" s="24" t="inlineStr">
        <is>
          <t>Pozn.: u CFR nese prodávající náklady na přepravu do místa určení; pojištění a riziko od naložení nese kupující. Pro celní hodnotu (CIF) připočíst dopravu/pojištění do hranice EU, pokud nejsou v ceně.</t>
        </is>
      </c>
    </row>
    <row r="11">
      <c r="A11" s="24" t="inlineStr"/>
    </row>
    <row r="12">
      <c r="A12" s="23">
        <f>== PŮVOD ZBOŽÍ (COO) – DŮLEŽITÉ ===</f>
        <v/>
      </c>
    </row>
    <row r="13">
      <c r="A13" s="24" t="inlineStr">
        <is>
          <t>V dokladech NENÍ preferenční věta (preferenční prohlášení o původu). Původ je Čína (Made in China); EU–Čína nemá preferenční dohodu.</t>
        </is>
      </c>
    </row>
    <row r="14">
      <c r="A14" s="24" t="inlineStr">
        <is>
          <t>→ Uplatní se STANDARDNÍ třetizemní clo (MFN / erga omnes). Preferenční sazba není k dispozici.</t>
        </is>
      </c>
    </row>
    <row r="15">
      <c r="A15" s="24" t="inlineStr"/>
    </row>
    <row r="16">
      <c r="A16" s="23">
        <f>== PROHLÁŠENÍ O NEPŮVODU Z RUSKA (ocel, kap. 72/73) ===</f>
        <v/>
      </c>
    </row>
    <row r="17">
      <c r="A17" s="24" t="inlineStr">
        <is>
          <t>Přiložen dokument 'Statement' (Hangzhou Ontime, 15.7.2026) pro waybill WPXA26B0704CZ215, faktura ...B, kontejner OVLU2107345: potvrzuje, že zboží kap. 72 a 73 (i) nepochází z Ruska, (ii) nebylo z Ruska vyvezeno, (iii) nebylo vyrobeno z ruské oceli (7206–7229, kap. 73).</t>
        </is>
      </c>
    </row>
    <row r="18">
      <c r="A18" s="24" t="inlineStr">
        <is>
          <t>Týká se položek 7312 90 00 00 (ocelová lanka) a 7319 40 00 00 (kuželové ocelové špendlíky). Prohlášení splňuje požadavek EU (nařízení 833/2014) pro dovoz oceli. Doklad OK, přiložit k JSD.</t>
        </is>
      </c>
    </row>
    <row r="19">
      <c r="A19" s="24" t="inlineStr"/>
    </row>
    <row r="20">
      <c r="A20" s="23">
        <f>== CBAM ===</f>
        <v/>
      </c>
    </row>
    <row r="21">
      <c r="A21" s="24" t="inlineStr">
        <is>
          <t>Žádná položka zásilky nespadá do působnosti CBAM. Ocelové položky 7312 90 (lanka) ani 7319 40 (špendlíky) NEJSOU uvedeny v Příloze I nařízení CBAM (2023/956), která z kap. 73 zahrnuje jen 7301–7311, 7318 a 7326.</t>
        </is>
      </c>
    </row>
    <row r="22">
      <c r="A22" s="24" t="inlineStr">
        <is>
          <t>→ CBAM hlášení/kód se neuvádí. (Doporučeno ověřit aktuální rozsah Přílohy I při podání.)</t>
        </is>
      </c>
    </row>
    <row r="23">
      <c r="A23" s="24" t="inlineStr"/>
    </row>
    <row r="24">
      <c r="A24" s="23">
        <f>== ANTIDUMPING ===</f>
        <v/>
      </c>
    </row>
    <row r="25">
      <c r="A25" s="24" t="inlineStr">
        <is>
          <t>U žádného z HS kódů zásilky (8531 90, 8534 00, 7312 90, 7319 40) nebylo zjištěno antidumpingové clo. Ověřit v TARIC při podání.</t>
        </is>
      </c>
    </row>
    <row r="26">
      <c r="A26" s="24" t="inlineStr"/>
    </row>
    <row r="27">
      <c r="A27" s="23">
        <f>== SLEVA ===</f>
        <v/>
      </c>
    </row>
    <row r="28">
      <c r="A28" s="24" t="inlineStr">
        <is>
          <t>Faktura je bez slevy (mezisoučet 54 725,00 EUR = celkem 54 725,00 EUR). Proporcionální sleva se neuplatňuje.</t>
        </is>
      </c>
    </row>
    <row r="29">
      <c r="A29" s="24" t="inlineStr"/>
    </row>
    <row r="30">
      <c r="A30" s="23">
        <f>== KLASIFIKACE / SLUČOVÁNÍ ===</f>
        <v/>
      </c>
    </row>
    <row r="31">
      <c r="A31" s="24" t="inlineStr">
        <is>
          <t>Jediný odesílatel → sloučeno na unikátní HS kódy. Řady HD → 8531 90 00 00; rolové etikety RL → 8534 00 19 00; lanka LD → 7312 90 00 00; kuželové špendlíky PN → 7319 40 00 00.</t>
        </is>
      </c>
    </row>
    <row r="32">
      <c r="A32" s="24" t="inlineStr">
        <is>
          <t>HS kódy převzaty z referenčního souboru klienta 'HS kody 16.7.2026 CZ215.xlsx'.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2026-07-21T11:56:59Z</dcterms:created>
  <dcterms:modified xsi:type="dcterms:W3CDTF">2026-07-21T11:56:59Z</dcterms:modified>
</cp:coreProperties>
</file>