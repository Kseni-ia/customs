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summary" sheetId="1" state="visible" r:id="rId1"/>
    <sheet name="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$#,##0.00"/>
  </numFmts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1F3864"/>
      <sz val="14"/>
    </font>
    <font>
      <name val="Arial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center"/>
    </xf>
    <xf numFmtId="3" fontId="4" fillId="3" borderId="2" applyAlignment="1" pivotButton="0" quotePrefix="0" xfId="0">
      <alignment horizontal="center"/>
    </xf>
    <xf numFmtId="4" fontId="4" fillId="3" borderId="2" applyAlignment="1" pivotButton="0" quotePrefix="0" xfId="0">
      <alignment horizontal="center"/>
    </xf>
    <xf numFmtId="164" fontId="4" fillId="3" borderId="2" applyAlignment="1" pivotButton="0" quotePrefix="0" xfId="0">
      <alignment horizontal="center"/>
    </xf>
    <xf numFmtId="0" fontId="9" fillId="0" borderId="0" pivotButton="0" quotePrefix="0" xfId="0"/>
    <xf numFmtId="165" fontId="10" fillId="4" borderId="3" applyAlignment="1" pivotButton="0" quotePrefix="0" xfId="0">
      <alignment horizontal="center"/>
    </xf>
    <xf numFmtId="0" fontId="11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5" customWidth="1" min="4" max="4"/>
    <col width="14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15" customWidth="1" min="11" max="11"/>
    <col width="17" customWidth="1" min="12" max="12"/>
  </cols>
  <sheetData>
    <row r="1">
      <c r="A1" s="1" t="inlineStr">
        <is>
          <t>PART NUMBER SUMMARY - Wistron export VV726800136</t>
        </is>
      </c>
    </row>
    <row r="2">
      <c r="A2" s="2" t="inlineStr">
        <is>
          <t>Client / shipper:</t>
        </is>
      </c>
      <c r="B2" s="3" t="inlineStr">
        <is>
          <t>WISTRON CORPORATION, Hsinchu County, Taiwan</t>
        </is>
      </c>
    </row>
    <row r="3">
      <c r="A3" s="2" t="inlineStr">
        <is>
          <t>Consignee (CZ):</t>
        </is>
      </c>
      <c r="B3" s="3" t="inlineStr">
        <is>
          <t>Wistron Corp. c/o Jusda Europe s.r.o. (non-bond), Karlov 245, Kutna Hora, EORI CZ00000000049</t>
        </is>
      </c>
    </row>
    <row r="4">
      <c r="A4" s="2" t="inlineStr">
        <is>
          <t>Export No. / shipment:</t>
        </is>
      </c>
      <c r="B4" s="3" t="inlineStr">
        <is>
          <t>VV726800136   (packing list CVV726800114)</t>
        </is>
      </c>
    </row>
    <row r="5">
      <c r="A5" s="2" t="inlineStr">
        <is>
          <t>Invoice date:</t>
        </is>
      </c>
      <c r="B5" s="3" t="inlineStr">
        <is>
          <t>2026/08/12</t>
        </is>
      </c>
    </row>
    <row r="6">
      <c r="A6" s="2" t="inlineStr">
        <is>
          <t>Incoterm:</t>
        </is>
      </c>
      <c r="B6" s="3" t="inlineStr">
        <is>
          <t>DDP KUTNA HORA</t>
        </is>
      </c>
    </row>
    <row r="7">
      <c r="A7" s="2" t="inlineStr">
        <is>
          <t>Country of origin:</t>
        </is>
      </c>
      <c r="B7" s="3" t="inlineStr">
        <is>
          <t>Vietnam (shipped from Hanoi, by air)</t>
        </is>
      </c>
    </row>
    <row r="8">
      <c r="A8" s="2" t="inlineStr">
        <is>
          <t>Currency:</t>
        </is>
      </c>
      <c r="B8" s="3" t="inlineStr">
        <is>
          <t>USD</t>
        </is>
      </c>
    </row>
    <row r="11" ht="30" customHeight="1">
      <c r="A11" s="4" t="inlineStr">
        <is>
          <t>Part number</t>
        </is>
      </c>
      <c r="B11" s="4" t="inlineStr">
        <is>
          <t>Description</t>
        </is>
      </c>
      <c r="C11" s="4" t="inlineStr">
        <is>
          <t>HS code</t>
        </is>
      </c>
      <c r="D11" s="4" t="inlineStr">
        <is>
          <t>Country of origin</t>
        </is>
      </c>
      <c r="E11" s="4" t="inlineStr">
        <is>
          <t>Invoice No.</t>
        </is>
      </c>
      <c r="F11" s="4" t="inlineStr">
        <is>
          <t>Packing No.</t>
        </is>
      </c>
      <c r="G11" s="4" t="inlineStr">
        <is>
          <t>Quantity (PCS)</t>
        </is>
      </c>
      <c r="H11" s="4" t="inlineStr">
        <is>
          <t>Unit price (USD)</t>
        </is>
      </c>
      <c r="I11" s="4" t="inlineStr">
        <is>
          <t>Total price (USD)</t>
        </is>
      </c>
      <c r="J11" s="4" t="inlineStr">
        <is>
          <t>Net weight (kg)</t>
        </is>
      </c>
      <c r="K11" s="4" t="inlineStr">
        <is>
          <t>Gross weight (kg)</t>
        </is>
      </c>
      <c r="L11" s="4" t="inlineStr">
        <is>
          <t>Incoterm</t>
        </is>
      </c>
    </row>
    <row r="12">
      <c r="A12" s="5" t="inlineStr">
        <is>
          <t>R7C75-60501</t>
        </is>
      </c>
      <c r="B12" s="6" t="inlineStr">
        <is>
          <t>PCA, 2U COMMON BACKPLANE, RAIDER</t>
        </is>
      </c>
      <c r="C12" s="5" t="inlineStr">
        <is>
          <t>8473302000</t>
        </is>
      </c>
      <c r="D12" s="5" t="inlineStr">
        <is>
          <t>Vietnam</t>
        </is>
      </c>
      <c r="E12" s="5" t="inlineStr">
        <is>
          <t>8705784390</t>
        </is>
      </c>
      <c r="F12" s="5" t="inlineStr">
        <is>
          <t>P7V72680221</t>
        </is>
      </c>
      <c r="G12" s="7" t="n">
        <v>240</v>
      </c>
      <c r="H12" s="8" t="n">
        <v>500.51</v>
      </c>
      <c r="I12" s="9">
        <f>G12*H12</f>
        <v/>
      </c>
      <c r="J12" s="10">
        <f>G12*INDEX('Packing list'!$C$4:$C$8,MATCH(F12,'Packing list'!$A$4:$A$8,0))/INDEX('Packing list'!$B$4:$B$8,MATCH(F12,'Packing list'!$A$4:$A$8,0))</f>
        <v/>
      </c>
      <c r="K12" s="10">
        <f>G12*INDEX('Packing list'!$D$4:$D$8,MATCH(F12,'Packing list'!$A$4:$A$8,0))/INDEX('Packing list'!$B$4:$B$8,MATCH(F12,'Packing list'!$A$4:$A$8,0))</f>
        <v/>
      </c>
      <c r="L12" s="5" t="inlineStr">
        <is>
          <t>DDP KUTNA HORA</t>
        </is>
      </c>
    </row>
    <row r="13">
      <c r="A13" s="5" t="inlineStr">
        <is>
          <t>P51267-001</t>
        </is>
      </c>
      <c r="B13" s="6" t="inlineStr">
        <is>
          <t>ASSY, DISCOVERY, MODULE W/PCA, RAIDER</t>
        </is>
      </c>
      <c r="C13" s="5" t="inlineStr">
        <is>
          <t>8473302000</t>
        </is>
      </c>
      <c r="D13" s="5" t="inlineStr">
        <is>
          <t>Vietnam</t>
        </is>
      </c>
      <c r="E13" s="5" t="inlineStr">
        <is>
          <t>8705784386</t>
        </is>
      </c>
      <c r="F13" s="5" t="inlineStr">
        <is>
          <t>P7V72680222</t>
        </is>
      </c>
      <c r="G13" s="7" t="n">
        <v>384</v>
      </c>
      <c r="H13" s="8" t="n">
        <v>194.59</v>
      </c>
      <c r="I13" s="9">
        <f>G13*H13</f>
        <v/>
      </c>
      <c r="J13" s="10">
        <f>G13*INDEX('Packing list'!$C$4:$C$8,MATCH(F13,'Packing list'!$A$4:$A$8,0))/INDEX('Packing list'!$B$4:$B$8,MATCH(F13,'Packing list'!$A$4:$A$8,0))</f>
        <v/>
      </c>
      <c r="K13" s="10">
        <f>G13*INDEX('Packing list'!$D$4:$D$8,MATCH(F13,'Packing list'!$A$4:$A$8,0))/INDEX('Packing list'!$B$4:$B$8,MATCH(F13,'Packing list'!$A$4:$A$8,0))</f>
        <v/>
      </c>
      <c r="L13" s="5" t="inlineStr">
        <is>
          <t>DDP KUTNA HORA</t>
        </is>
      </c>
    </row>
    <row r="14">
      <c r="A14" s="5" t="inlineStr">
        <is>
          <t>R7C75-60503</t>
        </is>
      </c>
      <c r="B14" s="6" t="inlineStr">
        <is>
          <t>PCA, THERMAL SENSOR BOARD RAIDER</t>
        </is>
      </c>
      <c r="C14" s="5" t="inlineStr">
        <is>
          <t>8473302000</t>
        </is>
      </c>
      <c r="D14" s="5" t="inlineStr">
        <is>
          <t>Vietnam</t>
        </is>
      </c>
      <c r="E14" s="5" t="inlineStr">
        <is>
          <t>8705784378</t>
        </is>
      </c>
      <c r="F14" s="5" t="inlineStr">
        <is>
          <t>P7V72680227</t>
        </is>
      </c>
      <c r="G14" s="7" t="n">
        <v>364</v>
      </c>
      <c r="H14" s="8" t="n">
        <v>14.59</v>
      </c>
      <c r="I14" s="9">
        <f>G14*H14</f>
        <v/>
      </c>
      <c r="J14" s="10">
        <f>G14*INDEX('Packing list'!$C$4:$C$8,MATCH(F14,'Packing list'!$A$4:$A$8,0))/INDEX('Packing list'!$B$4:$B$8,MATCH(F14,'Packing list'!$A$4:$A$8,0))</f>
        <v/>
      </c>
      <c r="K14" s="10">
        <f>G14*INDEX('Packing list'!$D$4:$D$8,MATCH(F14,'Packing list'!$A$4:$A$8,0))/INDEX('Packing list'!$B$4:$B$8,MATCH(F14,'Packing list'!$A$4:$A$8,0))</f>
        <v/>
      </c>
      <c r="L14" s="5" t="inlineStr">
        <is>
          <t>DDP KUTNA HORA</t>
        </is>
      </c>
    </row>
    <row r="15">
      <c r="A15" s="5" t="inlineStr">
        <is>
          <t>R7C79-60201</t>
        </is>
      </c>
      <c r="B15" s="6" t="inlineStr">
        <is>
          <t>PCA, 7 SEGMENT DISPLAY RAIDER</t>
        </is>
      </c>
      <c r="C15" s="5" t="inlineStr">
        <is>
          <t>8473302000</t>
        </is>
      </c>
      <c r="D15" s="5" t="inlineStr">
        <is>
          <t>Vietnam</t>
        </is>
      </c>
      <c r="E15" s="5" t="inlineStr">
        <is>
          <t>8705784380</t>
        </is>
      </c>
      <c r="F15" s="5" t="inlineStr">
        <is>
          <t>P7V72680227</t>
        </is>
      </c>
      <c r="G15" s="7" t="n">
        <v>756</v>
      </c>
      <c r="H15" s="8" t="n">
        <v>20.91</v>
      </c>
      <c r="I15" s="9">
        <f>G15*H15</f>
        <v/>
      </c>
      <c r="J15" s="10">
        <f>G15*INDEX('Packing list'!$C$4:$C$8,MATCH(F15,'Packing list'!$A$4:$A$8,0))/INDEX('Packing list'!$B$4:$B$8,MATCH(F15,'Packing list'!$A$4:$A$8,0))</f>
        <v/>
      </c>
      <c r="K15" s="10">
        <f>G15*INDEX('Packing list'!$D$4:$D$8,MATCH(F15,'Packing list'!$A$4:$A$8,0))/INDEX('Packing list'!$B$4:$B$8,MATCH(F15,'Packing list'!$A$4:$A$8,0))</f>
        <v/>
      </c>
      <c r="L15" s="5" t="inlineStr">
        <is>
          <t>DDP KUTNA HORA</t>
        </is>
      </c>
    </row>
    <row r="16">
      <c r="A16" s="5" t="inlineStr">
        <is>
          <t>R7C79-60304</t>
        </is>
      </c>
      <c r="B16" s="6" t="inlineStr">
        <is>
          <t>PCA, ETHERNET MEZZ CARD RAIDER</t>
        </is>
      </c>
      <c r="C16" s="5" t="inlineStr">
        <is>
          <t>8473302000</t>
        </is>
      </c>
      <c r="D16" s="5" t="inlineStr">
        <is>
          <t>Vietnam</t>
        </is>
      </c>
      <c r="E16" s="5" t="inlineStr">
        <is>
          <t>8705784383</t>
        </is>
      </c>
      <c r="F16" s="5" t="inlineStr">
        <is>
          <t>P7V72680227</t>
        </is>
      </c>
      <c r="G16" s="7" t="n">
        <v>240</v>
      </c>
      <c r="H16" s="8" t="n">
        <v>177.16</v>
      </c>
      <c r="I16" s="9">
        <f>G16*H16</f>
        <v/>
      </c>
      <c r="J16" s="10">
        <f>G16*INDEX('Packing list'!$C$4:$C$8,MATCH(F16,'Packing list'!$A$4:$A$8,0))/INDEX('Packing list'!$B$4:$B$8,MATCH(F16,'Packing list'!$A$4:$A$8,0))</f>
        <v/>
      </c>
      <c r="K16" s="10">
        <f>G16*INDEX('Packing list'!$D$4:$D$8,MATCH(F16,'Packing list'!$A$4:$A$8,0))/INDEX('Packing list'!$B$4:$B$8,MATCH(F16,'Packing list'!$A$4:$A$8,0))</f>
        <v/>
      </c>
      <c r="L16" s="5" t="inlineStr">
        <is>
          <t>DDP KUTNA HORA</t>
        </is>
      </c>
    </row>
    <row r="17">
      <c r="A17" s="5" t="inlineStr">
        <is>
          <t>P43802-001</t>
        </is>
      </c>
      <c r="B17" s="6" t="inlineStr">
        <is>
          <t>GNRC, PCA, DL20G10+, 4SFF BP</t>
        </is>
      </c>
      <c r="C17" s="5" t="inlineStr">
        <is>
          <t>8473302000</t>
        </is>
      </c>
      <c r="D17" s="5" t="inlineStr">
        <is>
          <t>Vietnam</t>
        </is>
      </c>
      <c r="E17" s="5" t="inlineStr">
        <is>
          <t>8705785506</t>
        </is>
      </c>
      <c r="F17" s="5" t="inlineStr">
        <is>
          <t>P7V72680230</t>
        </is>
      </c>
      <c r="G17" s="7" t="n">
        <v>180</v>
      </c>
      <c r="H17" s="8" t="n">
        <v>29.06</v>
      </c>
      <c r="I17" s="9">
        <f>G17*H17</f>
        <v/>
      </c>
      <c r="J17" s="10">
        <f>G17*INDEX('Packing list'!$C$4:$C$8,MATCH(F17,'Packing list'!$A$4:$A$8,0))/INDEX('Packing list'!$B$4:$B$8,MATCH(F17,'Packing list'!$A$4:$A$8,0))</f>
        <v/>
      </c>
      <c r="K17" s="10">
        <f>G17*INDEX('Packing list'!$D$4:$D$8,MATCH(F17,'Packing list'!$A$4:$A$8,0))/INDEX('Packing list'!$B$4:$B$8,MATCH(F17,'Packing list'!$A$4:$A$8,0))</f>
        <v/>
      </c>
      <c r="L17" s="5" t="inlineStr">
        <is>
          <t>DDP KUTNA HORA</t>
        </is>
      </c>
    </row>
    <row r="18">
      <c r="A18" s="5" t="inlineStr">
        <is>
          <t>P59903-001</t>
        </is>
      </c>
      <c r="B18" s="6" t="inlineStr">
        <is>
          <t>GNRC, PCA, SHORT 1U RACK GEN11 PDB</t>
        </is>
      </c>
      <c r="C18" s="5" t="inlineStr">
        <is>
          <t>8473302000</t>
        </is>
      </c>
      <c r="D18" s="5" t="inlineStr">
        <is>
          <t>Vietnam</t>
        </is>
      </c>
      <c r="E18" s="5" t="inlineStr">
        <is>
          <t>8705784866</t>
        </is>
      </c>
      <c r="F18" s="5" t="inlineStr">
        <is>
          <t>P7V72680232</t>
        </is>
      </c>
      <c r="G18" s="7" t="n">
        <v>336</v>
      </c>
      <c r="H18" s="8" t="n">
        <v>73.41</v>
      </c>
      <c r="I18" s="9">
        <f>G18*H18</f>
        <v/>
      </c>
      <c r="J18" s="10">
        <f>G18*INDEX('Packing list'!$C$4:$C$8,MATCH(F18,'Packing list'!$A$4:$A$8,0))/INDEX('Packing list'!$B$4:$B$8,MATCH(F18,'Packing list'!$A$4:$A$8,0))</f>
        <v/>
      </c>
      <c r="K18" s="10">
        <f>G18*INDEX('Packing list'!$D$4:$D$8,MATCH(F18,'Packing list'!$A$4:$A$8,0))/INDEX('Packing list'!$B$4:$B$8,MATCH(F18,'Packing list'!$A$4:$A$8,0))</f>
        <v/>
      </c>
      <c r="L18" s="5" t="inlineStr">
        <is>
          <t>DDP KUTNA HORA</t>
        </is>
      </c>
    </row>
    <row r="19">
      <c r="A19" s="11" t="inlineStr">
        <is>
          <t>TOTAL - all invoices</t>
        </is>
      </c>
      <c r="B19" s="12" t="n"/>
      <c r="C19" s="12" t="n"/>
      <c r="D19" s="12" t="n"/>
      <c r="E19" s="12" t="inlineStr">
        <is>
          <t>7 invoices</t>
        </is>
      </c>
      <c r="F19" s="12" t="n"/>
      <c r="G19" s="13">
        <f>SUM(G12:G18)</f>
        <v/>
      </c>
      <c r="H19" s="12" t="n"/>
      <c r="I19" s="14">
        <f>SUM(I12:I18)</f>
        <v/>
      </c>
      <c r="J19" s="15">
        <f>SUM(J12:J18)</f>
        <v/>
      </c>
      <c r="K19" s="15">
        <f>SUM(K12:K18)</f>
        <v/>
      </c>
      <c r="L19" s="12" t="n"/>
    </row>
    <row r="21">
      <c r="A21" s="16" t="inlineStr">
        <is>
          <t>TOTAL PRICE OF ALL INVOICES (USD):</t>
        </is>
      </c>
      <c r="G21" s="17">
        <f>I19</f>
        <v/>
      </c>
    </row>
    <row r="23">
      <c r="A23" s="18" t="inlineStr">
        <is>
          <t>Notes / assumptions:</t>
        </is>
      </c>
    </row>
    <row r="24">
      <c r="A24" s="19" t="inlineStr">
        <is>
          <t>1. One row per part number. All 7 part numbers fall under the same HS code 8473302000, so the classification is presented per part number as requested.</t>
        </is>
      </c>
    </row>
    <row r="25">
      <c r="A25" s="19" t="inlineStr">
        <is>
          <t>2. Quantity, unit price, total price and invoice number are taken from the individual Wistron invoices (blue cells). Total price = quantity x unit price.</t>
        </is>
      </c>
    </row>
    <row r="26">
      <c r="A26" s="19" t="inlineStr">
        <is>
          <t>3. Net and gross weights come from the packing list CVV726800114, which reports them per pallet (Packing No.), not per part number.</t>
        </is>
      </c>
    </row>
    <row r="27">
      <c r="A27" s="19" t="inlineStr">
        <is>
          <t xml:space="preserve">   Pallet P7V72680227 contains 3 part numbers (R7C75-60503, R7C79-60201, R7C79-60304) sharing 24.688 kg net / 72.500 kg gross.</t>
        </is>
      </c>
    </row>
    <row r="28">
      <c r="A28" s="19" t="inlineStr">
        <is>
          <t xml:space="preserve">   Their weights below are APPORTIONED BY QUANTITY (pallet weight x part qty / pallet qty) - an estimate, not a documented per-part weight.</t>
        </is>
      </c>
    </row>
    <row r="29">
      <c r="A29" s="19" t="inlineStr">
        <is>
          <t xml:space="preserve">   All other parts are alone on their pallet, so their weights are exact.</t>
        </is>
      </c>
    </row>
    <row r="30">
      <c r="A30" s="19" t="inlineStr">
        <is>
          <t>4. Description language: no Czech description exists in the source documents, so the original English descriptions are used.</t>
        </is>
      </c>
    </row>
    <row r="31">
      <c r="A31" s="19" t="inlineStr">
        <is>
          <t>5. Cross-check: 2 500 PCS / 322.408 kg net / 596.500 kg gross here equals the packing list summary total.</t>
        </is>
      </c>
    </row>
    <row r="32">
      <c r="A32" s="19" t="inlineStr">
        <is>
          <t>6. Preferential origin statement and CBAM were not assessed - excluded at your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0" customWidth="1" min="5" max="5"/>
    <col width="20" customWidth="1" min="6" max="6"/>
  </cols>
  <sheetData>
    <row r="1">
      <c r="A1" s="20" t="inlineStr">
        <is>
          <t>Packing list CVV726800114 - pallet level (source: Wistron packing list, 2026/08/12)</t>
        </is>
      </c>
    </row>
    <row r="3">
      <c r="A3" s="4" t="inlineStr">
        <is>
          <t>Packing No.</t>
        </is>
      </c>
      <c r="B3" s="4" t="inlineStr">
        <is>
          <t>Quantity (PCS)</t>
        </is>
      </c>
      <c r="C3" s="4" t="inlineStr">
        <is>
          <t>Net weight (kg)</t>
        </is>
      </c>
      <c r="D3" s="4" t="inlineStr">
        <is>
          <t>Gross weight (kg)</t>
        </is>
      </c>
      <c r="E3" s="4" t="inlineStr">
        <is>
          <t>Cartons</t>
        </is>
      </c>
      <c r="F3" s="4" t="inlineStr">
        <is>
          <t>Measurement</t>
        </is>
      </c>
    </row>
    <row r="4">
      <c r="A4" s="21" t="inlineStr">
        <is>
          <t>P7V72680221</t>
        </is>
      </c>
      <c r="B4" s="22" t="n">
        <v>240</v>
      </c>
      <c r="C4" s="23" t="n">
        <v>142.32</v>
      </c>
      <c r="D4" s="23" t="n">
        <v>225</v>
      </c>
      <c r="E4" s="21" t="n">
        <v>12</v>
      </c>
      <c r="F4" s="24" t="inlineStr">
        <is>
          <t>120*100*116.6 CM</t>
        </is>
      </c>
    </row>
    <row r="5">
      <c r="A5" s="21" t="inlineStr">
        <is>
          <t>P7V72680222</t>
        </is>
      </c>
      <c r="B5" s="22" t="n">
        <v>384</v>
      </c>
      <c r="C5" s="23" t="n">
        <v>96</v>
      </c>
      <c r="D5" s="23" t="n">
        <v>166</v>
      </c>
      <c r="E5" s="21" t="n">
        <v>24</v>
      </c>
      <c r="F5" s="24" t="inlineStr">
        <is>
          <t>120*100*98.4 CM</t>
        </is>
      </c>
    </row>
    <row r="6">
      <c r="A6" s="21" t="inlineStr">
        <is>
          <t>P7V72680227</t>
        </is>
      </c>
      <c r="B6" s="22" t="n">
        <v>1360</v>
      </c>
      <c r="C6" s="23" t="n">
        <v>24.688</v>
      </c>
      <c r="D6" s="23" t="n">
        <v>72.5</v>
      </c>
      <c r="E6" s="21" t="n">
        <v>16</v>
      </c>
      <c r="F6" s="24" t="inlineStr">
        <is>
          <t>120*100*74 CM</t>
        </is>
      </c>
    </row>
    <row r="7">
      <c r="A7" s="21" t="inlineStr">
        <is>
          <t>P7V72680230</t>
        </is>
      </c>
      <c r="B7" s="22" t="n">
        <v>180</v>
      </c>
      <c r="C7" s="23" t="n">
        <v>9</v>
      </c>
      <c r="D7" s="23" t="n">
        <v>33</v>
      </c>
      <c r="E7" s="21" t="n">
        <v>3</v>
      </c>
      <c r="F7" s="24" t="inlineStr">
        <is>
          <t>120*100*46.4 CM</t>
        </is>
      </c>
    </row>
    <row r="8">
      <c r="A8" s="21" t="inlineStr">
        <is>
          <t>P7V72680232</t>
        </is>
      </c>
      <c r="B8" s="22" t="n">
        <v>336</v>
      </c>
      <c r="C8" s="23" t="n">
        <v>50.4</v>
      </c>
      <c r="D8" s="23" t="n">
        <v>100</v>
      </c>
      <c r="E8" s="21" t="n">
        <v>21</v>
      </c>
      <c r="F8" s="24" t="inlineStr">
        <is>
          <t>120*100*116 CM</t>
        </is>
      </c>
    </row>
    <row r="9">
      <c r="A9" s="12" t="inlineStr">
        <is>
          <t>TOTAL</t>
        </is>
      </c>
      <c r="B9" s="13">
        <f>SUM(B4:B8)</f>
        <v/>
      </c>
      <c r="C9" s="15">
        <f>SUM(C4:C8)</f>
        <v/>
      </c>
      <c r="D9" s="15">
        <f>SUM(D4:D8)</f>
        <v/>
      </c>
      <c r="E9" s="12">
        <f>SUM(E4:E8)</f>
        <v/>
      </c>
      <c r="F9" s="12" t="n"/>
    </row>
    <row r="11">
      <c r="A11" s="19" t="inlineStr">
        <is>
          <t>Blue = value taken verbatim from the packing list. Pallet P7V72680227 holds 3 different part numbers; the packing list gives no per-part weight split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2026-08-25T11:46:00Z</dcterms:created>
  <dcterms:modified xsi:type="dcterms:W3CDTF">2026-08-25T11:46:00Z</dcterms:modified>
</cp:coreProperties>
</file>