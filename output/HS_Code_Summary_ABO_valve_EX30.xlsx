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 wrapText="1"/>
    </xf>
    <xf numFmtId="0" fontId="2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4" customWidth="1" min="4" max="4"/>
    <col width="15" customWidth="1" min="5" max="5"/>
    <col width="15" customWidth="1" min="6" max="6"/>
    <col width="18" customWidth="1" min="7" max="7"/>
    <col width="20" customWidth="1" min="8" max="8"/>
    <col width="14" customWidth="1" min="9" max="9"/>
    <col width="70" customWidth="1" min="10" max="10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EUR – po slevě</t>
        </is>
      </c>
      <c r="H1" s="1" t="inlineStr">
        <is>
          <t>Hodnota EUR – před slevou</t>
        </is>
      </c>
      <c r="I1" s="1" t="inlineStr">
        <is>
          <t>Příznak</t>
        </is>
      </c>
      <c r="J1" s="1" t="inlineStr">
        <is>
          <t>TARIC / poznámka / CBAM / Antidumping</t>
        </is>
      </c>
    </row>
    <row r="2" ht="90" customHeight="1">
      <c r="A2" s="2" t="inlineStr">
        <is>
          <t>84819000</t>
        </is>
      </c>
      <c r="B2" s="3" t="inlineStr">
        <is>
          <t>Součásti průmyslových klapek (motýlové / mezipřírubové armatury) – páka, disk (motýl), těleso, redukce a náhradní díly (plug); litina/ocel; uzavírací a regulační armatury potrubí</t>
        </is>
      </c>
      <c r="C2" s="2" t="inlineStr">
        <is>
          <t>IN</t>
        </is>
      </c>
      <c r="D2" s="4" t="n">
        <v>484</v>
      </c>
      <c r="E2" s="5" t="n">
        <v>49.852</v>
      </c>
      <c r="F2" s="5" t="n">
        <v>69.452</v>
      </c>
      <c r="G2" s="6" t="n">
        <v>872.65</v>
      </c>
      <c r="H2" s="6" t="n">
        <v>872.65</v>
      </c>
      <c r="I2" s="7" t="inlineStr">
        <is>
          <t>⚠ HS + COO</t>
        </is>
      </c>
      <c r="J2" s="7" t="inlineStr">
        <is>
          <t>KLASIFIKACE dle instrukce zákazníka (84819000 – části armatur). POZOR: faktura, packing list i námořní B/L uvádějí 84314990 – nesoulad, viz list „Dokumenty a poznámky". PREFERENČNÍ PŮVOD: v dokladech NENÍ preferenční věta → platí standardní celní sazba třetí země (MFN). CBAM: kap. 84 (armatury) – mimo přílohu I CBAM, neuplatňuje se. Antidumping: pro tuto položku / původ Indie nezjištěn.</t>
        </is>
      </c>
    </row>
    <row r="3">
      <c r="A3" s="8" t="inlineStr">
        <is>
          <t>CELKEM</t>
        </is>
      </c>
      <c r="B3" s="8" t="inlineStr"/>
      <c r="C3" s="8" t="inlineStr"/>
      <c r="D3" s="8" t="n">
        <v>484</v>
      </c>
      <c r="E3" s="9" t="n">
        <v>49.852</v>
      </c>
      <c r="F3" s="9" t="n">
        <v>69.452</v>
      </c>
      <c r="G3" s="10" t="n">
        <v>872.65</v>
      </c>
      <c r="H3" s="10" t="n">
        <v>872.65</v>
      </c>
      <c r="I3" s="8" t="inlineStr"/>
      <c r="J3" s="8" t="inlineStr"/>
    </row>
    <row r="4">
      <c r="A4" s="11" t="n"/>
      <c r="B4" s="12" t="n"/>
    </row>
    <row r="5">
      <c r="A5" s="11" t="inlineStr">
        <is>
          <t>Legenda / poznámky:</t>
        </is>
      </c>
      <c r="B5" s="12" t="inlineStr"/>
    </row>
    <row r="6">
      <c r="A6" s="11" t="inlineStr">
        <is>
          <t>⚠ HS + COO</t>
        </is>
      </c>
      <c r="B6" s="12" t="inlineStr">
        <is>
          <t>HS kód dle instrukce zákazníka (84819000) se liší od dokladů (84314990); původ Indie bez preferenční věty.</t>
        </is>
      </c>
    </row>
    <row r="7">
      <c r="A7" s="11" t="inlineStr">
        <is>
          <t>Sleva</t>
        </is>
      </c>
      <c r="B7" s="12" t="inlineStr">
        <is>
          <t>Na faktuře není uvedena žádná obchodní sleva – hodnota po slevě = hodnota před slevou.</t>
        </is>
      </c>
    </row>
    <row r="8">
      <c r="A8" s="11" t="inlineStr">
        <is>
          <t>Hrubá hmotnost</t>
        </is>
      </c>
      <c r="B8" s="12" t="inlineStr">
        <is>
          <t>Dle packing listu a B/L: 69,452 kg (netto 49,852 kg).</t>
        </is>
      </c>
    </row>
    <row r="9">
      <c r="A9" t="inlineStr">
        <is>
          <t>Měna</t>
        </is>
      </c>
      <c r="B9" t="inlineStr">
        <is>
          <t>EUR (faktura EX/30/26-27).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>
        <f>== ZÁSILKA ===</f>
        <v/>
      </c>
    </row>
    <row r="2">
      <c r="A2" t="inlineStr">
        <is>
          <t>Zákazník / příjemce: ABO valve, s.r.o., Dalimilova 285/54, 783 35 Olomouc – Chomoutov, EU DIČ CZ49609050</t>
        </is>
      </c>
    </row>
    <row r="3">
      <c r="A3" t="inlineStr">
        <is>
          <t>Vývozce / původ: HYDROBENZ INDUSTRIES PVT LTD, Metoda, Rajkot, Gujarat, INDIE (COO: IN)</t>
        </is>
      </c>
    </row>
    <row r="4">
      <c r="A4" t="inlineStr">
        <is>
          <t>Faktura: EX/30/26-27 ze dne 20.4.2026, hodnota EUR 872,65, dodací podmínka EXW Metoda/Rajkot</t>
        </is>
      </c>
    </row>
    <row r="5">
      <c r="A5" t="inlineStr">
        <is>
          <t>Doprava: multimodální B/L Globelink WW India, MTD č. GAMDBRN260400427; Nhava Sheva → Praha, dodání Brno</t>
        </is>
      </c>
    </row>
    <row r="6">
      <c r="A6" t="inlineStr">
        <is>
          <t>Požadované odbavení: JSD (dovoz do EU/ČR)</t>
        </is>
      </c>
    </row>
    <row r="7">
      <c r="A7" t="inlineStr">
        <is>
          <t>Balení: 1 balík 106 × 37 × 35 cm; hrubá 69,452 kg / netto 49,852 kg; 484 ks</t>
        </is>
      </c>
    </row>
    <row r="8">
      <c r="A8" t="inlineStr"/>
    </row>
    <row r="9">
      <c r="A9" s="11">
        <f>== KLASIFIKACE HS – NESOULAD (DŮLEŽITÉ) ===</f>
        <v/>
      </c>
    </row>
    <row r="10">
      <c r="A10" t="inlineStr">
        <is>
          <t>Faktura, packing list i námořní B/L uvádějí HS 84314990 (části zdvihacích/manipulačních strojů).</t>
        </is>
      </c>
    </row>
    <row r="11">
      <c r="A11" t="inlineStr">
        <is>
          <t>Instrukce k celnímu odbavení od zákazníka uvádí HS 84819000 (části armatur) a přesný popis:</t>
        </is>
      </c>
    </row>
    <row r="12">
      <c r="A12" t="inlineStr">
        <is>
          <t xml:space="preserve">   „součásti klapek – páka, motýl, těleso, redukce, náhradní díly (plug)".</t>
        </is>
      </c>
    </row>
    <row r="13">
      <c r="A13" t="inlineStr">
        <is>
          <t>ABO valve je výrobce průmyslových klapek → 8481 90 (části kohoutů/ventilů/armatur) je věcně správné;</t>
        </is>
      </c>
    </row>
    <row r="14">
      <c r="A14" t="inlineStr">
        <is>
          <t>84314990 je pravděpodobně chybné zařazení dodavatele.</t>
        </is>
      </c>
    </row>
    <row r="15">
      <c r="A15" t="inlineStr">
        <is>
          <t>Summary je zpracováno dle instrukce zákazníka (84819000). Doporučuji potvrdit před podáním JSD.</t>
        </is>
      </c>
    </row>
    <row r="16">
      <c r="A16" t="inlineStr">
        <is>
          <t>Instrukce zákazníka rovněž žádá přesný popis zboží – NEPOUŽÍVAT „části a součásti".</t>
        </is>
      </c>
    </row>
    <row r="17">
      <c r="A17" t="inlineStr"/>
    </row>
    <row r="18">
      <c r="A18" s="11">
        <f>== PREFERENČNÍ PŮVOD (COO) ===</f>
        <v/>
      </c>
    </row>
    <row r="19">
      <c r="A19" t="inlineStr">
        <is>
          <t>V dokladech NENÍ preferenční věta (preferential-origin declaration).</t>
        </is>
      </c>
    </row>
    <row r="20">
      <c r="A20" t="inlineStr">
        <is>
          <t>Poznámky na faktuře obsahují pouze: (1) měnová doložka, (2) prohlášení o souladu s nařízením EU 833/2014 (sankce),</t>
        </is>
      </c>
    </row>
    <row r="21">
      <c r="A21" t="inlineStr">
        <is>
          <t xml:space="preserve">   což NENÍ prohlášení o preferenčním původu.</t>
        </is>
      </c>
    </row>
    <row r="22">
      <c r="A22" t="inlineStr">
        <is>
          <t>Původ = Indie. Bez platného prohlášení o preferenčním původu se uplatní STANDARDNÍ CELNÍ SAZBA TŘETÍ ZEMĚ (MFN).</t>
        </is>
      </c>
    </row>
    <row r="23">
      <c r="A23" t="inlineStr">
        <is>
          <t>Sazbu ověřit v TARIC dle finálního HS kódu.</t>
        </is>
      </c>
    </row>
    <row r="24">
      <c r="A24" t="inlineStr"/>
    </row>
    <row r="25">
      <c r="A25" s="11">
        <f>== CBAM ===</f>
        <v/>
      </c>
    </row>
    <row r="26">
      <c r="A26" t="inlineStr">
        <is>
          <t>Zboží spadá do kap. 84 (armatury / části strojů) – NENÍ v příloze I nařízení CBAM. CBAM se neuplatňuje.</t>
        </is>
      </c>
    </row>
    <row r="27">
      <c r="A27" t="inlineStr"/>
    </row>
    <row r="28">
      <c r="A28" s="11">
        <f>== ANTIDUMPING ===</f>
        <v/>
      </c>
    </row>
    <row r="29">
      <c r="A29" t="inlineStr">
        <is>
          <t>Pro položku (armatury/části) a původ Indie nebylo antidumpingové clo zjištěno. Ověřit v TARIC dle finálního HS kódu.</t>
        </is>
      </c>
    </row>
    <row r="30">
      <c r="A30" t="inlineStr"/>
    </row>
    <row r="31">
      <c r="A31" s="11">
        <f>== SLEVA ===</f>
        <v/>
      </c>
    </row>
    <row r="32">
      <c r="A32" t="inlineStr">
        <is>
          <t>Na faktuře není žádná obchodní sleva – proporcionální sleva se neuplatňuje.</t>
        </is>
      </c>
    </row>
    <row r="33">
      <c r="A33" t="inlineStr"/>
    </row>
    <row r="34">
      <c r="A34" s="11">
        <f>== HMOTNOSTI ===</f>
        <v/>
      </c>
    </row>
    <row r="35">
      <c r="A35" t="inlineStr">
        <is>
          <t>Hrubá hmotnost celkem: 69,452 kg (packing list + B/L). Čistá hmotnost: 49,852 kg. 1 HS kód → bez proporcionálního rozpadu.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2026-07-03T13:39:37Z</dcterms:created>
  <dcterms:modified xmlns:dcterms="http://purl.org/dc/terms/" xmlns:xsi="http://www.w3.org/2001/XMLSchema-instance" xsi:type="dcterms:W3CDTF">2026-07-03T13:39:37Z</dcterms:modified>
</cp:coreProperties>
</file>