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dle PN" sheetId="1" state="visible" r:id="rId1"/>
    <sheet name="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C00000"/>
      <sz val="9"/>
    </font>
    <font>
      <b val="1"/>
    </font>
    <font>
      <b val="1"/>
      <color rgb="0000000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2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</cols>
  <sheetData>
    <row r="1" ht="34" customHeight="1">
      <c r="A1" s="1" t="inlineStr">
        <is>
          <t>Part number (P/N)</t>
        </is>
      </c>
      <c r="B1" s="1" t="inlineStr">
        <is>
          <t>Popis zboží (EN – dle faktury)</t>
        </is>
      </c>
      <c r="C1" s="1" t="inlineStr">
        <is>
          <t>Popis zboží (CZ)</t>
        </is>
      </c>
      <c r="D1" s="1" t="inlineStr">
        <is>
          <t>HS kód</t>
        </is>
      </c>
      <c r="E1" s="1" t="inlineStr">
        <is>
          <t>Země původu</t>
        </is>
      </c>
      <c r="F1" s="1" t="inlineStr">
        <is>
          <t>Číslo faktury</t>
        </is>
      </c>
      <c r="G1" s="1" t="inlineStr">
        <is>
          <t>Packing No.</t>
        </is>
      </c>
      <c r="H1" s="1" t="inlineStr">
        <is>
          <t>Množství (ks)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Jednotková cena (USD)</t>
        </is>
      </c>
      <c r="L1" s="1" t="inlineStr">
        <is>
          <t>Celková hodnota (USD)</t>
        </is>
      </c>
      <c r="M1" s="1" t="inlineStr">
        <is>
          <t>Incoterm</t>
        </is>
      </c>
    </row>
    <row r="2" ht="56" customHeight="1">
      <c r="A2" s="2" t="inlineStr">
        <is>
          <t>P65808-001</t>
        </is>
      </c>
      <c r="B2" s="3" t="inlineStr">
        <is>
          <t>ASSY, ILO NIC/M.2/COM PORT, 1UMPH G11</t>
        </is>
      </c>
      <c r="C2" s="3" t="inlineStr">
        <is>
          <t>Sestava s osazenou deskou plošných spojů – iLO síťová karta / M.2 / COM port pro 1U MPH Gen11; část a příslušenství strojů pro automatizované zpracování dat</t>
        </is>
      </c>
      <c r="D2" s="2" t="inlineStr">
        <is>
          <t>8473302000</t>
        </is>
      </c>
      <c r="E2" s="2" t="inlineStr">
        <is>
          <t>VN</t>
        </is>
      </c>
      <c r="F2" s="2" t="inlineStr">
        <is>
          <t>8705786772</t>
        </is>
      </c>
      <c r="G2" s="2" t="inlineStr">
        <is>
          <t>P7V72680302</t>
        </is>
      </c>
      <c r="H2" s="4" t="n">
        <v>288</v>
      </c>
      <c r="I2" s="5" t="inlineStr">
        <is>
          <t>chybí (bez packing listu)</t>
        </is>
      </c>
      <c r="J2" s="5" t="inlineStr">
        <is>
          <t>chybí (bez packing listu)</t>
        </is>
      </c>
      <c r="K2" s="6" t="n">
        <v>25.05</v>
      </c>
      <c r="L2" s="6" t="n">
        <v>7214.4</v>
      </c>
      <c r="M2" s="2" t="inlineStr">
        <is>
          <t>DDP Kutna Hora</t>
        </is>
      </c>
    </row>
    <row r="3">
      <c r="A3" s="7" t="inlineStr">
        <is>
          <t>CELKEM</t>
        </is>
      </c>
      <c r="B3" s="8" t="n"/>
      <c r="C3" s="8" t="n"/>
      <c r="D3" s="7" t="n"/>
      <c r="E3" s="7" t="n"/>
      <c r="F3" s="7" t="n"/>
      <c r="G3" s="7" t="n"/>
      <c r="H3" s="9" t="n">
        <v>288</v>
      </c>
      <c r="I3" s="10" t="inlineStr">
        <is>
          <t>chybí (bez packing listu)</t>
        </is>
      </c>
      <c r="J3" s="10" t="inlineStr">
        <is>
          <t>chybí (bez packing listu)</t>
        </is>
      </c>
      <c r="K3" s="11" t="n"/>
      <c r="L3" s="11" t="n">
        <v>7214.4</v>
      </c>
      <c r="M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>
        <f>== ZÁSILKA ===</f>
        <v/>
      </c>
    </row>
    <row r="2">
      <c r="A2" s="13" t="inlineStr">
        <is>
          <t>POZOR: SAMOSTATNÁ položka – faktura 8705786772, Packing No. P7V72680302.</t>
        </is>
      </c>
    </row>
    <row r="3">
      <c r="A3" s="14" t="inlineStr">
        <is>
          <t>NEMÍCHAT s ostatními zásilkami: Packing No. P7V72680302 NENÍ uvedeno ani na packing listu CVV726800113 (Export VV726800135), ani na packing listu CVV726800114 (Export VV726800136). Faktura navíc nemá vyplněné Export No. ani SHIPMENT FROM – jde tedy o jinou zásilku/expedici.</t>
        </is>
      </c>
    </row>
    <row r="4">
      <c r="A4" s="14" t="inlineStr">
        <is>
          <t>Odesílatel (sender): WISTRON CORPORATION, No. 1, Zhihui Rd., Zhubei City, Hsinchu County 302059, Taiwan.</t>
        </is>
      </c>
    </row>
    <row r="5">
      <c r="A5" s="14" t="inlineStr">
        <is>
          <t>Příjemce (CZ receiver): Wistron Corp. c/o Jusda Europe s.r.o. (non-bond), Karlov 245, Kutná Hora, 284 01, ČR, EORI CZ00000000049.</t>
        </is>
      </c>
    </row>
    <row r="6">
      <c r="A6" s="14" t="inlineStr">
        <is>
          <t>Faktura: 8705786772 ze dne 12.8.2026 | S/O No.: ZUC16801806 | P/O: 4619003037 | Customer Ref.: 4619003037.</t>
        </is>
      </c>
    </row>
    <row r="7">
      <c r="A7" s="14" t="inlineStr">
        <is>
          <t>Přeprava: letecky (BY AIR) → Česká republika. Platba: T/T Pre-Pay.</t>
        </is>
      </c>
    </row>
    <row r="8">
      <c r="A8" s="14" t="inlineStr">
        <is>
          <t>INCOTERM: DDP Kutná Hora. Měna: USD. Země původu: Vietnam (VN).</t>
        </is>
      </c>
    </row>
    <row r="9">
      <c r="A9" s="14" t="inlineStr"/>
    </row>
    <row r="10">
      <c r="A10" s="12">
        <f>== KLASIFIKACE ===</f>
        <v/>
      </c>
    </row>
    <row r="11">
      <c r="A11" s="14" t="inlineStr">
        <is>
          <t>Roztříděno na žádost PODLE PART NUMBERU (P/N). Faktura obsahuje jedinou položku:</t>
        </is>
      </c>
    </row>
    <row r="12">
      <c r="A12" s="14" t="inlineStr">
        <is>
          <t>P65808-001 – ASSY, ILO NIC/M.2/COM PORT, 1UMPH G11 – 288 ks à 25,05 USD = 7 214,40 USD, HS 8473302000.</t>
        </is>
      </c>
    </row>
    <row r="13">
      <c r="A13" s="14" t="inlineStr"/>
    </row>
    <row r="14">
      <c r="A14" s="13">
        <f>== ⚠ CHYBĚJÍCÍ ÚDAJE – ČISTÁ A HRUBÁ HMOTNOST ===</f>
        <v/>
      </c>
    </row>
    <row r="15">
      <c r="A15" s="14" t="inlineStr">
        <is>
          <t>K Packing No. P7V72680302 NEBYL dodán packing list; faktury Wistron hmotnosti neuvádějí.</t>
        </is>
      </c>
    </row>
    <row r="16">
      <c r="A16" s="14" t="inlineStr">
        <is>
          <t>Sloupce „Čistá hmotnost“ a „Hrubá hmotnost“ jsou proto ponechány, ale prázdné (označeno červeně).</t>
        </is>
      </c>
    </row>
    <row r="17">
      <c r="A17" s="13" t="inlineStr">
        <is>
          <t>→ Prosím dodat packing list obsahující Packing No. P7V72680302; poté hmotnosti doplním.</t>
        </is>
      </c>
    </row>
    <row r="18">
      <c r="A18" s="14" t="inlineStr"/>
    </row>
    <row r="19">
      <c r="A19" s="12">
        <f>== POPIS ZBOŽÍ ===</f>
        <v/>
      </c>
    </row>
    <row r="20">
      <c r="A20" s="14" t="inlineStr">
        <is>
          <t>Ve zdrojových dokladech NENÍ český popis zboží – faktura je pouze v angličtině.</t>
        </is>
      </c>
    </row>
    <row r="21">
      <c r="A21" s="14" t="inlineStr">
        <is>
          <t>Sloupec „Popis zboží (CZ)“ je proto překlad/celní popis doplněný k anglickému originálu.</t>
        </is>
      </c>
    </row>
    <row r="22">
      <c r="A22" s="14" t="inlineStr"/>
    </row>
    <row r="23">
      <c r="A23" s="12">
        <f>== CBAM / ANTIDUMPING ===</f>
        <v/>
      </c>
    </row>
    <row r="24">
      <c r="A24" s="14" t="inlineStr">
        <is>
          <t>HS 8473302000 NENÍ zbožím v rozsahu CBAM – vyhledávání příjemce v registru reference/CBAM_receivers_CZ.xlsx proto nebylo prováděno. K uvedenému HS kódu nejsou známa antidumpingová opatření.</t>
        </is>
      </c>
    </row>
    <row r="25">
      <c r="A25" s="14" t="inlineStr"/>
    </row>
    <row r="26">
      <c r="A26" s="12">
        <f>== PREFERENČNÍ PŮVOD ===</f>
        <v/>
      </c>
    </row>
    <row r="27">
      <c r="A27" s="14" t="inlineStr">
        <is>
          <t>Kontrola preferenční věty nebyla dle zadání prováděna. Země původu dle faktury: Vietnam (VN).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2026-08-24T08:33:01Z</dcterms:created>
  <dcterms:modified xsi:type="dcterms:W3CDTF">2026-08-24T08:33:01Z</dcterms:modified>
</cp:coreProperties>
</file>