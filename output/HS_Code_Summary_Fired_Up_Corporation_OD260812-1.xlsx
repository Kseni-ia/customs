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faktury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 &quot;CNY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12" customWidth="1" min="10" max="10"/>
    <col width="70" customWidth="1" min="11" max="11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Počet balení (CT)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CNY – Total (faktura)</t>
        </is>
      </c>
      <c r="J1" s="1" t="inlineStr">
        <is>
          <t>Příznak</t>
        </is>
      </c>
      <c r="K1" s="1" t="inlineStr">
        <is>
          <t>TARIC / poznámka / CBAM / Antidumping</t>
        </is>
      </c>
    </row>
    <row r="2" ht="120" customHeight="1">
      <c r="A2" s="2" t="inlineStr">
        <is>
          <t>FOSHAN ODEGREE ELECTRIC APPLIANCE CO LTD (CN)</t>
        </is>
      </c>
      <c r="B2" s="2" t="inlineStr">
        <is>
          <t>8418509000</t>
        </is>
      </c>
      <c r="C2" s="2" t="inlineStr">
        <is>
          <t>SILENT MINIBAR</t>
        </is>
      </c>
      <c r="D2" s="2" t="inlineStr">
        <is>
          <t>CN</t>
        </is>
      </c>
      <c r="E2" s="3" t="n">
        <v>590</v>
      </c>
      <c r="F2" s="3" t="n">
        <v>590</v>
      </c>
      <c r="G2" s="4" t="n">
        <v>6907.5</v>
      </c>
      <c r="H2" s="4" t="n">
        <v>7497.5</v>
      </c>
      <c r="I2" s="5" t="n">
        <v>246425</v>
      </c>
      <c r="J2" s="6" t="inlineStr">
        <is>
          <t>OVĚŘIT HS</t>
        </is>
      </c>
      <c r="K2" s="6" t="inlineStr">
        <is>
          <t>HS kód převzat z tranzitního dokladu T1 (MRN 26DE485198576512J1, zboží 841850 90). Na faktuře/PL HS kód NENÍ. Popis: český popis od klienta nedodán – použit EN popis z faktury (T1 DE: 'Kühlmöbel mit eingebautem Kältesatz oder Verdampfer'). T1 uvádí Y160 – bez F-plynů. Ověřit zařazení: 'silent' minibar = absorpční/termoelektrická chladnička domácího typu → možné 8418 29 00 místo 8418 50 90. Bez CBAM, bez antidumpingu (ověřit v TARIC).</t>
        </is>
      </c>
    </row>
    <row r="3">
      <c r="A3" s="7" t="inlineStr">
        <is>
          <t>CELKEM</t>
        </is>
      </c>
      <c r="B3" s="7" t="n"/>
      <c r="C3" s="7" t="n"/>
      <c r="D3" s="7" t="n"/>
      <c r="E3" s="8" t="n">
        <v>590</v>
      </c>
      <c r="F3" s="8" t="n">
        <v>590</v>
      </c>
      <c r="G3" s="9" t="n">
        <v>6907.5</v>
      </c>
      <c r="H3" s="9" t="n">
        <v>7497.5</v>
      </c>
      <c r="I3" s="10" t="n">
        <v>246425</v>
      </c>
      <c r="J3" s="7" t="n"/>
      <c r="K3" s="7" t="n"/>
    </row>
    <row r="5">
      <c r="A5" s="11" t="inlineStr">
        <is>
          <t>Informace o zásilce:</t>
        </is>
      </c>
    </row>
    <row r="6" ht="30" customHeight="1">
      <c r="A6" s="11" t="inlineStr">
        <is>
          <t>Dodací podmínka (Incoterm)</t>
        </is>
      </c>
      <c r="B6" s="12" t="inlineStr">
        <is>
          <t>DAP Kunovice — dle 'Prohlášení o dodací podmínce' (Fired Up Corporation o.s., 8.9.2026) k faktuře OD260812-1 / kontejner TCKU7783830. POZOR: faktura i PL uvádějí 'FOB NANSHA, CHINA BY SEA' – rozpor, viz list Dokumenty a poznámky.</t>
        </is>
      </c>
    </row>
    <row r="7" ht="30" customHeight="1">
      <c r="A7" s="11" t="inlineStr">
        <is>
          <t>Odesílatel</t>
        </is>
      </c>
      <c r="B7" s="12" t="inlineStr">
        <is>
          <t>FOSHAN ODEGREE ELECTRIC APPLIANCE CO LTD, No.1 Keji 8 Lu, Xingtan Industrial Park, Shunde, Foshan, Guangdong, China</t>
        </is>
      </c>
    </row>
    <row r="8" ht="30" customHeight="1">
      <c r="A8" s="11" t="inlineStr">
        <is>
          <t>Příjemce (CZ)</t>
        </is>
      </c>
      <c r="B8" s="12" t="inlineStr">
        <is>
          <t>Fired Up Corporation o.s. (organizační složka), Na Záhonech 1467, 686 04 Kunovice; IČO 28486714, DIČ CZ28486714</t>
        </is>
      </c>
    </row>
    <row r="9" ht="30" customHeight="1">
      <c r="A9" s="11" t="inlineStr">
        <is>
          <t>Faktura / PO</t>
        </is>
      </c>
      <c r="B9" s="12" t="inlineStr">
        <is>
          <t>OD260812-1 ze dne 12.8.2026 / PO 70028</t>
        </is>
      </c>
    </row>
    <row r="10" ht="30" customHeight="1">
      <c r="A10" s="11" t="inlineStr">
        <is>
          <t>Kontejner</t>
        </is>
      </c>
      <c r="B10" s="12" t="inlineStr">
        <is>
          <t>TCKU7783830 (40HQ), 590 CT</t>
        </is>
      </c>
    </row>
    <row r="11" ht="30" customHeight="1">
      <c r="A11" s="11" t="inlineStr">
        <is>
          <t>Tranzit T1</t>
        </is>
      </c>
      <c r="B11" s="12" t="inlineStr">
        <is>
          <t>MRN 26DE485198576512J1, LRN UNI260521047, odeslání DE004851 Hamburg → určení CZ221061, lhůta 4.11.2026, hlavní povinný METRANS, a.s.</t>
        </is>
      </c>
    </row>
    <row r="12" ht="30" customHeight="1">
      <c r="A12" s="11" t="inlineStr">
        <is>
          <t>Měna / Total</t>
        </is>
      </c>
      <c r="B12" s="12" t="inlineStr">
        <is>
          <t>CNY — 'TOTAL: 246 425,00 CNY' dle faktury (bez slevy)</t>
        </is>
      </c>
    </row>
    <row r="13" ht="30" customHeight="1">
      <c r="A13" s="11" t="inlineStr">
        <is>
          <t>Preferenční věta / REX</t>
        </is>
      </c>
      <c r="B13" s="12" t="inlineStr">
        <is>
          <t>NENÍ — na faktuře žádná preferenční věta ani REX číslo → běžné clo pro třetí země.</t>
        </is>
      </c>
    </row>
    <row r="14" ht="30" customHeight="1">
      <c r="A14" s="11" t="inlineStr">
        <is>
          <t>CBAM</t>
        </is>
      </c>
      <c r="B14" s="12" t="inlineStr">
        <is>
          <t>Netýká se (kap. 84). Pozn.: FIRED UP CORPORATION (EORI IE9745731B) je v registru veden u sdíleného účtu CBAM-CZ-2025-QGM67089385721.</t>
        </is>
      </c>
    </row>
    <row r="15" ht="30" customHeight="1">
      <c r="A15" s="11" t="inlineStr">
        <is>
          <t>Melt and pour</t>
        </is>
      </c>
      <c r="B15" s="12" t="inlineStr">
        <is>
          <t>Netýká se — nejde o výrobky ze železa/oceli (kap. 72/73).</t>
        </is>
      </c>
    </row>
    <row r="16" ht="30" customHeight="1">
      <c r="A16" s="11" t="inlineStr">
        <is>
          <t>Antidumping</t>
        </is>
      </c>
      <c r="B16" s="12" t="inlineStr">
        <is>
          <t>Nezjištěno — ověřit v TARIC při podání JSD.</t>
        </is>
      </c>
    </row>
    <row r="18">
      <c r="A18" s="11" t="inlineStr">
        <is>
          <t>Legenda:</t>
        </is>
      </c>
    </row>
    <row r="19">
      <c r="A19" s="13" t="inlineStr">
        <is>
          <t>🟡 ŽLUTÁ</t>
        </is>
      </c>
      <c r="B19" t="inlineStr">
        <is>
          <t>HS kód převzat z tranzitního dokladu, ne z obchodních dokladů – ověřit zařazení před podáním JSD</t>
        </is>
      </c>
    </row>
  </sheetData>
  <mergeCells count="12">
    <mergeCell ref="B8:K8"/>
    <mergeCell ref="B14:K14"/>
    <mergeCell ref="B9:K9"/>
    <mergeCell ref="B13:K13"/>
    <mergeCell ref="B12:K12"/>
    <mergeCell ref="B7:K7"/>
    <mergeCell ref="B15:K15"/>
    <mergeCell ref="B6:K6"/>
    <mergeCell ref="B16:K16"/>
    <mergeCell ref="B10:K10"/>
    <mergeCell ref="B11:K11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8" customWidth="1" min="3" max="3"/>
    <col width="14" customWidth="1" min="4" max="4"/>
    <col width="12" customWidth="1" min="5" max="5"/>
    <col width="11" customWidth="1" min="6" max="6"/>
    <col width="13" customWidth="1" min="7" max="7"/>
    <col width="13" customWidth="1" min="8" max="8"/>
    <col width="11" customWidth="1" min="9" max="9"/>
    <col width="15" customWidth="1" min="10" max="10"/>
    <col width="14" customWidth="1" min="11" max="11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(faktura)</t>
        </is>
      </c>
      <c r="D1" s="1" t="inlineStr">
        <is>
          <t>Model zákazníka</t>
        </is>
      </c>
      <c r="E1" s="1" t="inlineStr">
        <is>
          <t>Množství (ks)</t>
        </is>
      </c>
      <c r="F1" s="1" t="inlineStr">
        <is>
          <t>Balení (CT)</t>
        </is>
      </c>
      <c r="G1" s="1" t="inlineStr">
        <is>
          <t>Hrubá hm. (kg)</t>
        </is>
      </c>
      <c r="H1" s="1" t="inlineStr">
        <is>
          <t>Čistá hm. (kg)</t>
        </is>
      </c>
      <c r="I1" s="1" t="inlineStr">
        <is>
          <t>Objem (CBM)</t>
        </is>
      </c>
      <c r="J1" s="1" t="inlineStr">
        <is>
          <t>Jedn. cena (CNY/ks)</t>
        </is>
      </c>
      <c r="K1" s="1" t="inlineStr">
        <is>
          <t>Částka (CNY)</t>
        </is>
      </c>
    </row>
    <row r="2">
      <c r="A2" s="14" t="inlineStr">
        <is>
          <t>FOSHAN ODEGREE ELECTRIC APPLIANCE CO LTD (CN)</t>
        </is>
      </c>
      <c r="B2" s="14" t="inlineStr">
        <is>
          <t>8418509000</t>
        </is>
      </c>
      <c r="C2" s="14" t="inlineStr">
        <is>
          <t>SILENT MINIBAR</t>
        </is>
      </c>
      <c r="D2" s="14" t="inlineStr">
        <is>
          <t>8939</t>
        </is>
      </c>
      <c r="E2" s="14" t="n">
        <v>215</v>
      </c>
      <c r="F2" s="14" t="n">
        <v>215</v>
      </c>
      <c r="G2" s="14" t="n">
        <v>2472.5</v>
      </c>
      <c r="H2" s="14" t="n">
        <v>2257.5</v>
      </c>
      <c r="I2" s="14" t="n">
        <v>26.294</v>
      </c>
      <c r="J2" s="14" t="n">
        <v>395</v>
      </c>
      <c r="K2" s="14" t="n">
        <v>84925</v>
      </c>
    </row>
    <row r="3">
      <c r="A3" s="14" t="inlineStr">
        <is>
          <t>FOSHAN ODEGREE ELECTRIC APPLIANCE CO LTD (CN)</t>
        </is>
      </c>
      <c r="B3" s="14" t="inlineStr">
        <is>
          <t>8418509000</t>
        </is>
      </c>
      <c r="C3" s="14" t="inlineStr">
        <is>
          <t>SILENT MINIBAR</t>
        </is>
      </c>
      <c r="D3" s="14" t="inlineStr">
        <is>
          <t>7174</t>
        </is>
      </c>
      <c r="E3" s="14" t="n">
        <v>75</v>
      </c>
      <c r="F3" s="14" t="n">
        <v>75</v>
      </c>
      <c r="G3" s="14" t="n">
        <v>1050</v>
      </c>
      <c r="H3" s="14" t="n">
        <v>975</v>
      </c>
      <c r="I3" s="14" t="n">
        <v>9.172000000000001</v>
      </c>
      <c r="J3" s="14" t="n">
        <v>440</v>
      </c>
      <c r="K3" s="14" t="n">
        <v>33000</v>
      </c>
    </row>
    <row r="4">
      <c r="A4" s="14" t="inlineStr">
        <is>
          <t>FOSHAN ODEGREE ELECTRIC APPLIANCE CO LTD (CN)</t>
        </is>
      </c>
      <c r="B4" s="14" t="inlineStr">
        <is>
          <t>8418509000</t>
        </is>
      </c>
      <c r="C4" s="14" t="inlineStr">
        <is>
          <t>SILENT MINIBAR</t>
        </is>
      </c>
      <c r="D4" s="14" t="inlineStr">
        <is>
          <t>11035</t>
        </is>
      </c>
      <c r="E4" s="14" t="n">
        <v>50</v>
      </c>
      <c r="F4" s="14" t="n">
        <v>50</v>
      </c>
      <c r="G4" s="14" t="n">
        <v>700</v>
      </c>
      <c r="H4" s="14" t="n">
        <v>650</v>
      </c>
      <c r="I4" s="14" t="n">
        <v>6.115</v>
      </c>
      <c r="J4" s="14" t="n">
        <v>440</v>
      </c>
      <c r="K4" s="14" t="n">
        <v>22000</v>
      </c>
    </row>
    <row r="5">
      <c r="A5" s="14" t="inlineStr">
        <is>
          <t>FOSHAN ODEGREE ELECTRIC APPLIANCE CO LTD (CN)</t>
        </is>
      </c>
      <c r="B5" s="14" t="inlineStr">
        <is>
          <t>8418509000</t>
        </is>
      </c>
      <c r="C5" s="14" t="inlineStr">
        <is>
          <t>SILENT MINIBAR</t>
        </is>
      </c>
      <c r="D5" s="14" t="inlineStr">
        <is>
          <t>6101</t>
        </is>
      </c>
      <c r="E5" s="14" t="n">
        <v>100</v>
      </c>
      <c r="F5" s="14" t="n">
        <v>100</v>
      </c>
      <c r="G5" s="14" t="n">
        <v>1290</v>
      </c>
      <c r="H5" s="14" t="n">
        <v>1190</v>
      </c>
      <c r="I5" s="14" t="n">
        <v>13.113</v>
      </c>
      <c r="J5" s="14" t="n">
        <v>425</v>
      </c>
      <c r="K5" s="14" t="n">
        <v>42500</v>
      </c>
    </row>
    <row r="6">
      <c r="A6" s="14" t="inlineStr">
        <is>
          <t>FOSHAN ODEGREE ELECTRIC APPLIANCE CO LTD (CN)</t>
        </is>
      </c>
      <c r="B6" s="14" t="inlineStr">
        <is>
          <t>8418509000</t>
        </is>
      </c>
      <c r="C6" s="14" t="inlineStr">
        <is>
          <t>SILENT MINIBAR</t>
        </is>
      </c>
      <c r="D6" s="14" t="inlineStr">
        <is>
          <t>11114</t>
        </is>
      </c>
      <c r="E6" s="14" t="n">
        <v>50</v>
      </c>
      <c r="F6" s="14" t="n">
        <v>50</v>
      </c>
      <c r="G6" s="14" t="n">
        <v>800</v>
      </c>
      <c r="H6" s="14" t="n">
        <v>750</v>
      </c>
      <c r="I6" s="14" t="n">
        <v>6.557</v>
      </c>
      <c r="J6" s="14" t="n">
        <v>450</v>
      </c>
      <c r="K6" s="14" t="n">
        <v>22500</v>
      </c>
    </row>
    <row r="7">
      <c r="A7" s="14" t="inlineStr">
        <is>
          <t>FOSHAN ODEGREE ELECTRIC APPLIANCE CO LTD (CN)</t>
        </is>
      </c>
      <c r="B7" s="14" t="inlineStr">
        <is>
          <t>8418509000</t>
        </is>
      </c>
      <c r="C7" s="14" t="inlineStr">
        <is>
          <t>SILENT MINIBAR</t>
        </is>
      </c>
      <c r="D7" s="14" t="inlineStr">
        <is>
          <t>9852</t>
        </is>
      </c>
      <c r="E7" s="14" t="n">
        <v>50</v>
      </c>
      <c r="F7" s="14" t="n">
        <v>50</v>
      </c>
      <c r="G7" s="14" t="n">
        <v>575</v>
      </c>
      <c r="H7" s="14" t="n">
        <v>525</v>
      </c>
      <c r="I7" s="14" t="n">
        <v>3.324</v>
      </c>
      <c r="J7" s="14" t="n">
        <v>405</v>
      </c>
      <c r="K7" s="14" t="n">
        <v>20250</v>
      </c>
    </row>
    <row r="8">
      <c r="A8" s="14" t="inlineStr">
        <is>
          <t>FOSHAN ODEGREE ELECTRIC APPLIANCE CO LTD (CN)</t>
        </is>
      </c>
      <c r="B8" s="14" t="inlineStr">
        <is>
          <t>8418509000</t>
        </is>
      </c>
      <c r="C8" s="14" t="inlineStr">
        <is>
          <t>SILENT MINIBAR</t>
        </is>
      </c>
      <c r="D8" s="14" t="inlineStr">
        <is>
          <t>8937</t>
        </is>
      </c>
      <c r="E8" s="14" t="n">
        <v>50</v>
      </c>
      <c r="F8" s="14" t="n">
        <v>50</v>
      </c>
      <c r="G8" s="14" t="n">
        <v>610</v>
      </c>
      <c r="H8" s="14" t="n">
        <v>560</v>
      </c>
      <c r="I8" s="14" t="n">
        <v>4.669</v>
      </c>
      <c r="J8" s="14" t="n">
        <v>425</v>
      </c>
      <c r="K8" s="14" t="n">
        <v>21250</v>
      </c>
    </row>
    <row r="9">
      <c r="A9" s="7" t="inlineStr">
        <is>
          <t>CELKEM</t>
        </is>
      </c>
      <c r="B9" s="7" t="n"/>
      <c r="C9" s="7" t="n"/>
      <c r="D9" s="7" t="n"/>
      <c r="E9" s="7" t="n">
        <v>590</v>
      </c>
      <c r="F9" s="7" t="n">
        <v>590</v>
      </c>
      <c r="G9" s="7" t="n">
        <v>7497.5</v>
      </c>
      <c r="H9" s="7" t="n">
        <v>6907.5</v>
      </c>
      <c r="I9" s="7" t="n">
        <v>69.244</v>
      </c>
      <c r="J9" s="7" t="n"/>
      <c r="K9" s="7" t="n">
        <v>246425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1">
        <f>== PŘIJATÉ DOKUMENTY ===</f>
        <v/>
      </c>
    </row>
    <row r="2">
      <c r="A2" t="inlineStr">
        <is>
          <t>✓ Obchodní faktura OD260812-1 (12.8.2026), PO 70028 – Foshan Odegree Electric Appliance Co Ltd → Fired Up Corporation (CZ)</t>
        </is>
      </c>
    </row>
    <row r="3">
      <c r="A3" t="inlineStr">
        <is>
          <t>✓ Packing list k faktuře OD260812-1</t>
        </is>
      </c>
    </row>
    <row r="4">
      <c r="A4" t="inlineStr">
        <is>
          <t>✓ Tranzitní doprovodný doklad T1, MRN 26DE485198576512J1 (DE004851 Hamburg → CZ221061)</t>
        </is>
      </c>
    </row>
    <row r="5">
      <c r="A5" t="inlineStr">
        <is>
          <t>✓ Prohlášení o dodací podmínce – Fired Up Corporation o.s., 8.9.2026: faktura OD260812-1 / kontejner TCKU7783830 je pod podmínkou DAP (místo určení Kunovice)</t>
        </is>
      </c>
    </row>
    <row r="6">
      <c r="A6" t="inlineStr"/>
    </row>
    <row r="7">
      <c r="A7" s="11">
        <f>== INCOTERM – ROZPOR ===</f>
        <v/>
      </c>
    </row>
    <row r="8">
      <c r="A8" t="inlineStr">
        <is>
          <t>Faktura a PL: 'FOB NANSHA, CHINA BY SEA'.</t>
        </is>
      </c>
    </row>
    <row r="9">
      <c r="A9" t="inlineStr">
        <is>
          <t>Podepsané prohlášení příjemce: DAP Kunovice. → V souhrnu uvedeno DAP Kunovice.</t>
        </is>
      </c>
    </row>
    <row r="10">
      <c r="A10" t="inlineStr">
        <is>
          <t>Dopad na celní hodnotu: při DAP cena zahrnuje dopravu až do Kunovic (lze odečíst náklady vzniklé po vstupu do EU, pokud jsou doložené);</t>
        </is>
      </c>
    </row>
    <row r="11">
      <c r="A11" t="inlineStr">
        <is>
          <t>při FOB je nutné k ceně přičíst dopravu + pojištění do místa vstupu do EU. → Potvrdit, zda je k dispozici faktura za dopravu / rozpis nákladů.</t>
        </is>
      </c>
    </row>
    <row r="12">
      <c r="A12" t="inlineStr"/>
    </row>
    <row r="13">
      <c r="A13" s="11">
        <f>== HS KÓD ===</f>
        <v/>
      </c>
    </row>
    <row r="14">
      <c r="A14" t="inlineStr">
        <is>
          <t>Obchodní doklady HS kód neuvádějí. Kód 8418 50 90 převzat z T1 ('Kühlmöbel mit eingebautem Kältesatz oder Verdampfer', Y160 – bez F-plynů).</t>
        </is>
      </c>
    </row>
    <row r="15">
      <c r="A15" t="inlineStr">
        <is>
          <t>Všech 7 modelů (8939, 7174, 11035, 6101, 11114, 9852, 8937) je stejné zboží 'SILENT MINIBAR' → sloučeno do 1 řádku.</t>
        </is>
      </c>
    </row>
    <row r="16">
      <c r="A16" t="inlineStr">
        <is>
          <t>K ověření: minibary (hotelové) bývají zařazovány jako chladničky domácího typu – 'silent' = absorpční/termoelektrické → 8418 29 00.</t>
        </is>
      </c>
    </row>
    <row r="17">
      <c r="A17" t="inlineStr">
        <is>
          <t>8418 50 = nábytek (skříně, vitríny, pulty) pro skladování a vystavování s chladicím zařízením. Doporučeno potvrdit (technický list / případně tarifní tým).</t>
        </is>
      </c>
    </row>
    <row r="18">
      <c r="A18" t="inlineStr"/>
    </row>
    <row r="19">
      <c r="A19" s="11">
        <f>== POPIS ZBOŽÍ ===</f>
        <v/>
      </c>
    </row>
    <row r="20">
      <c r="A20" t="inlineStr">
        <is>
          <t>Klient nedodal český popis; v dokladech není žádný český popis zboží. Použit anglický popis z faktury 'SILENT MINIBAR'.</t>
        </is>
      </c>
    </row>
    <row r="21">
      <c r="A21" t="inlineStr"/>
    </row>
    <row r="22">
      <c r="A22" s="11">
        <f>== PŮVOD / PREFERENCE ===</f>
        <v/>
      </c>
    </row>
    <row r="23">
      <c r="A23" t="inlineStr">
        <is>
          <t>Faktura: 'MADE IN CHINA', T1 země odeslání CN. Preferenční věta: NENÍ. REX číslo: NENÍ.</t>
        </is>
      </c>
    </row>
    <row r="24">
      <c r="A24" t="inlineStr"/>
    </row>
    <row r="25">
      <c r="A25" s="11">
        <f>== CBAM / MELT AND POUR / ANTIDUMPING ===</f>
        <v/>
      </c>
    </row>
    <row r="26">
      <c r="A26" t="inlineStr">
        <is>
          <t>CBAM: zboží kap. 84 nepodléhá CBAM. FIRED UP CORPORATION (EORI IE9745731B) je v registru mezi společnostmi mimo EU používajícími sdílený účet CBAM-CZ-2025-QGM67089385721.</t>
        </is>
      </c>
    </row>
    <row r="27">
      <c r="A27" t="inlineStr">
        <is>
          <t>Melt and pour: netýká se (nejde o železo/ocel kap. 72/73).</t>
        </is>
      </c>
    </row>
    <row r="28">
      <c r="A28" t="inlineStr">
        <is>
          <t>Antidumping: pro 8418 z CN nezjištěn – ověřit v TARIC.</t>
        </is>
      </c>
    </row>
    <row r="29">
      <c r="A29" t="inlineStr"/>
    </row>
    <row r="30">
      <c r="A30" s="11">
        <f>== HMOTNOSTI ===</f>
        <v/>
      </c>
    </row>
    <row r="31">
      <c r="A31" t="inlineStr">
        <is>
          <t>Čistá hmotnost celkem 6 907,50 kg; hrubá 7 497,50 kg (PL). T1: hrubá 7 498 kg – souhlasí. 590 ks = 590 CT, 69,243 CBM.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2026-10-23T13:16:12Z</dcterms:created>
  <dcterms:modified xmlns:dcterms="http://purl.org/dc/terms/" xmlns:xsi="http://www.w3.org/2001/XMLSchema-instance" xsi:type="dcterms:W3CDTF">2026-10-23T13:16:12Z</dcterms:modified>
</cp:coreProperties>
</file>