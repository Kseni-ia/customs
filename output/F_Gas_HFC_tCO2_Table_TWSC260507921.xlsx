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Z26000237" sheetId="1" state="visible" r:id="rId1"/>
    <sheet name="CZ26001985" sheetId="2" state="visible" r:id="rId2"/>
    <sheet name="CZ26001986" sheetId="3" state="visible" r:id="rId3"/>
    <sheet name="SELE33571700" sheetId="4" state="visible" r:id="rId4"/>
    <sheet name="TWSC260507921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1"/>
      <sz val="12"/>
      <scheme val="minor"/>
    </font>
    <font>
      <name val="Calibri"/>
      <charset val="238"/>
      <family val="2"/>
      <b val="1"/>
      <color theme="1"/>
      <sz val="14"/>
      <scheme val="minor"/>
    </font>
    <font>
      <b val="1"/>
      <sz val="1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3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3" fontId="0" fillId="0" borderId="9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/>
    </xf>
    <xf numFmtId="3" fontId="0" fillId="0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4" fillId="0" borderId="0" pivotButton="0" quotePrefix="0" xfId="0"/>
    <xf numFmtId="0" fontId="4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6" sqref="D6"/>
    </sheetView>
  </sheetViews>
  <sheetFormatPr baseColWidth="8" defaultRowHeight="14.5"/>
  <cols>
    <col width="18.1796875" customWidth="1" min="1" max="1"/>
    <col width="13.81640625" customWidth="1" min="2" max="2"/>
    <col width="36.54296875" customWidth="1" min="3" max="3"/>
    <col width="7.81640625" customWidth="1" min="4" max="4"/>
    <col width="9.81640625" customWidth="1" min="5" max="5"/>
    <col width="24.81640625" customWidth="1" min="6" max="6"/>
    <col width="16.7265625" customWidth="1" min="7" max="7"/>
    <col width="13.453125" customWidth="1" min="8" max="8"/>
    <col width="36.54296875" customWidth="1" min="10" max="10"/>
    <col width="7.81640625" customWidth="1" min="11" max="11"/>
    <col width="9.81640625" customWidth="1" min="12" max="12"/>
    <col width="24.81640625" customWidth="1" min="13" max="13"/>
  </cols>
  <sheetData>
    <row r="1" ht="39" customHeight="1">
      <c r="A1" s="30" t="inlineStr">
        <is>
          <t>Zásilka ETA 26.01.2026</t>
        </is>
      </c>
    </row>
    <row r="2" ht="15" customHeight="1" thickBot="1"/>
    <row r="3" ht="29.5" customHeight="1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  <c r="I3" s="6" t="n"/>
    </row>
    <row r="4" ht="15" customHeight="1" thickBot="1">
      <c r="A4" s="26" t="inlineStr">
        <is>
          <t>DEC20251124-044</t>
        </is>
      </c>
      <c r="B4" s="18" t="n">
        <v>8701921000</v>
      </c>
      <c r="C4" s="18" t="inlineStr">
        <is>
          <t>Traktor KIOTI CX2510CH-EU  18 kW</t>
        </is>
      </c>
      <c r="D4" s="18" t="n">
        <v>4</v>
      </c>
      <c r="E4" s="20" t="inlineStr">
        <is>
          <t>R134a</t>
        </is>
      </c>
      <c r="F4" s="24" t="n">
        <v>0.55</v>
      </c>
      <c r="G4" s="18">
        <f>((F4/1000)*H4)*D4</f>
        <v/>
      </c>
      <c r="H4" s="21" t="inlineStr">
        <is>
          <t>1430</t>
        </is>
      </c>
      <c r="I4" s="1" t="n"/>
    </row>
    <row r="5" ht="15" customHeight="1" thickBot="1">
      <c r="A5" s="26" t="n"/>
      <c r="B5" s="18" t="n">
        <v>8701931000</v>
      </c>
      <c r="C5" s="18" t="inlineStr">
        <is>
          <t>Traktor KIOTI DK6030CH-EU  43 kW</t>
        </is>
      </c>
      <c r="D5" s="18" t="n">
        <v>3</v>
      </c>
      <c r="E5" s="20" t="inlineStr">
        <is>
          <t>R134a</t>
        </is>
      </c>
      <c r="F5" s="24" t="n">
        <v>0.55</v>
      </c>
      <c r="G5" s="18">
        <f>((F5/1000)*H5)*D5</f>
        <v/>
      </c>
      <c r="H5" s="21" t="inlineStr">
        <is>
          <t>1430</t>
        </is>
      </c>
      <c r="I5" s="1" t="n"/>
    </row>
    <row r="6" ht="15" customHeight="1" thickBot="1">
      <c r="A6" s="26" t="n"/>
      <c r="B6" s="18" t="n">
        <v>8701931000</v>
      </c>
      <c r="C6" s="18" t="inlineStr">
        <is>
          <t>Traktor KIOTI RX8040PC-GE  54,5 kW</t>
        </is>
      </c>
      <c r="D6" s="18" t="n">
        <v>3</v>
      </c>
      <c r="E6" s="20" t="inlineStr">
        <is>
          <t>R134a</t>
        </is>
      </c>
      <c r="F6" s="24" t="n">
        <v>0.45</v>
      </c>
      <c r="G6" s="18">
        <f>((F6/1000)*H6)*D6</f>
        <v/>
      </c>
      <c r="H6" s="21" t="inlineStr">
        <is>
          <t>1430</t>
        </is>
      </c>
      <c r="I6" s="1" t="n"/>
    </row>
    <row r="7" ht="15" customHeight="1" thickBot="1">
      <c r="A7" s="26" t="n"/>
      <c r="B7" s="18" t="n">
        <v>8701941000</v>
      </c>
      <c r="C7" s="18" t="inlineStr">
        <is>
          <t>Traktor KIOTI HX1201PC-EU  93,5 kW</t>
        </is>
      </c>
      <c r="D7" s="18" t="n">
        <v>1</v>
      </c>
      <c r="E7" s="20" t="inlineStr">
        <is>
          <t>R134a</t>
        </is>
      </c>
      <c r="F7" s="24" t="n">
        <v>0.9</v>
      </c>
      <c r="G7" s="18">
        <f>((F7/1000)*H7)*D7</f>
        <v/>
      </c>
      <c r="H7" s="21" t="n">
        <v>1430</v>
      </c>
      <c r="I7" s="1" t="n"/>
    </row>
    <row r="8" ht="15" customHeight="1" thickBot="1">
      <c r="A8" s="26" t="n"/>
      <c r="B8" s="18" t="n">
        <v>8701941000</v>
      </c>
      <c r="C8" s="18" t="inlineStr">
        <is>
          <t>Traktor KIOTI HX1201ATC-EU  93,5 kW</t>
        </is>
      </c>
      <c r="D8" s="18" t="n">
        <v>2</v>
      </c>
      <c r="E8" s="20" t="inlineStr">
        <is>
          <t>R134a</t>
        </is>
      </c>
      <c r="F8" s="24" t="n">
        <v>0.9</v>
      </c>
      <c r="G8" s="18">
        <f>((F8/1000)*H8)*D8</f>
        <v/>
      </c>
      <c r="H8" s="21" t="n">
        <v>1430</v>
      </c>
      <c r="I8" s="1" t="n"/>
    </row>
    <row r="9" ht="15" customHeight="1" thickBot="1">
      <c r="A9" s="26" t="inlineStr">
        <is>
          <t>DEC20251124-040</t>
        </is>
      </c>
      <c r="B9" s="18" t="n">
        <v>8701931000</v>
      </c>
      <c r="C9" s="18" t="inlineStr">
        <is>
          <t>Traktor KIOTI DK6030C-EU  43kW</t>
        </is>
      </c>
      <c r="D9" s="18" t="n">
        <v>1</v>
      </c>
      <c r="E9" s="20" t="inlineStr">
        <is>
          <t>R134a</t>
        </is>
      </c>
      <c r="F9" s="24" t="n">
        <v>0.55</v>
      </c>
      <c r="G9" s="18">
        <f>((F9/1000)*H9)*D9</f>
        <v/>
      </c>
      <c r="H9" s="21" t="inlineStr">
        <is>
          <t>1430</t>
        </is>
      </c>
      <c r="I9" s="1" t="n"/>
    </row>
    <row r="10" ht="15" customHeight="1" thickBot="1">
      <c r="A10" s="26" t="n"/>
      <c r="B10" s="18" t="n">
        <v>8701921000</v>
      </c>
      <c r="C10" s="18" t="inlineStr">
        <is>
          <t>Traktor KIOTI CX2510CH-EU  18 kW</t>
        </is>
      </c>
      <c r="D10" s="18" t="n">
        <v>2</v>
      </c>
      <c r="E10" s="20" t="inlineStr">
        <is>
          <t>R134a</t>
        </is>
      </c>
      <c r="F10" s="24" t="n">
        <v>0.55</v>
      </c>
      <c r="G10" s="18">
        <f>((F10/1000)*H10)*D10</f>
        <v/>
      </c>
      <c r="H10" s="21" t="inlineStr">
        <is>
          <t>1430</t>
        </is>
      </c>
      <c r="I10" s="1" t="n"/>
    </row>
    <row r="11" ht="15" customHeight="1" thickBot="1">
      <c r="A11" s="15" t="n"/>
      <c r="B11" s="16" t="n"/>
      <c r="C11" s="16" t="n"/>
      <c r="D11" s="16" t="n"/>
      <c r="E11" s="16" t="n"/>
      <c r="F11" s="16" t="n"/>
      <c r="G11" s="16" t="n"/>
      <c r="H11" s="17" t="n"/>
    </row>
    <row r="12" ht="15" customHeight="1" thickBot="1">
      <c r="F12" s="8" t="inlineStr">
        <is>
          <t>Celkem tun ekvivalentu CO2</t>
        </is>
      </c>
      <c r="G12" s="20">
        <f>SUM(G4:G10)</f>
        <v/>
      </c>
      <c r="H12" s="25" t="n"/>
    </row>
    <row r="14" ht="15" customHeight="1" thickBot="1"/>
    <row r="15" ht="55.5" customHeight="1" thickBot="1">
      <c r="F15" s="28" t="inlineStr">
        <is>
          <t>Celkem tun ekvivalentu CO2 ve všech 5 zásilkách</t>
        </is>
      </c>
      <c r="G15" s="27">
        <f>SUM(G12, CZ26001985!G6,CZ26001986!G7,SELE33571700!G7,TWSC260507921!G11)</f>
        <v/>
      </c>
    </row>
  </sheetData>
  <mergeCells count="1">
    <mergeCell ref="A1:B1"/>
  </mergeCell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C9" sqref="C9"/>
    </sheetView>
  </sheetViews>
  <sheetFormatPr baseColWidth="8" defaultRowHeight="14.5"/>
  <cols>
    <col width="18.1796875" customWidth="1" min="1" max="1"/>
    <col width="13.81640625" customWidth="1" min="2" max="2"/>
    <col width="36.54296875" customWidth="1" min="3" max="3"/>
    <col width="7.81640625" customWidth="1" min="4" max="4"/>
    <col width="9.81640625" customWidth="1" min="5" max="5"/>
    <col width="24.81640625" customWidth="1" min="6" max="6"/>
    <col width="16.7265625" customWidth="1" min="7" max="7"/>
    <col width="13.453125" customWidth="1" min="8" max="8"/>
  </cols>
  <sheetData>
    <row r="1" ht="41.25" customHeight="1">
      <c r="A1" s="30" t="inlineStr">
        <is>
          <t>Zásilka ETA 19.02.2026</t>
        </is>
      </c>
    </row>
    <row r="2" ht="15.75" customHeight="1" thickBot="1"/>
    <row r="3" ht="36.75" customFormat="1" customHeight="1" s="6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28.5" customFormat="1" customHeight="1" s="1" thickBot="1">
      <c r="A4" s="19" t="inlineStr">
        <is>
          <t xml:space="preserve">  DEC20260102-008</t>
        </is>
      </c>
      <c r="B4" s="18" t="n">
        <v>8701931000</v>
      </c>
      <c r="C4" s="18" t="inlineStr">
        <is>
          <t>73HP TRACTOR, RX8040PC-GE</t>
        </is>
      </c>
      <c r="D4" s="18" t="n">
        <v>3</v>
      </c>
      <c r="E4" s="20" t="inlineStr">
        <is>
          <t>R134a</t>
        </is>
      </c>
      <c r="F4" s="24" t="n">
        <v>0.45</v>
      </c>
      <c r="G4" s="18">
        <f>((F4/1000)*H4)*D4</f>
        <v/>
      </c>
      <c r="H4" s="21" t="inlineStr">
        <is>
          <t>1430</t>
        </is>
      </c>
    </row>
    <row r="5" ht="12.75" customHeight="1" thickBot="1">
      <c r="A5" s="15" t="n"/>
      <c r="B5" s="16" t="n"/>
      <c r="C5" s="16" t="n"/>
      <c r="D5" s="16" t="n"/>
      <c r="E5" s="16" t="n"/>
      <c r="F5" s="16" t="n"/>
      <c r="G5" s="16" t="n"/>
      <c r="H5" s="17" t="n"/>
    </row>
    <row r="6" ht="35.25" customHeight="1" thickBot="1">
      <c r="F6" s="8" t="inlineStr">
        <is>
          <t>Celkem tun ekvivalentu CO2</t>
        </is>
      </c>
      <c r="G6" s="20">
        <f>SUM(G4:G4)</f>
        <v/>
      </c>
      <c r="H6" s="25" t="n"/>
    </row>
    <row r="7" ht="29.25" customHeight="1"/>
    <row r="17">
      <c r="K17" s="4" t="n"/>
    </row>
  </sheetData>
  <mergeCells count="1">
    <mergeCell ref="A1:B1"/>
  </mergeCell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G7" sqref="G7"/>
    </sheetView>
  </sheetViews>
  <sheetFormatPr baseColWidth="8" defaultRowHeight="14.5"/>
  <cols>
    <col width="20.54296875" customWidth="1" min="1" max="1"/>
    <col width="13.81640625" customWidth="1" min="2" max="2"/>
    <col width="24.81640625" customWidth="1" min="3" max="3"/>
    <col width="8.81640625" customWidth="1" min="4" max="5"/>
    <col width="20.7265625" customWidth="1" min="6" max="6"/>
    <col width="18.81640625" customWidth="1" min="7" max="7"/>
    <col width="13.7265625" customWidth="1" min="8" max="8"/>
  </cols>
  <sheetData>
    <row r="1" ht="36" customHeight="1">
      <c r="A1" s="2" t="inlineStr">
        <is>
          <t>Zásilka ETA 8.3.2026</t>
        </is>
      </c>
    </row>
    <row r="2" ht="15" customHeight="1" thickBot="1"/>
    <row r="3" ht="36.75" customFormat="1" customHeight="1" s="6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36" customFormat="1" customHeight="1" s="7">
      <c r="A4" s="31" t="inlineStr">
        <is>
          <t>DEC20260103-002</t>
        </is>
      </c>
      <c r="B4" s="11" t="n">
        <v>8701921000</v>
      </c>
      <c r="C4" s="11" t="inlineStr">
        <is>
          <t>CK4030CH-EU; traktor KIOTI CK4030CH-EU 29,5 kW</t>
        </is>
      </c>
      <c r="D4" s="11" t="n">
        <v>4</v>
      </c>
      <c r="E4" s="11" t="inlineStr">
        <is>
          <t>R134a</t>
        </is>
      </c>
      <c r="F4" s="22" t="n">
        <v>0.55</v>
      </c>
      <c r="G4" s="11">
        <f>((F4/1000)*H4)*D4</f>
        <v/>
      </c>
      <c r="H4" s="12" t="n">
        <v>1430</v>
      </c>
    </row>
    <row r="5" ht="36" customFormat="1" customHeight="1" s="7" thickBot="1">
      <c r="A5" s="33" t="n"/>
      <c r="B5" s="13" t="n">
        <v>8701931000</v>
      </c>
      <c r="C5" s="13" t="inlineStr">
        <is>
          <t>DK6030CH-EU; traktor KIOTI DK6030CH-EU  43kW</t>
        </is>
      </c>
      <c r="D5" s="13" t="n">
        <v>1</v>
      </c>
      <c r="E5" s="13" t="inlineStr">
        <is>
          <t>R134a</t>
        </is>
      </c>
      <c r="F5" s="23" t="n">
        <v>0.55</v>
      </c>
      <c r="G5" s="13">
        <f>((F5/1000)*H5)*D5</f>
        <v/>
      </c>
      <c r="H5" s="14" t="n">
        <v>1430</v>
      </c>
    </row>
    <row r="6" ht="11.25" customHeight="1" thickBot="1">
      <c r="A6" s="15" t="n"/>
      <c r="B6" s="16" t="n"/>
      <c r="C6" s="16" t="n"/>
      <c r="D6" s="16" t="n"/>
      <c r="E6" s="16" t="n"/>
      <c r="F6" s="16" t="n"/>
      <c r="G6" s="16" t="n"/>
      <c r="H6" s="17" t="n"/>
    </row>
    <row r="7" ht="34.5" customHeight="1" thickBot="1">
      <c r="F7" s="8" t="inlineStr">
        <is>
          <t>Celkem tun ekvivalentu CO2</t>
        </is>
      </c>
      <c r="G7" s="20">
        <f>SUM(G4:G5)</f>
        <v/>
      </c>
      <c r="H7" s="25" t="n"/>
    </row>
    <row r="12">
      <c r="H12" s="5" t="n"/>
    </row>
    <row r="13">
      <c r="H13" s="3" t="n"/>
    </row>
  </sheetData>
  <mergeCells count="1">
    <mergeCell ref="A4:A5"/>
  </mergeCells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7"/>
  <sheetViews>
    <sheetView workbookViewId="0">
      <selection activeCell="C16" sqref="C16"/>
    </sheetView>
  </sheetViews>
  <sheetFormatPr baseColWidth="8" defaultRowHeight="14.5"/>
  <cols>
    <col width="15.6328125" customWidth="1" min="1" max="1"/>
    <col width="15.54296875" customWidth="1" min="2" max="2"/>
    <col width="33" customWidth="1" min="3" max="3"/>
    <col width="22.7265625" customWidth="1" min="6" max="6"/>
    <col width="15.54296875" customWidth="1" min="7" max="7"/>
  </cols>
  <sheetData>
    <row r="2" ht="14.5" customHeight="1" thickBot="1"/>
    <row r="3" ht="44" customHeight="1" thickBot="1">
      <c r="A3" s="8" t="inlineStr">
        <is>
          <t>Invoice</t>
        </is>
      </c>
      <c r="B3" s="9" t="inlineStr">
        <is>
          <t>HSC</t>
        </is>
      </c>
      <c r="C3" s="9" t="inlineStr">
        <is>
          <t xml:space="preserve">model traktoru </t>
        </is>
      </c>
      <c r="D3" s="9" t="inlineStr">
        <is>
          <t>Počet kusů</t>
        </is>
      </c>
      <c r="E3" s="9" t="inlineStr">
        <is>
          <t>Druh HFC</t>
        </is>
      </c>
      <c r="F3" s="9" t="inlineStr">
        <is>
          <t>Čistá hmotnost HFC v klimatizaci (kg)</t>
        </is>
      </c>
      <c r="G3" s="9" t="inlineStr">
        <is>
          <t>Tuny ekvivalentu CO2</t>
        </is>
      </c>
      <c r="H3" s="10" t="inlineStr">
        <is>
          <t>GWP</t>
        </is>
      </c>
    </row>
    <row r="4" ht="15" customHeight="1" thickBot="1">
      <c r="A4" s="19" t="inlineStr">
        <is>
          <t xml:space="preserve">  DEC20260102-007</t>
        </is>
      </c>
      <c r="B4" s="18" t="n">
        <v>8701941000</v>
      </c>
      <c r="C4" s="18" t="inlineStr">
        <is>
          <t>100/110 HP TRACTOR, HX1001PC-EU</t>
        </is>
      </c>
      <c r="D4" s="18" t="n">
        <v>1</v>
      </c>
      <c r="E4" s="20" t="inlineStr">
        <is>
          <t>R134a</t>
        </is>
      </c>
      <c r="F4" s="24" t="n">
        <v>0.9</v>
      </c>
      <c r="G4" s="18">
        <f>((F4/1000)*H4)*D4</f>
        <v/>
      </c>
      <c r="H4" s="29" t="n">
        <v>1430</v>
      </c>
    </row>
    <row r="5" ht="15" customHeight="1" thickBot="1">
      <c r="A5" s="19" t="n"/>
      <c r="B5" s="18" t="n">
        <v>8701941000</v>
      </c>
      <c r="C5" s="18" t="inlineStr">
        <is>
          <t>115/125 HP TRACTOR, HX1201ATC-EU</t>
        </is>
      </c>
      <c r="D5" s="18" t="n">
        <v>2</v>
      </c>
      <c r="E5" s="20" t="inlineStr">
        <is>
          <t>R134a</t>
        </is>
      </c>
      <c r="F5" s="24" t="n">
        <v>0.9</v>
      </c>
      <c r="G5" s="18">
        <f>((F5/1000)*H5)*D5</f>
        <v/>
      </c>
      <c r="H5" s="29" t="n">
        <v>1430</v>
      </c>
    </row>
    <row r="6" ht="15" customHeight="1" thickBot="1">
      <c r="A6" s="15" t="n"/>
      <c r="B6" s="16" t="n"/>
      <c r="C6" s="16" t="n"/>
      <c r="D6" s="16" t="n"/>
      <c r="E6" s="16" t="n"/>
      <c r="F6" s="16" t="n"/>
      <c r="G6" s="16" t="n"/>
      <c r="H6" s="17" t="n"/>
    </row>
    <row r="7" ht="39" customHeight="1" thickBot="1">
      <c r="F7" s="8" t="inlineStr">
        <is>
          <t>Celkem tun ekvivalentu CO2</t>
        </is>
      </c>
      <c r="G7" s="20">
        <f>SUM(G4:G5)</f>
        <v/>
      </c>
      <c r="H7" s="25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3.8" customWidth="1" min="2" max="2"/>
    <col width="36.5" customWidth="1" min="3" max="3"/>
    <col width="7.8" customWidth="1" min="4" max="4"/>
    <col width="9.800000000000001" customWidth="1" min="5" max="5"/>
    <col width="24.8" customWidth="1" min="6" max="6"/>
    <col width="16.7" customWidth="1" min="7" max="7"/>
    <col width="13.5" customWidth="1" min="8" max="8"/>
  </cols>
  <sheetData>
    <row r="1">
      <c r="A1" s="34" t="inlineStr">
        <is>
          <t>Zásilka TWSC260507921 – faktura DEC20260527-052 (P&amp;L, spol. s r.o.)</t>
        </is>
      </c>
    </row>
    <row r="3">
      <c r="A3" s="35" t="inlineStr">
        <is>
          <t>Invoice</t>
        </is>
      </c>
      <c r="B3" s="35" t="inlineStr">
        <is>
          <t>HSC</t>
        </is>
      </c>
      <c r="C3" s="35" t="inlineStr">
        <is>
          <t>model traktoru</t>
        </is>
      </c>
      <c r="D3" s="35" t="inlineStr">
        <is>
          <t>Počet kusů</t>
        </is>
      </c>
      <c r="E3" s="35" t="inlineStr">
        <is>
          <t>Druh HFC</t>
        </is>
      </c>
      <c r="F3" s="35" t="inlineStr">
        <is>
          <t>Čistá hmotnost HFC v klimatizaci (kg)</t>
        </is>
      </c>
      <c r="G3" s="35" t="inlineStr">
        <is>
          <t>Tuny ekvivalentu CO2</t>
        </is>
      </c>
      <c r="H3" s="35" t="inlineStr">
        <is>
          <t>GWP</t>
        </is>
      </c>
    </row>
    <row r="4">
      <c r="A4" s="36" t="inlineStr">
        <is>
          <t>DEC20260527-052</t>
        </is>
      </c>
      <c r="B4" s="36" t="n">
        <v>8701931000</v>
      </c>
      <c r="C4" s="37" t="inlineStr">
        <is>
          <t>Traktor KIOTI DK6030C-EU  43 kW</t>
        </is>
      </c>
      <c r="D4" s="36" t="n">
        <v>2</v>
      </c>
      <c r="E4" s="36" t="inlineStr">
        <is>
          <t>R134a</t>
        </is>
      </c>
      <c r="F4" s="36" t="n">
        <v>0.55</v>
      </c>
      <c r="G4" s="36">
        <f>((F4/1000)*H4)*D4</f>
        <v/>
      </c>
      <c r="H4" s="36" t="n">
        <v>1430</v>
      </c>
    </row>
    <row r="5">
      <c r="A5" s="36" t="n"/>
      <c r="B5" s="36" t="n">
        <v>8701931000</v>
      </c>
      <c r="C5" s="37" t="inlineStr">
        <is>
          <t>Traktor KIOTI RX8040PC-GE  54,5 kW</t>
        </is>
      </c>
      <c r="D5" s="36" t="n">
        <v>1</v>
      </c>
      <c r="E5" s="36" t="inlineStr">
        <is>
          <t>R134a</t>
        </is>
      </c>
      <c r="F5" s="36" t="n">
        <v>0.45</v>
      </c>
      <c r="G5" s="36">
        <f>((F5/1000)*H5)*D5</f>
        <v/>
      </c>
      <c r="H5" s="36" t="n">
        <v>1430</v>
      </c>
    </row>
    <row r="6">
      <c r="A6" s="36" t="n"/>
      <c r="B6" s="36" t="n">
        <v>8701941000</v>
      </c>
      <c r="C6" s="37" t="inlineStr">
        <is>
          <t>Traktor KIOTI HX1201PC-EU  93,5 kW</t>
        </is>
      </c>
      <c r="D6" s="36" t="n">
        <v>1</v>
      </c>
      <c r="E6" s="36" t="inlineStr">
        <is>
          <t>R134a</t>
        </is>
      </c>
      <c r="F6" s="36" t="n">
        <v>0.9</v>
      </c>
      <c r="G6" s="36">
        <f>((F6/1000)*H6)*D6</f>
        <v/>
      </c>
      <c r="H6" s="36" t="n">
        <v>1430</v>
      </c>
    </row>
    <row r="7">
      <c r="A7" s="36" t="n"/>
      <c r="B7" s="36" t="n">
        <v>8701931000</v>
      </c>
      <c r="C7" s="37" t="inlineStr">
        <is>
          <t>Traktor KIOTI DK6030HS-EU  43 kW</t>
        </is>
      </c>
      <c r="D7" s="36" t="n">
        <v>2</v>
      </c>
      <c r="E7" s="36" t="inlineStr">
        <is>
          <t>R134a</t>
        </is>
      </c>
      <c r="F7" s="36" t="n">
        <v>0.55</v>
      </c>
      <c r="G7" s="36">
        <f>((F7/1000)*H7)*D7</f>
        <v/>
      </c>
      <c r="H7" s="36" t="n">
        <v>1430</v>
      </c>
    </row>
    <row r="8">
      <c r="A8" s="36" t="n"/>
      <c r="B8" s="36" t="n">
        <v>8701931000</v>
      </c>
      <c r="C8" s="37" t="inlineStr">
        <is>
          <t>Traktor KIOTI DK6030CH-EU  43 kW</t>
        </is>
      </c>
      <c r="D8" s="36" t="n">
        <v>5</v>
      </c>
      <c r="E8" s="36" t="inlineStr">
        <is>
          <t>R134a</t>
        </is>
      </c>
      <c r="F8" s="36" t="n">
        <v>0.55</v>
      </c>
      <c r="G8" s="36">
        <f>((F8/1000)*H8)*D8</f>
        <v/>
      </c>
      <c r="H8" s="36" t="n">
        <v>1430</v>
      </c>
    </row>
    <row r="9">
      <c r="A9" s="36" t="n"/>
      <c r="B9" s="36" t="n">
        <v>8701941000</v>
      </c>
      <c r="C9" s="37" t="inlineStr">
        <is>
          <t>Traktor KIOTI HX1201ATC-EU  93,5 kW</t>
        </is>
      </c>
      <c r="D9" s="36" t="n">
        <v>1</v>
      </c>
      <c r="E9" s="36" t="inlineStr">
        <is>
          <t>R134a</t>
        </is>
      </c>
      <c r="F9" s="36" t="n">
        <v>0.9</v>
      </c>
      <c r="G9" s="36">
        <f>((F9/1000)*H9)*D9</f>
        <v/>
      </c>
      <c r="H9" s="36" t="n">
        <v>1430</v>
      </c>
    </row>
    <row r="11">
      <c r="F11" s="35" t="inlineStr">
        <is>
          <t>Celkem tun ekvivalentu CO2</t>
        </is>
      </c>
      <c r="G11" s="38">
        <f>SUM(G4:G9)</f>
        <v/>
      </c>
    </row>
    <row r="13">
      <c r="A13" s="39" t="inlineStr">
        <is>
          <t>Pozn.: DK6030HS-EU není v předchozích zásilkách; náplň HFC 0,55 kg odvozena z řady DK6030 (shodná s DK6030C-EU / DK6030CH-EU).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Věra Šimunková</dc:creator>
  <dcterms:created xsi:type="dcterms:W3CDTF">2026-01-21T11:03:33Z</dcterms:created>
  <dcterms:modified xsi:type="dcterms:W3CDTF">2026-07-16T11:29:58Z</dcterms:modified>
  <cp:lastModifiedBy>Robotka David</cp:lastModifiedBy>
</cp:coreProperties>
</file>