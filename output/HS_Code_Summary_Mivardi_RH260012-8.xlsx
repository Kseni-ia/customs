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3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vertical="top" wrapText="1"/>
    </xf>
    <xf numFmtId="3" fontId="0" fillId="3" borderId="1" pivotButton="0" quotePrefix="0" xfId="0"/>
    <xf numFmtId="4" fontId="0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26" customWidth="1" min="4" max="4"/>
    <col width="12" customWidth="1" min="5" max="5"/>
    <col width="14" customWidth="1" min="6" max="6"/>
    <col width="14" customWidth="1" min="7" max="7"/>
    <col width="16" customWidth="1" min="8" max="8"/>
    <col width="12" customWidth="1" min="9" max="9"/>
    <col width="55" customWidth="1" min="10" max="10"/>
  </cols>
  <sheetData>
    <row r="1">
      <c r="A1" s="1" t="inlineStr">
        <is>
          <t>HS kód</t>
        </is>
      </c>
      <c r="B1" s="1" t="inlineStr">
        <is>
          <t>Popis zboží (CZ)</t>
        </is>
      </c>
      <c r="C1" s="1" t="inlineStr">
        <is>
          <t>Země původu (COO)</t>
        </is>
      </c>
      <c r="D1" s="1" t="inlineStr">
        <is>
          <t>Odesílatel</t>
        </is>
      </c>
      <c r="E1" s="1" t="inlineStr">
        <is>
          <t>Celkové množství (ks)</t>
        </is>
      </c>
      <c r="F1" s="1" t="inlineStr">
        <is>
          <t>Čistá hmotnost (kg)</t>
        </is>
      </c>
      <c r="G1" s="1" t="inlineStr">
        <is>
          <t>Hrubá hmotnost (kg)</t>
        </is>
      </c>
      <c r="H1" s="1" t="inlineStr">
        <is>
          <t>Hodnota USD (FOB)</t>
        </is>
      </c>
      <c r="I1" s="1" t="inlineStr">
        <is>
          <t>Příznak</t>
        </is>
      </c>
      <c r="J1" s="1" t="inlineStr">
        <is>
          <t>TARIC / poznámka / CBAM / Antidumping</t>
        </is>
      </c>
    </row>
    <row r="2">
      <c r="A2" s="2" t="inlineStr">
        <is>
          <t>63062200</t>
        </is>
      </c>
      <c r="B2" s="3" t="inlineStr">
        <is>
          <t>Přístřešek Base Station MK2</t>
        </is>
      </c>
      <c r="C2" s="2" t="inlineStr">
        <is>
          <t>CN</t>
        </is>
      </c>
      <c r="D2" s="2" t="inlineStr">
        <is>
          <t>Hangzhou Revo Products Co., Ltd</t>
        </is>
      </c>
      <c r="E2" s="4" t="n">
        <v>392</v>
      </c>
      <c r="F2" s="5" t="n">
        <v>5221.44</v>
      </c>
      <c r="G2" s="5" t="n">
        <v>5613.44</v>
      </c>
      <c r="H2" s="5" t="n">
        <v>34378.4</v>
      </c>
      <c r="I2" s="2" t="inlineStr"/>
      <c r="J2" s="3" t="inlineStr"/>
    </row>
    <row r="3">
      <c r="A3" s="2" t="inlineStr">
        <is>
          <t>66011000</t>
        </is>
      </c>
      <c r="B3" s="3" t="inlineStr">
        <is>
          <t>Session Umbrella XL (s komplet zakrytím)</t>
        </is>
      </c>
      <c r="C3" s="2" t="inlineStr">
        <is>
          <t>CN</t>
        </is>
      </c>
      <c r="D3" s="2" t="inlineStr">
        <is>
          <t>Hangzhou Revo Products Co., Ltd</t>
        </is>
      </c>
      <c r="E3" s="4" t="n">
        <v>713</v>
      </c>
      <c r="F3" s="5" t="n">
        <v>4278</v>
      </c>
      <c r="G3" s="5" t="n">
        <v>4941.09</v>
      </c>
      <c r="H3" s="5" t="n">
        <v>22459.5</v>
      </c>
      <c r="I3" s="2" t="inlineStr"/>
      <c r="J3" s="3" t="inlineStr"/>
    </row>
    <row r="4">
      <c r="A4" s="6" t="inlineStr">
        <is>
          <t>63061200</t>
        </is>
      </c>
      <c r="B4" s="7" t="inlineStr">
        <is>
          <t>Bivak Entrix XL – kompletní přehoz; Přístřešek Base Station MK2 – sada vnitřních organizérů (2 ks); Přístřešek Base Camp – sada závěsných organizérů (4 ks)</t>
        </is>
      </c>
      <c r="C4" s="6" t="inlineStr">
        <is>
          <t>CN</t>
        </is>
      </c>
      <c r="D4" s="6" t="inlineStr">
        <is>
          <t>Hangzhou Revo Products Co., Ltd</t>
        </is>
      </c>
      <c r="E4" s="8" t="n">
        <v>814</v>
      </c>
      <c r="F4" s="9" t="n">
        <v>980.8</v>
      </c>
      <c r="G4" s="9" t="n">
        <v>1141.6</v>
      </c>
      <c r="H4" s="9" t="n">
        <v>14678</v>
      </c>
      <c r="I4" s="6" t="inlineStr">
        <is>
          <t>OVĚŘIT HS</t>
        </is>
      </c>
      <c r="J4" s="7" t="inlineStr">
        <is>
          <t>HBL uvádí pro přehoz 630622 a pro organizéry 630790; použit kód z katalogu klienta 63061200. Ověřit.</t>
        </is>
      </c>
    </row>
    <row r="5">
      <c r="A5" s="6" t="inlineStr">
        <is>
          <t>66039090</t>
        </is>
      </c>
      <c r="B5" s="7" t="inlineStr">
        <is>
          <t>Session Umbrella XL – sady stabilizačních tyčí (standard 4+4 ks a Hardcore 4+4 ks)</t>
        </is>
      </c>
      <c r="C5" s="6" t="inlineStr">
        <is>
          <t>CN</t>
        </is>
      </c>
      <c r="D5" s="6" t="inlineStr">
        <is>
          <t>Hangzhou Revo Products Co., Ltd</t>
        </is>
      </c>
      <c r="E5" s="8" t="n">
        <v>145</v>
      </c>
      <c r="F5" s="9" t="n">
        <v>240.4</v>
      </c>
      <c r="G5" s="9" t="n">
        <v>265</v>
      </c>
      <c r="H5" s="9" t="n">
        <v>2225</v>
      </c>
      <c r="I5" s="6" t="inlineStr">
        <is>
          <t>OVĚŘIT HS</t>
        </is>
      </c>
      <c r="J5" s="7" t="inlineStr">
        <is>
          <t>Pozor: HBL uvádí pro stabilizační tyče HS 761699 (hliník ⇒ CBAM zboží). Katalog klienta uvádí 66039090 (části deštníků, bez CBAM). Nutno potvrdit správné zařazení před podáním JSD.</t>
        </is>
      </c>
    </row>
    <row r="6">
      <c r="A6" s="10" t="inlineStr">
        <is>
          <t>CELKEM</t>
        </is>
      </c>
      <c r="B6" s="2" t="n"/>
      <c r="C6" s="2" t="n"/>
      <c r="D6" s="2" t="n"/>
      <c r="E6" s="11" t="n">
        <v>2064</v>
      </c>
      <c r="F6" s="12" t="n">
        <v>10720.64</v>
      </c>
      <c r="G6" s="12" t="n">
        <v>11961.13</v>
      </c>
      <c r="H6" s="12" t="n">
        <v>73740.89999999999</v>
      </c>
      <c r="I6" s="2" t="n"/>
      <c r="J6" s="2" t="n"/>
    </row>
    <row r="8">
      <c r="A8" s="13" t="inlineStr">
        <is>
          <t>Legenda / poznámky:</t>
        </is>
      </c>
    </row>
    <row r="9">
      <c r="A9" s="13" t="inlineStr">
        <is>
          <t>⚠️ PREFERENČNÍ VĚTA</t>
        </is>
      </c>
      <c r="B9" s="14" t="inlineStr">
        <is>
          <t>V dokladech NENÍ preferenční věta. Země původu Čína – EU nemá s ČLR preferenční dohodu, platí standardní celní sazba třetích zemí. (U CN se preferenční věta neočekává.)</t>
        </is>
      </c>
    </row>
    <row r="10">
      <c r="A10" s="13" t="inlineStr">
        <is>
          <t>🟡 ŽLUTÁ</t>
        </is>
      </c>
      <c r="B10" s="14" t="inlineStr">
        <is>
          <t>Rozpor v HS kódu mezi HBL a katalogem klienta – ověřit zařazení před podáním JSD.</t>
        </is>
      </c>
    </row>
    <row r="11">
      <c r="A11" s="13" t="inlineStr">
        <is>
          <t>Sleva</t>
        </is>
      </c>
      <c r="B11" s="14" t="inlineStr">
        <is>
          <t>Na faktuře RH260012-8 není uplatněna žádná obchodní sleva – hodnoty = fakturované částky FOB Ningbo.</t>
        </is>
      </c>
    </row>
    <row r="12">
      <c r="A12" s="13" t="inlineStr">
        <is>
          <t>CBAM</t>
        </is>
      </c>
      <c r="B12" s="14" t="inlineStr">
        <is>
          <t>Při zařazení dle katalogu klienta (6306/6601/6603) se CBAM neuplatní. POZOR: pokud by stabilizační tyče byly zařazeny dle HBL jako 761699 (hliník), jednalo by se o CBAM zboží (NW 240,4 kg).</t>
        </is>
      </c>
    </row>
    <row r="13">
      <c r="A13" s="13" t="inlineStr">
        <is>
          <t>Antidumping</t>
        </is>
      </c>
      <c r="B13" s="14" t="inlineStr">
        <is>
          <t>Pro HS 63061200, 63062200, 66011000, 66039090 z ČLR nebyla identifikována platná antidumpingová opatření. Ověřit v TARIC při podání JSD.</t>
        </is>
      </c>
    </row>
  </sheetData>
  <mergeCells count="5">
    <mergeCell ref="B11:J11"/>
    <mergeCell ref="B10:J10"/>
    <mergeCell ref="B9:J9"/>
    <mergeCell ref="B12:J12"/>
    <mergeCell ref="B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3">
        <f>== ZÁSILKA ===</f>
        <v/>
      </c>
    </row>
    <row r="2">
      <c r="A2" t="inlineStr">
        <is>
          <t>Klient / příjemce: MIVARDI s.r.o., Tlusteho 2401/4, 193 00 Praha 9</t>
        </is>
      </c>
    </row>
    <row r="3">
      <c r="A3" t="inlineStr">
        <is>
          <t>Odesílatel: Hangzhou Revo Products Co., Ltd, Lin'An District, Hangzhou, Čína (jediný odesílatel v zásilce)</t>
        </is>
      </c>
    </row>
    <row r="4">
      <c r="A4" t="inlineStr">
        <is>
          <t>Faktura č.: RH260012-8 ze dne 11.6.2026 – 8. kontejner po moři</t>
        </is>
      </c>
    </row>
    <row r="5">
      <c r="A5" t="inlineStr">
        <is>
          <t>HBL: DK26060440CNNGBCZMNKFD (Maurice Ward &amp; Co., s.r.o.), naloděno 13.6.2026, MANILA MAERSK/624W</t>
        </is>
      </c>
    </row>
    <row r="6">
      <c r="A6" t="inlineStr">
        <is>
          <t>Kontejner: MRSU2375316 / pečeť CN9004560 / 1×40HQ / 1418 ctns / 2064 ks</t>
        </is>
      </c>
    </row>
    <row r="7">
      <c r="A7" t="inlineStr">
        <is>
          <t>Trasa: Ningbo, Čína → Bremerhaven → Mělník, ČR</t>
        </is>
      </c>
    </row>
    <row r="8">
      <c r="A8" t="inlineStr">
        <is>
          <t>Hmotnost: čistá 10 720,64 kg / hrubá 11 961,13 kg (souhlasí packing list i HBL) / 64,45 CBM</t>
        </is>
      </c>
    </row>
    <row r="9">
      <c r="A9" t="inlineStr">
        <is>
          <t>Hodnota: 73 740,90 USD, FOB Ningbo, freight collect</t>
        </is>
      </c>
    </row>
    <row r="10">
      <c r="A10" t="inlineStr"/>
    </row>
    <row r="11">
      <c r="A11" s="13">
        <f>== ⚠️ PREFERENČNÍ VĚTA (COO) ===</f>
        <v/>
      </c>
    </row>
    <row r="12">
      <c r="A12" t="inlineStr">
        <is>
          <t>Faktura ani HBL NEOBSAHUJÍ preferenční větu. Uvedeno pouze 'COUNTRY OF ORIGIN CHINA'.</t>
        </is>
      </c>
    </row>
    <row r="13">
      <c r="A13" t="inlineStr">
        <is>
          <t>EU nemá s Čínou preferenční dohodu → platí standardní (erga omnes) celní sazba třetích zemí.</t>
        </is>
      </c>
    </row>
    <row r="14">
      <c r="A14" t="inlineStr"/>
    </row>
    <row r="15">
      <c r="A15" s="13">
        <f>== ROZPOR V HS KÓDECH (HBL vs. katalog klienta) ===</f>
        <v/>
      </c>
    </row>
    <row r="16">
      <c r="A16" t="inlineStr">
        <is>
          <t>HBL uvádí: FISHING BIVVY 630622 / WALL ORGANIZER SET 630790 / FISHING UMBRELLA 660110 / TENSION BAR SET 761699.</t>
        </is>
      </c>
    </row>
    <row r="17">
      <c r="A17" t="inlineStr">
        <is>
          <t>Katalog klienta (revo8_HS_kodyy.xlsx): přehoz Entrix XL a organizéry 63061200, přístřešek 63062200,</t>
        </is>
      </c>
    </row>
    <row r="18">
      <c r="A18" t="inlineStr">
        <is>
          <t>deštník 66011000, stabilizační tyče 66039090.</t>
        </is>
      </c>
    </row>
    <row r="19">
      <c r="A19" t="inlineStr">
        <is>
          <t>V souhrnu použity kódy z katalogu klienta (mají přednost), rozpor označen žlutě – POTVRDIT před podáním JSD.</t>
        </is>
      </c>
    </row>
    <row r="20">
      <c r="A20" t="inlineStr">
        <is>
          <t>Dopad: 761699 (hliník) by znamenalo CBAM povinnost; 66039090 nikoli.</t>
        </is>
      </c>
    </row>
    <row r="21">
      <c r="A21" t="inlineStr"/>
    </row>
    <row r="22">
      <c r="A22" s="13">
        <f>== CBAM ===</f>
        <v/>
      </c>
    </row>
    <row r="23">
      <c r="A23" t="inlineStr">
        <is>
          <t>Při zařazení dle katalogu klienta žádný kód nespadá pod CBAM.</t>
        </is>
      </c>
    </row>
    <row r="24">
      <c r="A24" t="inlineStr">
        <is>
          <t>Riziko: stabilizační tyče dle HBL 761699 = výrobky z hliníku → CBAM zboží (NW 240,4 kg, pod limitem de minimis 50 t/rok - kód Y137).</t>
        </is>
      </c>
    </row>
    <row r="25">
      <c r="A25" t="inlineStr"/>
    </row>
    <row r="26">
      <c r="A26" s="13">
        <f>== ANTIDUMPING ===</f>
        <v/>
      </c>
    </row>
    <row r="27">
      <c r="A27" t="inlineStr">
        <is>
          <t>Pro HS 63061200, 63062200, 66011000, 66039090 původ CN nebyla k datu zpracování identifikována platná AD opatření.</t>
        </is>
      </c>
    </row>
    <row r="28">
      <c r="A28" t="inlineStr">
        <is>
          <t>Ověřit aktuální stav v TARIC při podání JSD.</t>
        </is>
      </c>
    </row>
    <row r="29">
      <c r="A29" t="inlineStr"/>
    </row>
    <row r="30">
      <c r="A30" s="13">
        <f>== SLEVA ===</f>
        <v/>
      </c>
    </row>
    <row r="31">
      <c r="A31" t="inlineStr">
        <is>
          <t>Žádná obchodní sleva na faktuře – proporcionální rozpočet slevy se neuplatní.</t>
        </is>
      </c>
    </row>
    <row r="32">
      <c r="A32" t="inlineStr"/>
    </row>
    <row r="33">
      <c r="A33" s="13">
        <f>== INCOTERM ===</f>
        <v/>
      </c>
    </row>
    <row r="34">
      <c r="A34" t="inlineStr">
        <is>
          <t>FOB NINGBO (dle faktury), freight collect dle HBL. Sloupec incoterm se v souhrnu dle pravidel neuvádí.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2026-07-18T12:18:46Z</dcterms:created>
  <dcterms:modified xsi:type="dcterms:W3CDTF">2026-07-18T12:18:46Z</dcterms:modified>
</cp:coreProperties>
</file>