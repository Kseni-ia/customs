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 Summary" sheetId="1" state="visible" r:id="rId1"/>
    <sheet xmlns:r="http://schemas.openxmlformats.org/officeDocument/2006/relationships" name="Návrh dle EU TARIC" sheetId="2" state="visible" r:id="rId2"/>
    <sheet xmlns:r="http://schemas.openxmlformats.org/officeDocument/2006/relationships" name="Dokumenty a poznámk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4" fontId="0" fillId="5" borderId="1" applyAlignment="1" pivotButton="0" quotePrefix="0" xfId="0">
      <alignment vertical="top" wrapText="1"/>
    </xf>
    <xf numFmtId="0" fontId="1" fillId="6" borderId="1" pivotButton="0" quotePrefix="0" xfId="0"/>
    <xf numFmtId="0" fontId="0" fillId="6" borderId="1" pivotButton="0" quotePrefix="0" xfId="0"/>
    <xf numFmtId="164" fontId="1" fillId="6" borderId="1" pivotButton="0" quotePrefix="0" xfId="0"/>
    <xf numFmtId="4" fontId="1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  <col width="36" customWidth="1" min="4" max="4"/>
    <col width="34" customWidth="1" min="5" max="5"/>
    <col width="14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6" customWidth="1" min="12" max="12"/>
    <col width="70" customWidth="1" min="13" max="13"/>
  </cols>
  <sheetData>
    <row r="1">
      <c r="A1" s="1" t="inlineStr">
        <is>
          <t>Zásilka</t>
        </is>
      </c>
      <c r="B1" t="inlineStr">
        <is>
          <t>DON_WUXI_2026_08_24 – B/L F202618482, kontejner MRSU1207180 (1×20' FCL), plomba CN8120427</t>
        </is>
      </c>
    </row>
    <row r="2">
      <c r="A2" s="1" t="inlineStr">
        <is>
          <t>Odesílatel</t>
        </is>
      </c>
      <c r="B2" t="inlineStr">
        <is>
          <t>DONALDSON (WUXI) FILTERS CO., LTD., No.8 Xi Kun Rd, Wuxi-Singapore Industrial Park, Wuxi, Jiangsu 214028, CN</t>
        </is>
      </c>
    </row>
    <row r="3">
      <c r="A3" s="1" t="inlineStr">
        <is>
          <t>Příjemce</t>
        </is>
      </c>
      <c r="B3" t="inlineStr">
        <is>
          <t>DONALDSON INDUSTRIAL CR SRO, Královský Vrch 1986, 432 01 Kadaň – EORI/DIČ CZ27265579</t>
        </is>
      </c>
    </row>
    <row r="4">
      <c r="A4" s="1" t="inlineStr">
        <is>
          <t>Incoterm</t>
        </is>
      </c>
      <c r="B4" t="inlineStr">
        <is>
          <t>FCA Wuxi (Donaldson facility, No.8 Xi Kun Rd, Wuxi) – freight collect</t>
        </is>
      </c>
    </row>
    <row r="5">
      <c r="A5" s="1" t="inlineStr">
        <is>
          <t>Faktury</t>
        </is>
      </c>
      <c r="B5" t="inlineStr">
        <is>
          <t>30600168757 (19 090,10 CNY), 30600168758 (89 833,99 CNY), 30600168759 (42 668,50 CNY) – vše 14.09.2026</t>
        </is>
      </c>
    </row>
    <row r="6">
      <c r="A6" s="1" t="inlineStr">
        <is>
          <t>Měna / hodnota</t>
        </is>
      </c>
      <c r="B6" t="inlineStr">
        <is>
          <t>CNY – částka „Total“ z každé faktury; sleva na fakturách není</t>
        </is>
      </c>
    </row>
    <row r="7">
      <c r="A7" s="1" t="inlineStr">
        <is>
          <t>Doprava</t>
        </is>
      </c>
      <c r="B7" t="inlineStr">
        <is>
          <t>AL DAHNA EXPRESS 637W, Shanghai → Bremerhaven → Mělník, naloženo 23.09.2026; 18 koleček, 2 003 kg, 22,15 CBM</t>
        </is>
      </c>
    </row>
    <row r="9">
      <c r="A9" s="2" t="inlineStr">
        <is>
          <t>Odesílatel</t>
        </is>
      </c>
      <c r="B9" s="2" t="inlineStr">
        <is>
          <t>HS kód (dle podkladů)</t>
        </is>
      </c>
      <c r="C9" s="2" t="inlineStr">
        <is>
          <t>Navržený EU TARIC (ke kontrole)</t>
        </is>
      </c>
      <c r="D9" s="2" t="inlineStr">
        <is>
          <t>Popis zboží (CZ – dle klienta)</t>
        </is>
      </c>
      <c r="E9" s="2" t="inlineStr">
        <is>
          <t>Položky (part no. × ks)</t>
        </is>
      </c>
      <c r="F9" s="2" t="inlineStr">
        <is>
          <t>Faktura</t>
        </is>
      </c>
      <c r="G9" s="2" t="inlineStr">
        <is>
          <t>Země původu (COO)</t>
        </is>
      </c>
      <c r="H9" s="2" t="inlineStr">
        <is>
          <t>Celkové množství (ks)</t>
        </is>
      </c>
      <c r="I9" s="2" t="inlineStr">
        <is>
          <t>Čistá hmotnost (kg)</t>
        </is>
      </c>
      <c r="J9" s="2" t="inlineStr">
        <is>
          <t>Hrubá hmotnost (kg)</t>
        </is>
      </c>
      <c r="K9" s="2" t="inlineStr">
        <is>
          <t>Hodnota – Total (CNY)</t>
        </is>
      </c>
      <c r="L9" s="2" t="inlineStr">
        <is>
          <t>Příznak</t>
        </is>
      </c>
      <c r="M9" s="2" t="inlineStr">
        <is>
          <t>Poznámka / CBAM / Antidumping</t>
        </is>
      </c>
    </row>
    <row r="10">
      <c r="A10" s="3" t="inlineStr">
        <is>
          <t>DONALDSON (WUXI) FILTERS CO., LTD.</t>
        </is>
      </c>
      <c r="B10" s="3" t="inlineStr">
        <is>
          <t>8421392290</t>
        </is>
      </c>
      <c r="C10" s="3" t="inlineStr">
        <is>
          <t>8421 39 25 (TARIC …10/…90 ověřit)</t>
        </is>
      </c>
      <c r="D10" s="3" t="inlineStr">
        <is>
          <t>Vrchní část předvyrobené filtrační jednotky; Spodní část předvyrobené filtrační jednotky</t>
        </is>
      </c>
      <c r="E10" s="3" t="inlineStr">
        <is>
          <t>UMA150TOPKADAN ×1, UMA153BOTTOMKADAN ×1, UMA100TOPKADANATEX ×2, UMA456BOTTOMKADANATEX ×2, UMA70TOPKADANATEX ×1</t>
        </is>
      </c>
      <c r="F10" s="3" t="inlineStr">
        <is>
          <t>30600168757, 30600168758, 30600168759</t>
        </is>
      </c>
      <c r="G10" s="3" t="inlineStr">
        <is>
          <t>CN</t>
        </is>
      </c>
      <c r="H10" s="3" t="n">
        <v>7</v>
      </c>
      <c r="I10" s="4" t="n">
        <v>930</v>
      </c>
      <c r="J10" s="4" t="n">
        <v>1285</v>
      </c>
      <c r="K10" s="5" t="n">
        <v>86032.56</v>
      </c>
      <c r="L10" s="3" t="inlineStr"/>
      <c r="M10" s="3" t="inlineStr"/>
    </row>
    <row r="11">
      <c r="A11" s="6" t="inlineStr">
        <is>
          <t>DONALDSON (WUXI) FILTERS CO., LTD.</t>
        </is>
      </c>
      <c r="B11" s="6" t="inlineStr">
        <is>
          <t>8421399090</t>
        </is>
      </c>
      <c r="C11" s="6" t="inlineStr">
        <is>
          <t>8421 39 25 (TARIC …10/…90 ověřit)</t>
        </is>
      </c>
      <c r="D11" s="6" t="inlineStr">
        <is>
          <t>Vrchní část předvyrobené filtrační jednotky</t>
        </is>
      </c>
      <c r="E11" s="6" t="inlineStr">
        <is>
          <t>UMA40TOPKADANATEX ×3</t>
        </is>
      </c>
      <c r="F11" s="6" t="inlineStr">
        <is>
          <t>30600168758</t>
        </is>
      </c>
      <c r="G11" s="6" t="inlineStr">
        <is>
          <t>CN</t>
        </is>
      </c>
      <c r="H11" s="6" t="n">
        <v>3</v>
      </c>
      <c r="I11" s="7" t="n">
        <v>300</v>
      </c>
      <c r="J11" s="7" t="n">
        <v>375</v>
      </c>
      <c r="K11" s="8" t="n">
        <v>34696.22</v>
      </c>
      <c r="L11" s="6" t="inlineStr">
        <is>
          <t>KONTROLA HS</t>
        </is>
      </c>
      <c r="M11" s="6" t="inlineStr">
        <is>
          <t>Stejný typ zboží (vrchní díl filtrační jednotky) jako 8421392290, ale dodavatel uvedl jiný kód (čínský 8421399090 = ostatní filtry plynů). V EU by měl patřit rovněž do 8421 39 25 (filtrace vzduchu) – ověřit.</t>
        </is>
      </c>
    </row>
    <row r="12">
      <c r="A12" s="3" t="inlineStr">
        <is>
          <t>DONALDSON (WUXI) FILTERS CO., LTD.</t>
        </is>
      </c>
      <c r="B12" s="3" t="inlineStr">
        <is>
          <t>8421392990</t>
        </is>
      </c>
      <c r="C12" s="3" t="inlineStr">
        <is>
          <t>8421 39 25 (TARIC …10/…90 ověřit)</t>
        </is>
      </c>
      <c r="D12" s="3" t="inlineStr">
        <is>
          <t>Sběrače prachu</t>
        </is>
      </c>
      <c r="E12" s="3" t="inlineStr">
        <is>
          <t>DCE125BKADAN ×5</t>
        </is>
      </c>
      <c r="F12" s="3" t="inlineStr">
        <is>
          <t>30600168759</t>
        </is>
      </c>
      <c r="G12" s="3" t="inlineStr">
        <is>
          <t>CN</t>
        </is>
      </c>
      <c r="H12" s="3" t="n">
        <v>5</v>
      </c>
      <c r="I12" s="4" t="n">
        <v>175</v>
      </c>
      <c r="J12" s="4" t="n">
        <v>300</v>
      </c>
      <c r="K12" s="5" t="n">
        <v>28978.49</v>
      </c>
      <c r="L12" s="3" t="inlineStr"/>
      <c r="M12" s="3" t="inlineStr"/>
    </row>
    <row r="13">
      <c r="A13" s="9" t="inlineStr">
        <is>
          <t>DONALDSON (WUXI) FILTERS CO., LTD.</t>
        </is>
      </c>
      <c r="B13" s="9" t="inlineStr">
        <is>
          <t>8421999099</t>
        </is>
      </c>
      <c r="C13" s="9" t="inlineStr">
        <is>
          <t>8421 99 90 99</t>
        </is>
      </c>
      <c r="D13" s="9" t="inlineStr">
        <is>
          <t>Sběrná nádoba filtru</t>
        </is>
      </c>
      <c r="E13" s="9" t="inlineStr">
        <is>
          <t>1A21411065 ×1</t>
        </is>
      </c>
      <c r="F13" s="9" t="inlineStr">
        <is>
          <t>30600168759</t>
        </is>
      </c>
      <c r="G13" s="9" t="inlineStr">
        <is>
          <t>CN</t>
        </is>
      </c>
      <c r="H13" s="9" t="n">
        <v>1</v>
      </c>
      <c r="I13" s="10" t="n">
        <v>5</v>
      </c>
      <c r="J13" s="10" t="n">
        <v>21</v>
      </c>
      <c r="K13" s="11" t="n">
        <v>1214.14</v>
      </c>
      <c r="L13" s="9" t="inlineStr">
        <is>
          <t>⚠️ CCT/VPV KN</t>
        </is>
      </c>
      <c r="M13" s="9" t="inlineStr">
        <is>
          <t>Na faktuře 30600168759 (ř. 1, 1A21411065) CHYBÍ HS kód → klasifikováno pravidlem CCT/VPV KN (třída XVI, kap. 84, pozn. 2b k tř. XVI → část stroje 8421 → 8421 99 90 99). Shoduje se s kódem v podkladech klienta. Alternativa 7310 (ocelová nádoba ≤300 l – CBAM!) zamítnuta, nádoba je konstruována pro odprašovač; v případě pochybností konzultovat customs.tariff@mauriceward.com.</t>
        </is>
      </c>
    </row>
    <row r="14">
      <c r="A14" s="6" t="inlineStr">
        <is>
          <t>DONALDSON (WUXI) FILTERS CO., LTD.</t>
        </is>
      </c>
      <c r="B14" s="6" t="inlineStr">
        <is>
          <t>8421999090</t>
        </is>
      </c>
      <c r="C14" s="6" t="inlineStr">
        <is>
          <t>8421 99 90 99</t>
        </is>
      </c>
      <c r="D14" s="6" t="inlineStr">
        <is>
          <t>Sběrná nádoba filtru</t>
        </is>
      </c>
      <c r="E14" s="6" t="inlineStr">
        <is>
          <t>1A21411020 ×1</t>
        </is>
      </c>
      <c r="F14" s="6" t="inlineStr">
        <is>
          <t>30600168757</t>
        </is>
      </c>
      <c r="G14" s="6" t="inlineStr">
        <is>
          <t>CN</t>
        </is>
      </c>
      <c r="H14" s="6" t="n">
        <v>1</v>
      </c>
      <c r="I14" s="7" t="n">
        <v>5</v>
      </c>
      <c r="J14" s="7" t="n">
        <v>21</v>
      </c>
      <c r="K14" s="8" t="n">
        <v>485.62</v>
      </c>
      <c r="L14" s="6" t="inlineStr">
        <is>
          <t>KONTROLA HS</t>
        </is>
      </c>
      <c r="M14" s="6" t="inlineStr">
        <is>
          <t>Čínský exportní kód – v EU TARIC neexistuje. EU ekvivalent 8421 99 90 99 (stejně jako 1A21411065).</t>
        </is>
      </c>
    </row>
    <row r="15">
      <c r="A15" s="12" t="inlineStr">
        <is>
          <t>DONALDSON (WUXI) FILTERS CO., LTD.</t>
        </is>
      </c>
      <c r="B15" s="12" t="inlineStr">
        <is>
          <t>7318230000</t>
        </is>
      </c>
      <c r="C15" s="12" t="inlineStr">
        <is>
          <t>7318 23 00 00</t>
        </is>
      </c>
      <c r="D15" s="12" t="inlineStr">
        <is>
          <t>Sada pro upevnění těsnícího zařízení</t>
        </is>
      </c>
      <c r="E15" s="12" t="inlineStr">
        <is>
          <t>1A32417003A ×2</t>
        </is>
      </c>
      <c r="F15" s="12" t="inlineStr">
        <is>
          <t>30600168757</t>
        </is>
      </c>
      <c r="G15" s="12" t="inlineStr">
        <is>
          <t>CN</t>
        </is>
      </c>
      <c r="H15" s="12" t="n">
        <v>2</v>
      </c>
      <c r="I15" s="13" t="n">
        <v>0.5</v>
      </c>
      <c r="J15" s="13" t="n">
        <v>1</v>
      </c>
      <c r="K15" s="14" t="n">
        <v>185.56</v>
      </c>
      <c r="L15" s="12" t="inlineStr">
        <is>
          <t>CBAM / MELT &amp; POUR</t>
        </is>
      </c>
      <c r="M15" s="12" t="inlineStr">
        <is>
          <t>CBAM zboží (železo/ocel, kap. 73). Příjemce Donaldson Industrial CR s.r.o. (EORI CZ27265579) je v registru: Y KÓD Y137 – do 50 t ročně; povolení ani žádost neuvedeny, datum vydání neuvedeno. Melt and pour: hutní atest CHYBÍ – nutno vyžádat. Antidumping: 7318 23 (nýty) nespadá pod AD na spojovací prvky z CN (nař. 2022/191) – ověřit obsah balení (pokud obsahuje šrouby/podložky, AD může platit).</t>
        </is>
      </c>
    </row>
    <row r="16">
      <c r="A16" s="15" t="inlineStr">
        <is>
          <t>CELKEM</t>
        </is>
      </c>
      <c r="B16" s="16" t="n"/>
      <c r="C16" s="16" t="n"/>
      <c r="D16" s="16" t="n"/>
      <c r="E16" s="16" t="n"/>
      <c r="F16" s="16" t="n"/>
      <c r="G16" s="16" t="n"/>
      <c r="H16" s="15" t="n">
        <v>19</v>
      </c>
      <c r="I16" s="17" t="n">
        <v>1415.5</v>
      </c>
      <c r="J16" s="17" t="n">
        <v>2003</v>
      </c>
      <c r="K16" s="18" t="n">
        <v>151592.59</v>
      </c>
      <c r="L16" s="16" t="n"/>
      <c r="M16" s="16" t="n"/>
    </row>
    <row r="18">
      <c r="A18" s="1" t="inlineStr">
        <is>
          <t>🟠 ORANŽOVÁ</t>
        </is>
      </c>
      <c r="B18" t="inlineStr">
        <is>
          <t>CBAM zboží – v JSD uvést Y kód příjemce (Y137); chybí hutní atest (melt and pour)</t>
        </is>
      </c>
    </row>
    <row r="19">
      <c r="A19" s="1" t="inlineStr">
        <is>
          <t>🔴 ČERVENÁ</t>
        </is>
      </c>
      <c r="B19" t="inlineStr">
        <is>
          <t>HS kód odvozen pravidlem CCT/VPV KN (na faktuře chyběl)</t>
        </is>
      </c>
    </row>
    <row r="20">
      <c r="A20" s="1" t="inlineStr">
        <is>
          <t>🔵 MODRÁ</t>
        </is>
      </c>
      <c r="B20" t="inlineStr">
        <is>
          <t>Kód v podkladech je čínský exportní kód / nekonzistentní – ověřit EU TARIC</t>
        </is>
      </c>
    </row>
    <row r="21">
      <c r="A21" s="1" t="inlineStr">
        <is>
          <t>HS kódy</t>
        </is>
      </c>
      <c r="B21" t="inlineStr">
        <is>
          <t>Sloupec B = kódy z faktur / podkladů klienta (čínské národní kódy kromě 8421999099). Pro JSD použít EU TARIC (sloupec C).</t>
        </is>
      </c>
    </row>
  </sheetData>
  <mergeCells count="7">
    <mergeCell ref="B7:J7"/>
    <mergeCell ref="B3:J3"/>
    <mergeCell ref="B5:J5"/>
    <mergeCell ref="B1:J1"/>
    <mergeCell ref="B4:J4"/>
    <mergeCell ref="B6:J6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2" customWidth="1" min="7" max="7"/>
    <col width="12" customWidth="1" min="8" max="8"/>
    <col width="14" customWidth="1" min="9" max="9"/>
    <col width="16" customWidth="1" min="10" max="10"/>
    <col width="40" customWidth="1" min="11" max="11"/>
  </cols>
  <sheetData>
    <row r="1">
      <c r="A1" s="2" t="inlineStr">
        <is>
          <t>Odesílatel</t>
        </is>
      </c>
      <c r="B1" s="2" t="inlineStr">
        <is>
          <t>Navržený EU TARIC</t>
        </is>
      </c>
      <c r="C1" s="2" t="inlineStr">
        <is>
          <t>HS kódy v podkladech</t>
        </is>
      </c>
      <c r="D1" s="2" t="inlineStr">
        <is>
          <t>Popis zboží (CZ – dle klienta)</t>
        </is>
      </c>
      <c r="E1" s="2" t="inlineStr">
        <is>
          <t>Země původu</t>
        </is>
      </c>
      <c r="F1" s="2" t="inlineStr">
        <is>
          <t>Množství (ks)</t>
        </is>
      </c>
      <c r="G1" s="2" t="inlineStr">
        <is>
          <t>Čistá hmotnost (kg)</t>
        </is>
      </c>
      <c r="H1" s="2" t="inlineStr">
        <is>
          <t>Hrubá hmotnost (kg)</t>
        </is>
      </c>
      <c r="I1" s="2" t="inlineStr">
        <is>
          <t>Hodnota – Total (CNY)</t>
        </is>
      </c>
      <c r="J1" s="2" t="inlineStr">
        <is>
          <t>Orientační clo (3. země)</t>
        </is>
      </c>
      <c r="K1" s="2" t="inlineStr">
        <is>
          <t>Poznámka</t>
        </is>
      </c>
    </row>
    <row r="2">
      <c r="A2" s="3" t="inlineStr">
        <is>
          <t>DONALDSON (WUXI) FILTERS CO., LTD.</t>
        </is>
      </c>
      <c r="B2" s="3" t="inlineStr">
        <is>
          <t>8421 39 25</t>
        </is>
      </c>
      <c r="C2" s="3" t="inlineStr">
        <is>
          <t>8421392290, 8421392990, 8421399090</t>
        </is>
      </c>
      <c r="D2" s="3" t="inlineStr">
        <is>
          <t>Vrchní část předvyrobené filtrační jednotky; Spodní část předvyrobené filtrační jednotky; Sběrače prachu</t>
        </is>
      </c>
      <c r="E2" s="3" t="inlineStr">
        <is>
          <t>CN</t>
        </is>
      </c>
      <c r="F2" s="3" t="n">
        <v>15</v>
      </c>
      <c r="G2" s="3" t="n">
        <v>1405</v>
      </c>
      <c r="H2" s="3" t="n">
        <v>1960</v>
      </c>
      <c r="I2" s="5" t="n">
        <v>149707.27</v>
      </c>
      <c r="J2" s="3" t="inlineStr">
        <is>
          <t>1,7 % (ověřit)</t>
        </is>
      </c>
      <c r="K2" s="3" t="inlineStr"/>
    </row>
    <row r="3">
      <c r="A3" s="3" t="inlineStr">
        <is>
          <t>DONALDSON (WUXI) FILTERS CO., LTD.</t>
        </is>
      </c>
      <c r="B3" s="3" t="inlineStr">
        <is>
          <t>8421 99 90 99</t>
        </is>
      </c>
      <c r="C3" s="3" t="inlineStr">
        <is>
          <t>8421999090, 8421999099</t>
        </is>
      </c>
      <c r="D3" s="3" t="inlineStr">
        <is>
          <t>Sběrná nádoba filtru</t>
        </is>
      </c>
      <c r="E3" s="3" t="inlineStr">
        <is>
          <t>CN</t>
        </is>
      </c>
      <c r="F3" s="3" t="n">
        <v>2</v>
      </c>
      <c r="G3" s="3" t="n">
        <v>10</v>
      </c>
      <c r="H3" s="3" t="n">
        <v>42</v>
      </c>
      <c r="I3" s="5" t="n">
        <v>1699.76</v>
      </c>
      <c r="J3" s="3" t="inlineStr">
        <is>
          <t>1,7 % (ověřit)</t>
        </is>
      </c>
      <c r="K3" s="3" t="inlineStr"/>
    </row>
    <row r="4">
      <c r="A4" s="3" t="inlineStr">
        <is>
          <t>DONALDSON (WUXI) FILTERS CO., LTD.</t>
        </is>
      </c>
      <c r="B4" s="3" t="inlineStr">
        <is>
          <t>7318 23 00 00</t>
        </is>
      </c>
      <c r="C4" s="3" t="inlineStr">
        <is>
          <t>7318230000</t>
        </is>
      </c>
      <c r="D4" s="3" t="inlineStr">
        <is>
          <t>Sada pro upevnění těsnícího zařízení</t>
        </is>
      </c>
      <c r="E4" s="3" t="inlineStr">
        <is>
          <t>CN</t>
        </is>
      </c>
      <c r="F4" s="3" t="n">
        <v>2</v>
      </c>
      <c r="G4" s="3" t="n">
        <v>0.5</v>
      </c>
      <c r="H4" s="3" t="n">
        <v>1</v>
      </c>
      <c r="I4" s="5" t="n">
        <v>185.56</v>
      </c>
      <c r="J4" s="3" t="inlineStr">
        <is>
          <t>3,7 % (ověřit)</t>
        </is>
      </c>
      <c r="K4" s="3" t="inlineStr">
        <is>
          <t>CBAM Y137; hutní atest chybí; AD – ověřit obsah balení</t>
        </is>
      </c>
    </row>
    <row r="5">
      <c r="A5" s="15" t="inlineStr">
        <is>
          <t>CELKEM</t>
        </is>
      </c>
      <c r="B5" s="16" t="n"/>
      <c r="C5" s="16" t="n"/>
      <c r="D5" s="16" t="n"/>
      <c r="E5" s="16" t="n"/>
      <c r="F5" s="15" t="n">
        <v>19</v>
      </c>
      <c r="G5" s="15" t="n">
        <v>1415.5</v>
      </c>
      <c r="H5" s="15" t="n">
        <v>2003</v>
      </c>
      <c r="I5" s="18" t="n">
        <v>151592.59</v>
      </c>
      <c r="J5" s="16" t="n"/>
      <c r="K5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>
        <f>== PŘIJATÉ DOKUMENTY ===</f>
        <v/>
      </c>
    </row>
    <row r="2">
      <c r="A2" t="inlineStr">
        <is>
          <t>✓ Faktury 30600168757, 30600168758, 30600168759 (Donaldson (Wuxi) Filters, 14.09.2026, CNY, intercompany)</t>
        </is>
      </c>
    </row>
    <row r="3">
      <c r="A3" t="inlineStr">
        <is>
          <t>✓ Packing listy – 10 ks (DE10550-1/2/4/5, DE10570-2/3/5, DE10584-1/2/4); hmotnosti souhlasí s podklady klienta</t>
        </is>
      </c>
    </row>
    <row r="4">
      <c r="A4" t="inlineStr">
        <is>
          <t>✓ B/L F202618482 (Global Transportation Agency Ltd.), 18 PKGS, 2 003 kg, 22,15 CBM, freight collect</t>
        </is>
      </c>
    </row>
    <row r="5">
      <c r="A5" t="inlineStr">
        <is>
          <t>✓ Prohlášení o neruském původu (kap. 72 a 73, čl. 3g nař. 833/2014) – Donaldson (Wuxi) pro Donaldson Industrial CR, podepsáno 11.12.2025</t>
        </is>
      </c>
    </row>
    <row r="6">
      <c r="A6" t="inlineStr"/>
    </row>
    <row r="7">
      <c r="A7" s="1">
        <f>== PREFERENČNÍ PŮVOD / REX ===</f>
        <v/>
      </c>
    </row>
    <row r="8">
      <c r="A8" t="inlineStr">
        <is>
          <t>✗ Preferenční věta: NENÍ na žádném dokladu. Původ CN – EU nemá s Čínou preferenční dohodu → běžné clo pro třetí země.</t>
        </is>
      </c>
    </row>
    <row r="9">
      <c r="A9" t="inlineStr">
        <is>
          <t>✗ REX číslo: NENÍ uvedeno na žádné faktuře.</t>
        </is>
      </c>
    </row>
    <row r="10">
      <c r="A10" t="inlineStr"/>
    </row>
    <row r="11">
      <c r="A11" s="1">
        <f>== CBAM – 7318230000 (1A32417003A, 0,5 kg NW) ===</f>
        <v/>
      </c>
    </row>
    <row r="12">
      <c r="A12" t="inlineStr">
        <is>
          <t>Příjemce Donaldson Industrial CR s.r.o., EORI CZ27265579 – NALEZEN v registru CBAM_receivers_CZ.xlsx.</t>
        </is>
      </c>
    </row>
    <row r="13">
      <c r="A13" t="inlineStr">
        <is>
          <t>Y KÓD: Y137 (do 50 t ročně). Povolení (Y128): –. Podaná žádost (Y238): –. Datum vydání: neuvedeno.</t>
        </is>
      </c>
    </row>
    <row r="14">
      <c r="A14" t="inlineStr">
        <is>
          <t>Nejde o společnost na sdíleném účtu CBAM-CZ-2025-QGM67089385721.</t>
        </is>
      </c>
    </row>
    <row r="15">
      <c r="A15" t="inlineStr"/>
    </row>
    <row r="16">
      <c r="A16" s="1">
        <f>== MELT AND POUR (země tavby a odlití) ===</f>
        <v/>
      </c>
    </row>
    <row r="17">
      <c r="A17" t="inlineStr">
        <is>
          <t>Týká se 7318230000 (ocelová upevňovací sada). Hutní atest / mill test certificate NENÍ v dokladech → vyžádat před proclením.</t>
        </is>
      </c>
    </row>
    <row r="18">
      <c r="A18" t="inlineStr">
        <is>
          <t>Prohlášení o neruském původu NENAHRAZUJE hutní atest (neuvádí zemi tavby a odlití).</t>
        </is>
      </c>
    </row>
    <row r="19">
      <c r="A19" t="inlineStr"/>
    </row>
    <row r="20">
      <c r="A20" s="1">
        <f>== ANTIDUMPING ===</f>
        <v/>
      </c>
    </row>
    <row r="21">
      <c r="A21" t="inlineStr">
        <is>
          <t>8421: žádné AD clo. 7318 23 00 (nýty) nespadá pod AD na ocelové spojovací prvky z CN (nař. (EU) 2022/191).</t>
        </is>
      </c>
    </row>
    <row r="22">
      <c r="A22" t="inlineStr">
        <is>
          <t>→ 'STD BIN SEALER GEAR FIXING PACK' je sada – ověřit obsah; pokud jde o šrouby/matice/podložky (7318 15/21/22), AD může platit.</t>
        </is>
      </c>
    </row>
    <row r="23">
      <c r="A23" t="inlineStr"/>
    </row>
    <row r="24">
      <c r="A24" s="1">
        <f>== HS KÓDY ===</f>
        <v/>
      </c>
    </row>
    <row r="25">
      <c r="A25" t="inlineStr">
        <is>
          <t>Kódy na fakturách jsou čínské národní exportní kódy (např. 8421392290 = čínský kód pro rukávové odprašovače); v EU TARIC neexistují.</t>
        </is>
      </c>
    </row>
    <row r="26">
      <c r="A26" t="inlineStr">
        <is>
          <t>Navržené EU kódy: odprašovače a jejich díly dodané nesmontované (VPV 2a) → 8421 39 25; sběrné nádoby → 8421 99 90 99; upevňovací sada → 7318 23 00 00.</t>
        </is>
      </c>
    </row>
    <row r="27">
      <c r="A27" t="inlineStr">
        <is>
          <t>⚠️ 1A21411065 (55 LITRE BIN/BIN BALANCE ASSY STATIC EARTHING) – na faktuře chybí HS kód → klasifikováno pravidlem CCT/VPV KN: 8421 99 90 99.</t>
        </is>
      </c>
    </row>
    <row r="28">
      <c r="A28" t="inlineStr">
        <is>
          <t xml:space="preserve">   CO TO JE? 55l sběrná nádoba prachu s vyvažovací sestavou a statickým uzemněním. Z ČEHO? kov (ocel – v dokladech neuvedeno).</t>
        </is>
      </c>
    </row>
    <row r="29">
      <c r="A29" t="inlineStr">
        <is>
          <t xml:space="preserve">   K ČEMU SLOUŽÍ? zachycuje prach odloučený odprašovačem (filtrace vzduchu, 8421 39).</t>
        </is>
      </c>
    </row>
    <row r="30">
      <c r="A30" t="inlineStr">
        <is>
          <t xml:space="preserve">   Třída XVI, kap. 84 → pozn. 1(g) k tř. XVI nevylučuje (není to část obecného použití dle pozn. 2 k tř. XV) → pozn. 2(b) k tř. XVI: část vhodná</t>
        </is>
      </c>
    </row>
    <row r="31">
      <c r="A31" t="inlineStr">
        <is>
          <t xml:space="preserve">   výhradně pro stroje č. 8421 → HS 8421 99 → KN 8421 99 90 → TARIC 8421 99 90 99 (…92 = membrány reverzní osmózy, nepřichází v úvahu). VPV 1 a 6.</t>
        </is>
      </c>
    </row>
    <row r="32">
      <c r="A32" t="inlineStr">
        <is>
          <t xml:space="preserve">   Alternativa 7310 (ocelové nádoby ≤300 l – CBAM zboží!) zamítnuta. Při pochybnosti konzultovat customs.tariff@mauriceward.com.</t>
        </is>
      </c>
    </row>
    <row r="33">
      <c r="A33" t="inlineStr">
        <is>
          <t>Tarifní sazby ve 2. listu jsou orientační – ověřit v TARIC k datu přijetí JSD.</t>
        </is>
      </c>
    </row>
    <row r="34">
      <c r="A34" t="inlineStr"/>
    </row>
    <row r="35">
      <c r="A35" s="1">
        <f>== CELNÍ HODNOTA ===</f>
        <v/>
      </c>
    </row>
    <row r="36">
      <c r="A36" t="inlineStr">
        <is>
          <t>Incoterm FCA Wuxi, freight collect → do celní hodnoty přičíst náklady na dopravu do místa vstupu do EU (Bremerhaven); faktura za dopravu zatím chybí.</t>
        </is>
      </c>
    </row>
    <row r="37">
      <c r="A37" t="inlineStr">
        <is>
          <t>Hodnota zboží = součet částek „Total“ ze 3 faktur: 151 592,59 CNY.</t>
        </is>
      </c>
    </row>
    <row r="38">
      <c r="A38" t="inlineStr"/>
    </row>
    <row r="39">
      <c r="A39" s="1">
        <f>== NESROVNALOSTI ===</f>
        <v/>
      </c>
    </row>
    <row r="40">
      <c r="A40" t="inlineStr">
        <is>
          <t>B/L značky uvádějí 'DE10562', ke kterému není faktura ani packing list, a neuvádějí DE10570-5 (fakturováno, 2 bedny, 400 kg).</t>
        </is>
      </c>
    </row>
    <row r="41">
      <c r="A41" t="inlineStr">
        <is>
          <t>Počet koleček (18) i hrubá hmotnost (2 003 kg) přitom sedí se součtem PL včetně DE10570-5 → pravděpodobně překlep na B/L, ověřit.</t>
        </is>
      </c>
    </row>
    <row r="42">
      <c r="A42" t="inlineStr">
        <is>
          <t>UMA40 TOP ATEX má na faktuře 8421399090, ostatní vrchní díly 8421392290 – sjednotit (EU 8421 39 25).</t>
        </is>
      </c>
    </row>
    <row r="43">
      <c r="A43" t="inlineStr"/>
    </row>
    <row r="44">
      <c r="A44" s="1">
        <f>== HMOTNOSTI ===</f>
        <v/>
      </c>
    </row>
    <row r="45">
      <c r="A45" t="inlineStr">
        <is>
          <t>Čistá hmotnost celkem: 1 415,5 kg (součet PL). Hrubá hmotnost celkem: 2 003 kg (součet PL = B/L).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2026-10-20T10:22:47Z</dcterms:created>
  <dcterms:modified xmlns:dcterms="http://purl.org/dc/terms/" xmlns:xsi="http://www.w3.org/2001/XMLSchema-instance" xsi:type="dcterms:W3CDTF">2026-10-20T10:22:47Z</dcterms:modified>
</cp:coreProperties>
</file>