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2" fillId="0" borderId="0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2" customWidth="1" min="3" max="3"/>
    <col width="20" customWidth="1" min="4" max="4"/>
    <col width="13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60" customWidth="1" min="12" max="12"/>
  </cols>
  <sheetData>
    <row r="1">
      <c r="A1" s="1" t="inlineStr">
        <is>
          <t>HS Code Summary – BOS Automotive Products CZ s.r.o. – zásilka 589282 (OR/Import/CZ26014295/589282)</t>
        </is>
      </c>
    </row>
    <row r="2">
      <c r="A2" t="inlineStr">
        <is>
          <t>Faktura 102795349 / DL 87920866 ze dne 09.09.2026 · B/L VERPRG155705V (OOCL BREMERHAVEN 018E, Veracruz → Bremerhaven → Praha) · Incoterm: FCA Irapuato · Měna: USD</t>
        </is>
      </c>
    </row>
    <row r="3">
      <c r="A3" t="inlineStr">
        <is>
          <t>Příjezd A1 Uhříněves cca 16/11, SCP · Požadováno: JCD (propuštění do volného oběhu)</t>
        </is>
      </c>
    </row>
    <row r="5">
      <c r="A5" s="2" t="inlineStr">
        <is>
          <t>Odesílatel</t>
        </is>
      </c>
      <c r="B5" s="2" t="inlineStr">
        <is>
          <t>HS kód</t>
        </is>
      </c>
      <c r="C5" s="2" t="inlineStr">
        <is>
          <t>Popis zboží (CZ – dle klienta)</t>
        </is>
      </c>
      <c r="D5" s="2" t="inlineStr">
        <is>
          <t>Země původu (COO)</t>
        </is>
      </c>
      <c r="E5" s="2" t="inlineStr">
        <is>
          <t>Množství (ks)</t>
        </is>
      </c>
      <c r="F5" s="2" t="inlineStr">
        <is>
          <t>Čistá hmotnost (kg)</t>
        </is>
      </c>
      <c r="G5" s="2" t="inlineStr">
        <is>
          <t>Hrubá hmotnost (kg)</t>
        </is>
      </c>
      <c r="H5" s="2" t="inlineStr">
        <is>
          <t>Hrubá hmotnost dle B/L (kg)</t>
        </is>
      </c>
      <c r="I5" s="2" t="inlineStr">
        <is>
          <t>Hodnota USD – Total</t>
        </is>
      </c>
      <c r="J5" s="2" t="inlineStr">
        <is>
          <t>Incoterm</t>
        </is>
      </c>
      <c r="K5" s="2" t="inlineStr">
        <is>
          <t>Příznak</t>
        </is>
      </c>
      <c r="L5" s="2" t="inlineStr">
        <is>
          <t>TARIC / poznámka / CBAM / Antidumping</t>
        </is>
      </c>
    </row>
    <row r="6">
      <c r="A6" s="3" t="inlineStr">
        <is>
          <t>BOS Automotive Products Irapuato, S.A. de C.V. (MX)</t>
        </is>
      </c>
      <c r="B6" s="3" t="inlineStr">
        <is>
          <t>73269098</t>
        </is>
      </c>
      <c r="C6" s="3" t="inlineStr">
        <is>
          <t>kovový držák pro montáž do loketní opěrky do aut levý; kovový držák pro montáž do loketní opěrky do aut pravý</t>
        </is>
      </c>
      <c r="D6" s="4" t="inlineStr">
        <is>
          <t>neuvedeno</t>
        </is>
      </c>
      <c r="E6" s="5" t="n">
        <v>26400</v>
      </c>
      <c r="F6" s="6" t="n">
        <v>5316</v>
      </c>
      <c r="G6" s="6" t="n">
        <v>5496</v>
      </c>
      <c r="H6" s="6" t="n">
        <v>2779</v>
      </c>
      <c r="I6" s="7" t="n">
        <v>19029.12</v>
      </c>
      <c r="J6" s="3" t="inlineStr">
        <is>
          <t>FCA Irapuato</t>
        </is>
      </c>
      <c r="K6" s="8" t="inlineStr">
        <is>
          <t>CBAM · MELT &amp; POUR</t>
        </is>
      </c>
      <c r="L6" s="8" t="inlineStr">
        <is>
          <t>CBAM zboží (železo/ocel, kap. 73 – 7326). Příjemce BOS Automotive Products CZ s.r.o. (EORI CZ25418076) v registru: Y128, povolení CBAM-CZ-2026-GHZ96988066637. Melt &amp; pour: hutní atest CHYBÍ. Antidumping: nenalezeno. Bez preferenční věty / REX → konvenční clo 2,7 %.</t>
        </is>
      </c>
    </row>
    <row r="7">
      <c r="A7" s="9" t="inlineStr">
        <is>
          <t>CELKEM</t>
        </is>
      </c>
      <c r="B7" s="9" t="n"/>
      <c r="C7" s="9" t="n"/>
      <c r="D7" s="9" t="n"/>
      <c r="E7" s="10">
        <f>SUM(E6:E6)</f>
        <v/>
      </c>
      <c r="F7" s="11">
        <f>SUM(F6:F6)</f>
        <v/>
      </c>
      <c r="G7" s="11">
        <f>SUM(G6:G6)</f>
        <v/>
      </c>
      <c r="H7" s="11">
        <f>SUM(H6:H6)</f>
        <v/>
      </c>
      <c r="I7" s="12">
        <f>SUM(I6:I6)</f>
        <v/>
      </c>
      <c r="J7" s="9" t="n"/>
      <c r="K7" s="9" t="n"/>
      <c r="L7" s="9" t="n"/>
    </row>
    <row r="9">
      <c r="A9" s="13" t="inlineStr">
        <is>
          <t>Rozpad položek faktury (sloučeno do 1 řádku výše – stejný odesílatel, stejný HS kód):</t>
        </is>
      </c>
    </row>
    <row r="10">
      <c r="A10" s="2" t="inlineStr">
        <is>
          <t>Poz.</t>
        </is>
      </c>
      <c r="B10" s="2" t="inlineStr">
        <is>
          <t>Materiál</t>
        </is>
      </c>
      <c r="C10" s="2" t="inlineStr">
        <is>
          <t>Popis (faktura)</t>
        </is>
      </c>
      <c r="D10" s="2" t="inlineStr">
        <is>
          <t>Popis CZ (klient)</t>
        </is>
      </c>
      <c r="E10" s="2" t="inlineStr">
        <is>
          <t>Množství (ks)</t>
        </is>
      </c>
      <c r="F10" s="2" t="inlineStr">
        <is>
          <t>Cena USD / 1000 ks</t>
        </is>
      </c>
      <c r="G10" s="2" t="inlineStr">
        <is>
          <t>Hrubá hm. dle B/L (kg)</t>
        </is>
      </c>
      <c r="H10" s="2" t="inlineStr">
        <is>
          <t>Celkem USD</t>
        </is>
      </c>
    </row>
    <row r="11">
      <c r="A11" s="3" t="inlineStr">
        <is>
          <t>010</t>
        </is>
      </c>
      <c r="B11" s="3" t="inlineStr">
        <is>
          <t>990400749302</t>
        </is>
      </c>
      <c r="C11" s="3" t="inlineStr">
        <is>
          <t>holding fixture RH MAL high</t>
        </is>
      </c>
      <c r="D11" s="3" t="inlineStr">
        <is>
          <t>kovový držák pro montáž do loketní opěrky do aut pravý</t>
        </is>
      </c>
      <c r="E11" s="5" t="n">
        <v>13200</v>
      </c>
      <c r="F11" s="7" t="n">
        <v>720.8</v>
      </c>
      <c r="G11" s="14" t="n">
        <v>1391</v>
      </c>
      <c r="H11" s="7" t="n">
        <v>9514.559999999999</v>
      </c>
    </row>
    <row r="12">
      <c r="A12" s="3" t="inlineStr">
        <is>
          <t>020</t>
        </is>
      </c>
      <c r="B12" s="3" t="inlineStr">
        <is>
          <t>990400749202</t>
        </is>
      </c>
      <c r="C12" s="3" t="inlineStr">
        <is>
          <t>holding fixture LH MAL high</t>
        </is>
      </c>
      <c r="D12" s="3" t="inlineStr">
        <is>
          <t>kovový držák pro montáž do loketní opěrky do aut levý</t>
        </is>
      </c>
      <c r="E12" s="5" t="n">
        <v>13200</v>
      </c>
      <c r="F12" s="7" t="n">
        <v>720.8</v>
      </c>
      <c r="G12" s="14" t="n">
        <v>1388</v>
      </c>
      <c r="H12" s="7" t="n">
        <v>9514.559999999999</v>
      </c>
    </row>
    <row r="14">
      <c r="A14" s="13" t="inlineStr">
        <is>
          <t>Legenda:</t>
        </is>
      </c>
    </row>
    <row r="15">
      <c r="A15" s="13" t="inlineStr">
        <is>
          <t>🟡 ORANŽOVÁ</t>
        </is>
      </c>
      <c r="B15" t="inlineStr">
        <is>
          <t>CBAM zboží – v JSD uvést kód Y128 a číslo povolení CBAM-CZ-2026-GHZ96988066637</t>
        </is>
      </c>
    </row>
    <row r="16">
      <c r="A16" s="13" t="inlineStr">
        <is>
          <t>🔴 ČERVENÁ</t>
        </is>
      </c>
      <c r="B16" t="inlineStr">
        <is>
          <t>Údaj chybí nebo nesedí mezi doklady – nutno ověřit před podáním (viz list Dokumenty a poznámky)</t>
        </is>
      </c>
    </row>
    <row r="17">
      <c r="A17" s="13" t="inlineStr">
        <is>
          <t>Hodnota</t>
        </is>
      </c>
      <c r="B17" t="inlineStr">
        <is>
          <t>Faktura nemá pole označené „Total“ – použit „Endbetrag“ 19 029,12 USD (= „Summe Positionen“, bez slevy)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3">
        <f>== PŘIJATÉ DOKUMENTY ===</f>
        <v/>
      </c>
    </row>
    <row r="2">
      <c r="A2" t="inlineStr">
        <is>
          <t>✓ Faktura / dodací list BOS Automotive Products Irapuato č. 102795349 / 87920866 (09.09.2026), FCA Irapuato, 19 029,12 USD</t>
        </is>
      </c>
    </row>
    <row r="3">
      <c r="A3" t="inlineStr">
        <is>
          <t>✓ B/L VERPRG155705V (Vanguard Logistics, 14/10/26) – 6 PLT, 2 779 kg, 5,806 CBM, shipper Kaalog Transport Solutions</t>
        </is>
      </c>
    </row>
    <row r="4">
      <c r="A4" t="inlineStr">
        <is>
          <t>✓ Celní instrukce BOS (CELNÍ INSTRUKCE BOS IRAPSM) – JCD, HS 73269098, české popisy, doručení U Porcelánky 786, Klášterec nad Ohří</t>
        </is>
      </c>
    </row>
    <row r="5">
      <c r="A5" t="inlineStr">
        <is>
          <t>✓ E-mail M. Karlíková: příjezd A1 Uhříněves cca 16/11, SCP, dopravné 2 970 USD</t>
        </is>
      </c>
    </row>
    <row r="6">
      <c r="A6" t="inlineStr"/>
    </row>
    <row r="7">
      <c r="A7" s="13">
        <f>== HS KÓD ===</f>
        <v/>
      </c>
    </row>
    <row r="8">
      <c r="A8" t="inlineStr">
        <is>
          <t>73269098 převzat z celních instrukcí klienta (u obou položek). B/L uvádí mexický HTS 7326909999 – shoda na úrovni 7326 90.</t>
        </is>
      </c>
    </row>
    <row r="9">
      <c r="A9" t="inlineStr">
        <is>
          <t>Pravidlo CCT/VPV KN NEBYLO použito – HS kód dodal klient.</t>
        </is>
      </c>
    </row>
    <row r="10">
      <c r="A10" t="inlineStr">
        <is>
          <t>K ZVÁŽENÍ: jde o kovový držák montovaný do loketní opěrky auta → možná alternativa 8302 30 00 (kování a podobné výrobky pro motorová vozidla).</t>
        </is>
      </c>
    </row>
    <row r="11">
      <c r="A11" t="inlineStr">
        <is>
          <t xml:space="preserve">  Pokud by platilo 8302, zboží by NEBYLO CBAM. Rozhodnutí na vás / případně konzultace s customs.tariff@mauriceward.com.</t>
        </is>
      </c>
    </row>
    <row r="12">
      <c r="A12" t="inlineStr"/>
    </row>
    <row r="13">
      <c r="A13" s="13">
        <f>== HODNOTA / INCOTERM ===</f>
        <v/>
      </c>
    </row>
    <row r="14">
      <c r="A14" t="inlineStr">
        <is>
          <t>Faktura nemá pole „Total“. „Summe Positionen“ = „Endbetrag“ = 19 029,12 USD → použita tato částka.</t>
        </is>
      </c>
    </row>
    <row r="15">
      <c r="A15" t="inlineStr">
        <is>
          <t>Platební podmínky „ohne Abzug“ – žádná sleva, proporcionální sleva se neuplatňuje.</t>
        </is>
      </c>
    </row>
    <row r="16">
      <c r="A16" t="inlineStr">
        <is>
          <t>Incoterm FCA Irapuato → do celní hodnoty nutno přičíst dopravu do místa vstupu do EU (dopravné celkem 2 970 USD dle e-mailu; rozdělit na část do/po hranici EU).</t>
        </is>
      </c>
    </row>
    <row r="17">
      <c r="A17" t="inlineStr"/>
    </row>
    <row r="18">
      <c r="A18" s="13">
        <f>== HMOTNOSTI – NESOULAD ===</f>
        <v/>
      </c>
    </row>
    <row r="19">
      <c r="A19" t="inlineStr">
        <is>
          <t>Faktura: hrubá 5 496 kg / čistá 5 316 kg. B/L: hrubá 2 779 kg (RH 1 391 kg + LH 1 388 kg).</t>
        </is>
      </c>
    </row>
    <row r="20">
      <c r="A20" t="inlineStr">
        <is>
          <t>Čistá hmotnost dle faktury je VYŠŠÍ než hrubá hmotnost dle B/L → nelze. Ověřit skutečné hmotnosti (packing list / vážní lístek) před podáním JCD.</t>
        </is>
      </c>
    </row>
    <row r="21">
      <c r="A21" t="inlineStr">
        <is>
          <t>Čistá hmotnost po položkách není nikde uvedena.</t>
        </is>
      </c>
    </row>
    <row r="22">
      <c r="A22" t="inlineStr"/>
    </row>
    <row r="23">
      <c r="A23" s="13">
        <f>== ZEMĚ PŮVODU / PREFERENCE ===</f>
        <v/>
      </c>
    </row>
    <row r="24">
      <c r="A24" t="inlineStr">
        <is>
          <t>Pole „Ursprungsland“ na faktuře je prázdné; B/L „Point and country of origin“ také prázdné. Země původu není uvedena v žádném dokladu – v souhrnu ponecháno „neuvedeno“ (MX se nepředpokládá). Nutno doložit od BOS Irapuato.</t>
        </is>
      </c>
    </row>
    <row r="25">
      <c r="A25" t="inlineStr">
        <is>
          <t>Preferenční věta: NENÍ na faktuře.</t>
        </is>
      </c>
    </row>
    <row r="26">
      <c r="A26" t="inlineStr">
        <is>
          <t>REX / číslo schváleného vývozce: NENÍ na faktuře.</t>
        </is>
      </c>
    </row>
    <row r="27">
      <c r="A27" t="inlineStr">
        <is>
          <t>→ Bez prohlášení o původu platí konvenční clo (7326 90 98: 2,7 %). Pokud by odesílatel doložil mexický původ, lze vyžádat prohlášení o původu dle dohody EU–Mexiko pro preferenční 0 %.</t>
        </is>
      </c>
    </row>
    <row r="28">
      <c r="A28" t="inlineStr"/>
    </row>
    <row r="29">
      <c r="A29" s="13">
        <f>== CBAM ===</f>
        <v/>
      </c>
    </row>
    <row r="30">
      <c r="A30" t="inlineStr">
        <is>
          <t>7326 = CBAM zboží (železo/ocel). Příjemce nalezen v registru reference/CBAM_receivers_CZ.xlsx (ř. 36):</t>
        </is>
      </c>
    </row>
    <row r="31">
      <c r="A31" t="inlineStr">
        <is>
          <t xml:space="preserve">  Firma: BOS Automotive Products CZ s.r.o. · EORI: CZ25418076 · Y KÓD: Y128 · povolení: CBAM-CZ-2026-GHZ96988066637</t>
        </is>
      </c>
    </row>
    <row r="32">
      <c r="A32" t="inlineStr">
        <is>
          <t xml:space="preserve">  podaná žádost: – · datum vydání: neuvedeno v registru</t>
        </is>
      </c>
    </row>
    <row r="33">
      <c r="A33" t="inlineStr">
        <is>
          <t>→ Do JCD uvést Y128 + číslo povolení. Odesílatel není ve sdíleném účtu CBAM-CZ-2025-QGM67089385721.</t>
        </is>
      </c>
    </row>
    <row r="34">
      <c r="A34" t="inlineStr"/>
    </row>
    <row r="35">
      <c r="A35" s="13">
        <f>== MELT AND POUR ===</f>
        <v/>
      </c>
    </row>
    <row r="36">
      <c r="A36" t="inlineStr">
        <is>
          <t>Hutní atest (mill test certificate) ani země tavby a odlití NEJSOU v dokladech. Nutno vyžádat od BOS Irapuato před proclením.</t>
        </is>
      </c>
    </row>
    <row r="37">
      <c r="A37" t="inlineStr">
        <is>
          <t>(Země tavby a odlití ≠ země původu – evidovat zvlášť.)</t>
        </is>
      </c>
    </row>
    <row r="38">
      <c r="A38" t="inlineStr"/>
    </row>
    <row r="39">
      <c r="A39" s="13">
        <f>== ANTIDUMPING ===</f>
        <v/>
      </c>
    </row>
    <row r="40">
      <c r="A40" t="inlineStr">
        <is>
          <t>Pro 7326 90 98 z MX nebylo nalezeno antidumpingové clo – ověřit v TARIC při podání.</t>
        </is>
      </c>
    </row>
    <row r="41">
      <c r="A41" t="inlineStr"/>
    </row>
    <row r="42">
      <c r="A42" s="13">
        <f>== DROBNOSTI ===</f>
        <v/>
      </c>
    </row>
    <row r="43">
      <c r="A43" t="inlineStr">
        <is>
          <t>B/L uvádí u LH položky „ITEM NO: 0400749202“ (chybí „9904“) – správně 990400749202 dle faktury.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2026-10-23T14:42:32Z</dcterms:created>
  <dcterms:modified xmlns:dcterms="http://purl.org/dc/terms/" xmlns:xsi="http://www.w3.org/2001/XMLSchema-instance" xsi:type="dcterms:W3CDTF">2026-10-23T14:42:32Z</dcterms:modified>
</cp:coreProperties>
</file>