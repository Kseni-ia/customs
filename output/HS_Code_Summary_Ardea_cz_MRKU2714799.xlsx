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S Summary" sheetId="1" state="visible" r:id="rId1"/>
    <sheet name="Line item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9"/>
    </font>
    <font>
      <name val="Arial"/>
      <b val="1"/>
      <sz val="9"/>
    </font>
    <font>
      <name val="Arial"/>
      <i val="1"/>
      <sz val="8"/>
    </font>
    <font>
      <name val="Arial"/>
      <b val="1"/>
      <sz val="12"/>
    </font>
    <font>
      <name val="Arial"/>
      <i val="1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AF1F8"/>
      </patternFill>
    </fill>
    <fill>
      <patternFill patternType="solid">
        <fgColor rgb="00D9E2F3"/>
      </patternFill>
    </fill>
    <fill>
      <patternFill patternType="solid">
        <fgColor rgb="00FCE4E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49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/>
    </xf>
    <xf numFmtId="4" fontId="2" fillId="0" borderId="1" applyAlignment="1" pivotButton="0" quotePrefix="0" xfId="0">
      <alignment vertical="top"/>
    </xf>
    <xf numFmtId="0" fontId="3" fillId="4" borderId="1" pivotButton="0" quotePrefix="0" xfId="0"/>
    <xf numFmtId="164" fontId="3" fillId="4" borderId="1" pivotButton="0" quotePrefix="0" xfId="0"/>
    <xf numFmtId="4" fontId="3" fillId="4" borderId="1" pivotButton="0" quotePrefix="0" xfId="0"/>
    <xf numFmtId="0" fontId="4" fillId="0" borderId="0" pivotButton="0" quotePrefix="0" xfId="0"/>
    <xf numFmtId="0" fontId="3" fillId="5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0" fontId="2" fillId="3" borderId="1" pivotButton="0" quotePrefix="0" xfId="0"/>
    <xf numFmtId="49" fontId="2" fillId="3" borderId="1" pivotButton="0" quotePrefix="0" xfId="0"/>
    <xf numFmtId="164" fontId="2" fillId="3" borderId="1" pivotButton="0" quotePrefix="0" xfId="0"/>
    <xf numFmtId="4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52" customWidth="1" min="3" max="3"/>
    <col width="13" customWidth="1" min="4" max="4"/>
    <col width="13" customWidth="1" min="5" max="5"/>
    <col width="12" customWidth="1" min="6" max="6"/>
    <col width="15" customWidth="1" min="7" max="7"/>
    <col width="7" customWidth="1" min="8" max="8"/>
    <col width="12" customWidth="1" min="9" max="9"/>
  </cols>
  <sheetData>
    <row r="1">
      <c r="A1" s="1" t="inlineStr">
        <is>
          <t>HS Code Summary — Ardea-cz s.r.o. — Container MRKU2714799 (Invoice S08260601)</t>
        </is>
      </c>
    </row>
    <row r="2">
      <c r="A2" s="2" t="inlineStr">
        <is>
          <t>Sender: CEMUX TECHNOLOGY LTD, No.136, Lane 12, Rongle Middle Road, Songjiang District, Shanghai, China · Origin: China · FOB Shenzhen · ETD 13.06.2026 · 1x40HQ, 1577 cartons</t>
        </is>
      </c>
    </row>
    <row r="4">
      <c r="A4" s="3" t="inlineStr">
        <is>
          <t>Sender</t>
        </is>
      </c>
      <c r="B4" s="3" t="inlineStr">
        <is>
          <t>HS code</t>
        </is>
      </c>
      <c r="C4" s="3" t="inlineStr">
        <is>
          <t>Description (CZ)</t>
        </is>
      </c>
      <c r="D4" s="3" t="inlineStr">
        <is>
          <t>Net weight (kg)</t>
        </is>
      </c>
      <c r="E4" s="3" t="inlineStr">
        <is>
          <t>Gross weight (kg)</t>
        </is>
      </c>
      <c r="F4" s="3" t="inlineStr">
        <is>
          <t>Quantity</t>
        </is>
      </c>
      <c r="G4" s="3" t="inlineStr">
        <is>
          <t>Customs value (EUR)</t>
        </is>
      </c>
      <c r="H4" s="3" t="inlineStr">
        <is>
          <t>CBAM</t>
        </is>
      </c>
      <c r="I4" s="3" t="inlineStr">
        <is>
          <t>Antidumping</t>
        </is>
      </c>
    </row>
    <row r="5" ht="24" customHeight="1">
      <c r="A5" s="4" t="inlineStr">
        <is>
          <t>CEMUX TECHNOLOGY LTD</t>
        </is>
      </c>
      <c r="B5" s="5" t="inlineStr">
        <is>
          <t>8302420090</t>
        </is>
      </c>
      <c r="C5" s="6" t="inlineStr">
        <is>
          <t>Kovové komponenty pro zásuvky do kuchyně / Příslušenství pro kovové zásuvky do kuchyně</t>
        </is>
      </c>
      <c r="D5" s="7">
        <f>SUMIFS('Line items'!J$2:J$82,'Line items'!D$2:D$82,B5)</f>
        <v/>
      </c>
      <c r="E5" s="7">
        <f>SUMIFS('Line items'!K$2:K$82,'Line items'!D$2:D$82,B5)</f>
        <v/>
      </c>
      <c r="F5" s="4">
        <f>SUMIFS('Line items'!F$2:F$82,'Line items'!D$2:D$82,B5)</f>
        <v/>
      </c>
      <c r="G5" s="8">
        <f>SUMIFS('Line items'!M$2:M$82,'Line items'!D$2:D$82,B5)</f>
        <v/>
      </c>
      <c r="H5" s="4" t="inlineStr">
        <is>
          <t>No</t>
        </is>
      </c>
      <c r="I5" s="4" t="inlineStr">
        <is>
          <t>No</t>
        </is>
      </c>
    </row>
    <row r="6" ht="64" customHeight="1">
      <c r="A6" s="4" t="inlineStr">
        <is>
          <t>CEMUX TECHNOLOGY LTD</t>
        </is>
      </c>
      <c r="B6" s="5" t="inlineStr">
        <is>
          <t>3924900090</t>
        </is>
      </c>
      <c r="C6" s="6" t="inlineStr">
        <is>
          <t>Krytky plastové na bok kovových zásuvek do kuchyně / Plastový profil pro výrobu oddělovačů a příborníků na míru / Plastové koše na prádlo včetně všech dalších věcí / Odpadkový plastový koš do skříňky / Plastový příborník</t>
        </is>
      </c>
      <c r="D6" s="7">
        <f>SUMIFS('Line items'!J$2:J$82,'Line items'!D$2:D$82,B6)</f>
        <v/>
      </c>
      <c r="E6" s="7">
        <f>SUMIFS('Line items'!K$2:K$82,'Line items'!D$2:D$82,B6)</f>
        <v/>
      </c>
      <c r="F6" s="4">
        <f>SUMIFS('Line items'!F$2:F$82,'Line items'!D$2:D$82,B6)</f>
        <v/>
      </c>
      <c r="G6" s="8">
        <f>SUMIFS('Line items'!M$2:M$82,'Line items'!D$2:D$82,B6)</f>
        <v/>
      </c>
      <c r="H6" s="4" t="inlineStr">
        <is>
          <t>No</t>
        </is>
      </c>
      <c r="I6" s="4" t="inlineStr">
        <is>
          <t>No</t>
        </is>
      </c>
    </row>
    <row r="7">
      <c r="A7" s="9" t="n"/>
      <c r="B7" s="9" t="n"/>
      <c r="C7" s="9" t="inlineStr">
        <is>
          <t>TOTAL</t>
        </is>
      </c>
      <c r="D7" s="10">
        <f>SUM(D5:D6)</f>
        <v/>
      </c>
      <c r="E7" s="10">
        <f>SUM(E5:E6)</f>
        <v/>
      </c>
      <c r="F7" s="9">
        <f>SUM(F5:F6)</f>
        <v/>
      </c>
      <c r="G7" s="11">
        <f>SUM(G5:G6)</f>
        <v/>
      </c>
      <c r="H7" s="9" t="n"/>
      <c r="I7" s="9" t="n"/>
    </row>
    <row r="8">
      <c r="C8" s="12" t="inlineStr">
        <is>
          <t>Quantity breakdown: 8302420090 = 14 432 sets · 3924900090 = 1 150 sets + 200 meters + 1 010 pcs</t>
        </is>
      </c>
    </row>
    <row r="10" ht="30" customHeight="1">
      <c r="A10" s="13" t="inlineStr">
        <is>
          <t>⚠ COO / PREFERENČNÍ VĚTA: NOT present. Invoice and packing list state only 'WE HEREBY CERTIFY THAT THE ABOVE MENTIONED GOODS ARE OF CHINESE ORIGIN.' No preferential-origin declaration (none exists for China–EU) → standard third-country duty applies.</t>
        </is>
      </c>
    </row>
    <row r="11" ht="30" customHeight="1">
      <c r="A11" s="13" t="inlineStr">
        <is>
          <t>⚠ HS DISCREPANCY: Items HC1301W / HC1311W (plastic side caps, 2×500 pcs, EUR 137.00) are 830242 on the invoice/packing list but 3924900090 in the client CSV. This summary follows the client CSV (plastic goods → 3924900090). Confirm before clearance.</t>
        </is>
      </c>
    </row>
    <row r="12" ht="26" customHeight="1">
      <c r="A12" s="14" t="inlineStr">
        <is>
          <t>Note: CI line 81 'plastic trays boxes' (10 pcs, EUR 12.00) is missing from the client CSV (CSV total 16 782 vs CI/PL 16 792). Included here under 3924900090 / 'Plastový příborník'.</t>
        </is>
      </c>
    </row>
    <row r="13" ht="26" customHeight="1">
      <c r="A13" s="14" t="inlineStr">
        <is>
          <t>Note: Handling fee EUR 114.00 distributed proportionally by value into customs values (8302420090: +100.47 → 58 161.75 · 3924900090: +13.53 → 7 834.03).</t>
        </is>
      </c>
    </row>
    <row r="14" ht="26" customHeight="1">
      <c r="A14" s="14" t="inlineStr">
        <is>
          <t>Note: CI line 76 (YG038.60DG) printed value EUR 365.10 differs from unit price × qty (EUR 365.20) by EUR 0.10; invoice printed value used.</t>
        </is>
      </c>
    </row>
    <row r="15" ht="26" customHeight="1">
      <c r="A15" s="14" t="inlineStr">
        <is>
          <t>CBAM: not applicable — HS 8302/3924 are outside CBAM scope (no iron/steel ch.72–73, aluminium ch.76, cement, fertilisers). Antidumping: no known EU AD measure on 8302 42 90 / 3924 90 00 from China — verify current TARIC before clearance.</t>
        </is>
      </c>
    </row>
  </sheetData>
  <mergeCells count="6">
    <mergeCell ref="A15:I15"/>
    <mergeCell ref="A11:I11"/>
    <mergeCell ref="A10:I10"/>
    <mergeCell ref="A13:I13"/>
    <mergeCell ref="A14:I14"/>
    <mergeCell ref="A12:I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4" customWidth="1" min="3" max="3"/>
    <col width="12" customWidth="1" min="4" max="4"/>
    <col width="44" customWidth="1" min="5" max="5"/>
    <col width="9" customWidth="1" min="6" max="6"/>
    <col width="8" customWidth="1" min="7" max="7"/>
    <col width="11" customWidth="1" min="8" max="8"/>
    <col width="12" customWidth="1" min="9" max="9"/>
    <col width="12" customWidth="1" min="10" max="10"/>
    <col width="12" customWidth="1" min="11" max="11"/>
    <col width="13" customWidth="1" min="12" max="12"/>
    <col width="13" customWidth="1" min="13" max="13"/>
  </cols>
  <sheetData>
    <row r="1">
      <c r="A1" s="15" t="inlineStr">
        <is>
          <t>No.</t>
        </is>
      </c>
      <c r="B1" s="15" t="inlineStr">
        <is>
          <t>Description (EN)</t>
        </is>
      </c>
      <c r="C1" s="15" t="inlineStr">
        <is>
          <t>CEMUX code</t>
        </is>
      </c>
      <c r="D1" s="15" t="inlineStr">
        <is>
          <t>HS code</t>
        </is>
      </c>
      <c r="E1" s="15" t="inlineStr">
        <is>
          <t>Popis zboží (CZ)</t>
        </is>
      </c>
      <c r="F1" s="15" t="inlineStr">
        <is>
          <t>Quantity</t>
        </is>
      </c>
      <c r="G1" s="15" t="inlineStr">
        <is>
          <t>UOM</t>
        </is>
      </c>
      <c r="H1" s="15" t="inlineStr">
        <is>
          <t>Unit price (EUR)</t>
        </is>
      </c>
      <c r="I1" s="15" t="inlineStr">
        <is>
          <t>Line value (EUR)</t>
        </is>
      </c>
      <c r="J1" s="15" t="inlineStr">
        <is>
          <t>Net weight (kg)</t>
        </is>
      </c>
      <c r="K1" s="15" t="inlineStr">
        <is>
          <t>Gross weight (kg)</t>
        </is>
      </c>
      <c r="L1" s="15" t="inlineStr">
        <is>
          <t>Handling fee share (EUR)</t>
        </is>
      </c>
      <c r="M1" s="15" t="inlineStr">
        <is>
          <t>Customs value (EUR)</t>
        </is>
      </c>
    </row>
    <row r="2">
      <c r="A2" s="16" t="n">
        <v>1</v>
      </c>
      <c r="B2" s="16" t="inlineStr">
        <is>
          <t>Drawer system</t>
        </is>
      </c>
      <c r="C2" s="16" t="inlineStr">
        <is>
          <t>H1901-300G</t>
        </is>
      </c>
      <c r="D2" s="17" t="inlineStr">
        <is>
          <t>8302420090</t>
        </is>
      </c>
      <c r="E2" s="16" t="inlineStr">
        <is>
          <t>Kovové komponenty pro zásuvky do kuchyně</t>
        </is>
      </c>
      <c r="F2" s="16" t="n">
        <v>60</v>
      </c>
      <c r="G2" s="16" t="inlineStr">
        <is>
          <t>sets</t>
        </is>
      </c>
      <c r="H2" s="18" t="n">
        <v>6.772</v>
      </c>
      <c r="I2" s="19" t="n">
        <v>406.32</v>
      </c>
      <c r="J2" s="18" t="n">
        <v>145</v>
      </c>
      <c r="K2" s="18" t="n">
        <v>150</v>
      </c>
      <c r="L2" s="19">
        <f>I2/$I$83*$L$83</f>
        <v/>
      </c>
      <c r="M2" s="19">
        <f>I2+L2</f>
        <v/>
      </c>
    </row>
    <row r="3">
      <c r="A3" s="20" t="n">
        <v>2</v>
      </c>
      <c r="B3" s="20" t="inlineStr">
        <is>
          <t>Drawer system</t>
        </is>
      </c>
      <c r="C3" s="20" t="inlineStr">
        <is>
          <t>H1901-300W</t>
        </is>
      </c>
      <c r="D3" s="21" t="inlineStr">
        <is>
          <t>8302420090</t>
        </is>
      </c>
      <c r="E3" s="20" t="inlineStr">
        <is>
          <t>Kovové komponenty pro zásuvky do kuchyně</t>
        </is>
      </c>
      <c r="F3" s="20" t="n">
        <v>120</v>
      </c>
      <c r="G3" s="20" t="inlineStr">
        <is>
          <t>sets</t>
        </is>
      </c>
      <c r="H3" s="22" t="n">
        <v>6.772</v>
      </c>
      <c r="I3" s="23" t="n">
        <v>812.64</v>
      </c>
      <c r="J3" s="22" t="n">
        <v>290</v>
      </c>
      <c r="K3" s="22" t="n">
        <v>300</v>
      </c>
      <c r="L3" s="23">
        <f>I3/$I$83*$L$83</f>
        <v/>
      </c>
      <c r="M3" s="23">
        <f>I3+L3</f>
        <v/>
      </c>
    </row>
    <row r="4">
      <c r="A4" s="16" t="n">
        <v>3</v>
      </c>
      <c r="B4" s="16" t="inlineStr">
        <is>
          <t>Drawer system</t>
        </is>
      </c>
      <c r="C4" s="16" t="inlineStr">
        <is>
          <t>H1901-350G</t>
        </is>
      </c>
      <c r="D4" s="17" t="inlineStr">
        <is>
          <t>8302420090</t>
        </is>
      </c>
      <c r="E4" s="16" t="inlineStr">
        <is>
          <t>Kovové komponenty pro zásuvky do kuchyně</t>
        </is>
      </c>
      <c r="F4" s="16" t="n">
        <v>60</v>
      </c>
      <c r="G4" s="16" t="inlineStr">
        <is>
          <t>sets</t>
        </is>
      </c>
      <c r="H4" s="18" t="n">
        <v>7.104</v>
      </c>
      <c r="I4" s="19" t="n">
        <v>426.24</v>
      </c>
      <c r="J4" s="18" t="n">
        <v>161</v>
      </c>
      <c r="K4" s="18" t="n">
        <v>167</v>
      </c>
      <c r="L4" s="19">
        <f>I4/$I$83*$L$83</f>
        <v/>
      </c>
      <c r="M4" s="19">
        <f>I4+L4</f>
        <v/>
      </c>
    </row>
    <row r="5">
      <c r="A5" s="20" t="n">
        <v>4</v>
      </c>
      <c r="B5" s="20" t="inlineStr">
        <is>
          <t>Drawer system</t>
        </is>
      </c>
      <c r="C5" s="20" t="inlineStr">
        <is>
          <t>H1901-350W</t>
        </is>
      </c>
      <c r="D5" s="21" t="inlineStr">
        <is>
          <t>8302420090</t>
        </is>
      </c>
      <c r="E5" s="20" t="inlineStr">
        <is>
          <t>Kovové komponenty pro zásuvky do kuchyně</t>
        </is>
      </c>
      <c r="F5" s="20" t="n">
        <v>120</v>
      </c>
      <c r="G5" s="20" t="inlineStr">
        <is>
          <t>sets</t>
        </is>
      </c>
      <c r="H5" s="22" t="n">
        <v>7.104</v>
      </c>
      <c r="I5" s="23" t="n">
        <v>852.48</v>
      </c>
      <c r="J5" s="22" t="n">
        <v>322</v>
      </c>
      <c r="K5" s="22" t="n">
        <v>334</v>
      </c>
      <c r="L5" s="23">
        <f>I5/$I$83*$L$83</f>
        <v/>
      </c>
      <c r="M5" s="23">
        <f>I5+L5</f>
        <v/>
      </c>
    </row>
    <row r="6">
      <c r="A6" s="16" t="n">
        <v>5</v>
      </c>
      <c r="B6" s="16" t="inlineStr">
        <is>
          <t>Drawer system</t>
        </is>
      </c>
      <c r="C6" s="16" t="inlineStr">
        <is>
          <t>H1901-400G</t>
        </is>
      </c>
      <c r="D6" s="17" t="inlineStr">
        <is>
          <t>8302420090</t>
        </is>
      </c>
      <c r="E6" s="16" t="inlineStr">
        <is>
          <t>Kovové komponenty pro zásuvky do kuchyně</t>
        </is>
      </c>
      <c r="F6" s="16" t="n">
        <v>60</v>
      </c>
      <c r="G6" s="16" t="inlineStr">
        <is>
          <t>sets</t>
        </is>
      </c>
      <c r="H6" s="18" t="n">
        <v>7.37</v>
      </c>
      <c r="I6" s="19" t="n">
        <v>442.2</v>
      </c>
      <c r="J6" s="18" t="n">
        <v>177</v>
      </c>
      <c r="K6" s="18" t="n">
        <v>183</v>
      </c>
      <c r="L6" s="19">
        <f>I6/$I$83*$L$83</f>
        <v/>
      </c>
      <c r="M6" s="19">
        <f>I6+L6</f>
        <v/>
      </c>
    </row>
    <row r="7">
      <c r="A7" s="20" t="n">
        <v>6</v>
      </c>
      <c r="B7" s="20" t="inlineStr">
        <is>
          <t>Drawer system</t>
        </is>
      </c>
      <c r="C7" s="20" t="inlineStr">
        <is>
          <t>H1901-400W</t>
        </is>
      </c>
      <c r="D7" s="21" t="inlineStr">
        <is>
          <t>8302420090</t>
        </is>
      </c>
      <c r="E7" s="20" t="inlineStr">
        <is>
          <t>Kovové komponenty pro zásuvky do kuchyně</t>
        </is>
      </c>
      <c r="F7" s="20" t="n">
        <v>120</v>
      </c>
      <c r="G7" s="20" t="inlineStr">
        <is>
          <t>sets</t>
        </is>
      </c>
      <c r="H7" s="22" t="n">
        <v>7.37</v>
      </c>
      <c r="I7" s="23" t="n">
        <v>884.4</v>
      </c>
      <c r="J7" s="22" t="n">
        <v>354</v>
      </c>
      <c r="K7" s="22" t="n">
        <v>366</v>
      </c>
      <c r="L7" s="23">
        <f>I7/$I$83*$L$83</f>
        <v/>
      </c>
      <c r="M7" s="23">
        <f>I7+L7</f>
        <v/>
      </c>
    </row>
    <row r="8">
      <c r="A8" s="16" t="n">
        <v>7</v>
      </c>
      <c r="B8" s="16" t="inlineStr">
        <is>
          <t>Drawer system</t>
        </is>
      </c>
      <c r="C8" s="16" t="inlineStr">
        <is>
          <t>H1901-450G</t>
        </is>
      </c>
      <c r="D8" s="17" t="inlineStr">
        <is>
          <t>8302420090</t>
        </is>
      </c>
      <c r="E8" s="16" t="inlineStr">
        <is>
          <t>Kovové komponenty pro zásuvky do kuchyně</t>
        </is>
      </c>
      <c r="F8" s="16" t="n">
        <v>60</v>
      </c>
      <c r="G8" s="16" t="inlineStr">
        <is>
          <t>sets</t>
        </is>
      </c>
      <c r="H8" s="18" t="n">
        <v>7.401</v>
      </c>
      <c r="I8" s="19" t="n">
        <v>444.06</v>
      </c>
      <c r="J8" s="18" t="n">
        <v>191</v>
      </c>
      <c r="K8" s="18" t="n">
        <v>197</v>
      </c>
      <c r="L8" s="19">
        <f>I8/$I$83*$L$83</f>
        <v/>
      </c>
      <c r="M8" s="19">
        <f>I8+L8</f>
        <v/>
      </c>
    </row>
    <row r="9">
      <c r="A9" s="20" t="n">
        <v>8</v>
      </c>
      <c r="B9" s="20" t="inlineStr">
        <is>
          <t>Drawer system</t>
        </is>
      </c>
      <c r="C9" s="20" t="inlineStr">
        <is>
          <t>H1901-450W</t>
        </is>
      </c>
      <c r="D9" s="21" t="inlineStr">
        <is>
          <t>8302420090</t>
        </is>
      </c>
      <c r="E9" s="20" t="inlineStr">
        <is>
          <t>Kovové komponenty pro zásuvky do kuchyně</t>
        </is>
      </c>
      <c r="F9" s="20" t="n">
        <v>90</v>
      </c>
      <c r="G9" s="20" t="inlineStr">
        <is>
          <t>sets</t>
        </is>
      </c>
      <c r="H9" s="22" t="n">
        <v>7.401</v>
      </c>
      <c r="I9" s="23" t="n">
        <v>666.09</v>
      </c>
      <c r="J9" s="22" t="n">
        <v>286.5</v>
      </c>
      <c r="K9" s="22" t="n">
        <v>295.5</v>
      </c>
      <c r="L9" s="23">
        <f>I9/$I$83*$L$83</f>
        <v/>
      </c>
      <c r="M9" s="23">
        <f>I9+L9</f>
        <v/>
      </c>
    </row>
    <row r="10">
      <c r="A10" s="16" t="n">
        <v>9</v>
      </c>
      <c r="B10" s="16" t="inlineStr">
        <is>
          <t>Drawer system</t>
        </is>
      </c>
      <c r="C10" s="16" t="inlineStr">
        <is>
          <t>H1901-500G</t>
        </is>
      </c>
      <c r="D10" s="17" t="inlineStr">
        <is>
          <t>8302420090</t>
        </is>
      </c>
      <c r="E10" s="16" t="inlineStr">
        <is>
          <t>Kovové komponenty pro zásuvky do kuchyně</t>
        </is>
      </c>
      <c r="F10" s="16" t="n">
        <v>240</v>
      </c>
      <c r="G10" s="16" t="inlineStr">
        <is>
          <t>sets</t>
        </is>
      </c>
      <c r="H10" s="18" t="n">
        <v>7.714</v>
      </c>
      <c r="I10" s="19" t="n">
        <v>1851.36</v>
      </c>
      <c r="J10" s="18" t="n">
        <v>856</v>
      </c>
      <c r="K10" s="18" t="n">
        <v>884</v>
      </c>
      <c r="L10" s="19">
        <f>I10/$I$83*$L$83</f>
        <v/>
      </c>
      <c r="M10" s="19">
        <f>I10+L10</f>
        <v/>
      </c>
    </row>
    <row r="11">
      <c r="A11" s="20" t="n">
        <v>10</v>
      </c>
      <c r="B11" s="20" t="inlineStr">
        <is>
          <t>Drawer system</t>
        </is>
      </c>
      <c r="C11" s="20" t="inlineStr">
        <is>
          <t>H1902-300G</t>
        </is>
      </c>
      <c r="D11" s="21" t="inlineStr">
        <is>
          <t>8302420090</t>
        </is>
      </c>
      <c r="E11" s="20" t="inlineStr">
        <is>
          <t>Kovové komponenty pro zásuvky do kuchyně</t>
        </is>
      </c>
      <c r="F11" s="20" t="n">
        <v>42</v>
      </c>
      <c r="G11" s="20" t="inlineStr">
        <is>
          <t>sets</t>
        </is>
      </c>
      <c r="H11" s="22" t="n">
        <v>7.664</v>
      </c>
      <c r="I11" s="23" t="n">
        <v>321.888</v>
      </c>
      <c r="J11" s="22" t="n">
        <v>109.9</v>
      </c>
      <c r="K11" s="22" t="n">
        <v>114.1</v>
      </c>
      <c r="L11" s="23">
        <f>I11/$I$83*$L$83</f>
        <v/>
      </c>
      <c r="M11" s="23">
        <f>I11+L11</f>
        <v/>
      </c>
    </row>
    <row r="12">
      <c r="A12" s="16" t="n">
        <v>11</v>
      </c>
      <c r="B12" s="16" t="inlineStr">
        <is>
          <t>Drawer system</t>
        </is>
      </c>
      <c r="C12" s="16" t="inlineStr">
        <is>
          <t>H1902-300W</t>
        </is>
      </c>
      <c r="D12" s="17" t="inlineStr">
        <is>
          <t>8302420090</t>
        </is>
      </c>
      <c r="E12" s="16" t="inlineStr">
        <is>
          <t>Kovové komponenty pro zásuvky do kuchyně</t>
        </is>
      </c>
      <c r="F12" s="16" t="n">
        <v>150</v>
      </c>
      <c r="G12" s="16" t="inlineStr">
        <is>
          <t>sets</t>
        </is>
      </c>
      <c r="H12" s="18" t="n">
        <v>7.664</v>
      </c>
      <c r="I12" s="19" t="n">
        <v>1149.6</v>
      </c>
      <c r="J12" s="18" t="n">
        <v>392.5</v>
      </c>
      <c r="K12" s="18" t="n">
        <v>407.5</v>
      </c>
      <c r="L12" s="19">
        <f>I12/$I$83*$L$83</f>
        <v/>
      </c>
      <c r="M12" s="19">
        <f>I12+L12</f>
        <v/>
      </c>
    </row>
    <row r="13">
      <c r="A13" s="20" t="n">
        <v>12</v>
      </c>
      <c r="B13" s="20" t="inlineStr">
        <is>
          <t>Drawer system</t>
        </is>
      </c>
      <c r="C13" s="20" t="inlineStr">
        <is>
          <t>H1902-350G</t>
        </is>
      </c>
      <c r="D13" s="21" t="inlineStr">
        <is>
          <t>8302420090</t>
        </is>
      </c>
      <c r="E13" s="20" t="inlineStr">
        <is>
          <t>Kovové komponenty pro zásuvky do kuchyně</t>
        </is>
      </c>
      <c r="F13" s="20" t="n">
        <v>60</v>
      </c>
      <c r="G13" s="20" t="inlineStr">
        <is>
          <t>sets</t>
        </is>
      </c>
      <c r="H13" s="22" t="n">
        <v>7.994</v>
      </c>
      <c r="I13" s="23" t="n">
        <v>479.64</v>
      </c>
      <c r="J13" s="22" t="n">
        <v>178</v>
      </c>
      <c r="K13" s="22" t="n">
        <v>184</v>
      </c>
      <c r="L13" s="23">
        <f>I13/$I$83*$L$83</f>
        <v/>
      </c>
      <c r="M13" s="23">
        <f>I13+L13</f>
        <v/>
      </c>
    </row>
    <row r="14">
      <c r="A14" s="16" t="n">
        <v>13</v>
      </c>
      <c r="B14" s="16" t="inlineStr">
        <is>
          <t>Drawer system</t>
        </is>
      </c>
      <c r="C14" s="16" t="inlineStr">
        <is>
          <t>H1902-400G</t>
        </is>
      </c>
      <c r="D14" s="17" t="inlineStr">
        <is>
          <t>8302420090</t>
        </is>
      </c>
      <c r="E14" s="16" t="inlineStr">
        <is>
          <t>Kovové komponenty pro zásuvky do kuchyně</t>
        </is>
      </c>
      <c r="F14" s="16" t="n">
        <v>180</v>
      </c>
      <c r="G14" s="16" t="inlineStr">
        <is>
          <t>sets</t>
        </is>
      </c>
      <c r="H14" s="18" t="n">
        <v>8.257999999999999</v>
      </c>
      <c r="I14" s="19" t="n">
        <v>1486.44</v>
      </c>
      <c r="J14" s="18" t="n">
        <v>585</v>
      </c>
      <c r="K14" s="18" t="n">
        <v>609</v>
      </c>
      <c r="L14" s="19">
        <f>I14/$I$83*$L$83</f>
        <v/>
      </c>
      <c r="M14" s="19">
        <f>I14+L14</f>
        <v/>
      </c>
    </row>
    <row r="15">
      <c r="A15" s="20" t="n">
        <v>14</v>
      </c>
      <c r="B15" s="20" t="inlineStr">
        <is>
          <t>Drawer system</t>
        </is>
      </c>
      <c r="C15" s="20" t="inlineStr">
        <is>
          <t>H1902-400W</t>
        </is>
      </c>
      <c r="D15" s="21" t="inlineStr">
        <is>
          <t>8302420090</t>
        </is>
      </c>
      <c r="E15" s="20" t="inlineStr">
        <is>
          <t>Kovové komponenty pro zásuvky do kuchyně</t>
        </is>
      </c>
      <c r="F15" s="20" t="n">
        <v>150</v>
      </c>
      <c r="G15" s="20" t="inlineStr">
        <is>
          <t>sets</t>
        </is>
      </c>
      <c r="H15" s="22" t="n">
        <v>8.257999999999999</v>
      </c>
      <c r="I15" s="23" t="n">
        <v>1238.7</v>
      </c>
      <c r="J15" s="22" t="n">
        <v>487.5</v>
      </c>
      <c r="K15" s="22" t="n">
        <v>507.5</v>
      </c>
      <c r="L15" s="23">
        <f>I15/$I$83*$L$83</f>
        <v/>
      </c>
      <c r="M15" s="23">
        <f>I15+L15</f>
        <v/>
      </c>
    </row>
    <row r="16">
      <c r="A16" s="16" t="n">
        <v>15</v>
      </c>
      <c r="B16" s="16" t="inlineStr">
        <is>
          <t>Drawer system</t>
        </is>
      </c>
      <c r="C16" s="16" t="inlineStr">
        <is>
          <t>H1902-450G</t>
        </is>
      </c>
      <c r="D16" s="17" t="inlineStr">
        <is>
          <t>8302420090</t>
        </is>
      </c>
      <c r="E16" s="16" t="inlineStr">
        <is>
          <t>Kovové komponenty pro zásuvky do kuchyně</t>
        </is>
      </c>
      <c r="F16" s="16" t="n">
        <v>60</v>
      </c>
      <c r="G16" s="16" t="inlineStr">
        <is>
          <t>sets</t>
        </is>
      </c>
      <c r="H16" s="18" t="n">
        <v>8.4</v>
      </c>
      <c r="I16" s="19" t="n">
        <v>504</v>
      </c>
      <c r="J16" s="18" t="n">
        <v>211</v>
      </c>
      <c r="K16" s="18" t="n">
        <v>220</v>
      </c>
      <c r="L16" s="19">
        <f>I16/$I$83*$L$83</f>
        <v/>
      </c>
      <c r="M16" s="19">
        <f>I16+L16</f>
        <v/>
      </c>
    </row>
    <row r="17">
      <c r="A17" s="20" t="n">
        <v>16</v>
      </c>
      <c r="B17" s="20" t="inlineStr">
        <is>
          <t>Drawer system</t>
        </is>
      </c>
      <c r="C17" s="20" t="inlineStr">
        <is>
          <t>H1902-500G</t>
        </is>
      </c>
      <c r="D17" s="21" t="inlineStr">
        <is>
          <t>8302420090</t>
        </is>
      </c>
      <c r="E17" s="20" t="inlineStr">
        <is>
          <t>Kovové komponenty pro zásuvky do kuchyně</t>
        </is>
      </c>
      <c r="F17" s="20" t="n">
        <v>120</v>
      </c>
      <c r="G17" s="20" t="inlineStr">
        <is>
          <t>sets</t>
        </is>
      </c>
      <c r="H17" s="22" t="n">
        <v>8.785</v>
      </c>
      <c r="I17" s="23" t="n">
        <v>1054.2</v>
      </c>
      <c r="J17" s="22" t="n">
        <v>470</v>
      </c>
      <c r="K17" s="22" t="n">
        <v>488</v>
      </c>
      <c r="L17" s="23">
        <f>I17/$I$83*$L$83</f>
        <v/>
      </c>
      <c r="M17" s="23">
        <f>I17+L17</f>
        <v/>
      </c>
    </row>
    <row r="18">
      <c r="A18" s="16" t="n">
        <v>17</v>
      </c>
      <c r="B18" s="16" t="inlineStr">
        <is>
          <t>Drawer system</t>
        </is>
      </c>
      <c r="C18" s="16" t="inlineStr">
        <is>
          <t>H1902-500W</t>
        </is>
      </c>
      <c r="D18" s="17" t="inlineStr">
        <is>
          <t>8302420090</t>
        </is>
      </c>
      <c r="E18" s="16" t="inlineStr">
        <is>
          <t>Kovové komponenty pro zásuvky do kuchyně</t>
        </is>
      </c>
      <c r="F18" s="16" t="n">
        <v>300</v>
      </c>
      <c r="G18" s="16" t="inlineStr">
        <is>
          <t>sets</t>
        </is>
      </c>
      <c r="H18" s="18" t="n">
        <v>8.785</v>
      </c>
      <c r="I18" s="19" t="n">
        <v>2635.5</v>
      </c>
      <c r="J18" s="18" t="n">
        <v>1175</v>
      </c>
      <c r="K18" s="18" t="n">
        <v>1220</v>
      </c>
      <c r="L18" s="19">
        <f>I18/$I$83*$L$83</f>
        <v/>
      </c>
      <c r="M18" s="19">
        <f>I18+L18</f>
        <v/>
      </c>
    </row>
    <row r="19">
      <c r="A19" s="20" t="n">
        <v>18</v>
      </c>
      <c r="B19" s="20" t="inlineStr">
        <is>
          <t>Drawer system</t>
        </is>
      </c>
      <c r="C19" s="20" t="inlineStr">
        <is>
          <t>H1903-300G</t>
        </is>
      </c>
      <c r="D19" s="21" t="inlineStr">
        <is>
          <t>8302420090</t>
        </is>
      </c>
      <c r="E19" s="20" t="inlineStr">
        <is>
          <t>Kovové komponenty pro zásuvky do kuchyně</t>
        </is>
      </c>
      <c r="F19" s="20" t="n">
        <v>125</v>
      </c>
      <c r="G19" s="20" t="inlineStr">
        <is>
          <t>sets</t>
        </is>
      </c>
      <c r="H19" s="22" t="n">
        <v>8.901</v>
      </c>
      <c r="I19" s="23" t="n">
        <v>1112.625</v>
      </c>
      <c r="J19" s="22" t="n">
        <v>400</v>
      </c>
      <c r="K19" s="22" t="n">
        <v>412.5</v>
      </c>
      <c r="L19" s="23">
        <f>I19/$I$83*$L$83</f>
        <v/>
      </c>
      <c r="M19" s="23">
        <f>I19+L19</f>
        <v/>
      </c>
    </row>
    <row r="20">
      <c r="A20" s="16" t="n">
        <v>19</v>
      </c>
      <c r="B20" s="16" t="inlineStr">
        <is>
          <t>Drawer system</t>
        </is>
      </c>
      <c r="C20" s="16" t="inlineStr">
        <is>
          <t>H1903-300W</t>
        </is>
      </c>
      <c r="D20" s="17" t="inlineStr">
        <is>
          <t>8302420090</t>
        </is>
      </c>
      <c r="E20" s="16" t="inlineStr">
        <is>
          <t>Kovové komponenty pro zásuvky do kuchyně</t>
        </is>
      </c>
      <c r="F20" s="16" t="n">
        <v>125</v>
      </c>
      <c r="G20" s="16" t="inlineStr">
        <is>
          <t>sets</t>
        </is>
      </c>
      <c r="H20" s="18" t="n">
        <v>8.901</v>
      </c>
      <c r="I20" s="19" t="n">
        <v>1112.625</v>
      </c>
      <c r="J20" s="18" t="n">
        <v>400</v>
      </c>
      <c r="K20" s="18" t="n">
        <v>412.5</v>
      </c>
      <c r="L20" s="19">
        <f>I20/$I$83*$L$83</f>
        <v/>
      </c>
      <c r="M20" s="19">
        <f>I20+L20</f>
        <v/>
      </c>
    </row>
    <row r="21">
      <c r="A21" s="20" t="n">
        <v>20</v>
      </c>
      <c r="B21" s="20" t="inlineStr">
        <is>
          <t>Drawer system</t>
        </is>
      </c>
      <c r="C21" s="20" t="inlineStr">
        <is>
          <t>H1903-350G</t>
        </is>
      </c>
      <c r="D21" s="21" t="inlineStr">
        <is>
          <t>8302420090</t>
        </is>
      </c>
      <c r="E21" s="20" t="inlineStr">
        <is>
          <t>Kovové komponenty pro zásuvky do kuchyně</t>
        </is>
      </c>
      <c r="F21" s="20" t="n">
        <v>125</v>
      </c>
      <c r="G21" s="20" t="inlineStr">
        <is>
          <t>sets</t>
        </is>
      </c>
      <c r="H21" s="22" t="n">
        <v>9.234</v>
      </c>
      <c r="I21" s="23" t="n">
        <v>1154.25</v>
      </c>
      <c r="J21" s="22" t="n">
        <v>442.5</v>
      </c>
      <c r="K21" s="22" t="n">
        <v>455</v>
      </c>
      <c r="L21" s="23">
        <f>I21/$I$83*$L$83</f>
        <v/>
      </c>
      <c r="M21" s="23">
        <f>I21+L21</f>
        <v/>
      </c>
    </row>
    <row r="22">
      <c r="A22" s="16" t="n">
        <v>21</v>
      </c>
      <c r="B22" s="16" t="inlineStr">
        <is>
          <t>Drawer system</t>
        </is>
      </c>
      <c r="C22" s="16" t="inlineStr">
        <is>
          <t>H1903-350W</t>
        </is>
      </c>
      <c r="D22" s="17" t="inlineStr">
        <is>
          <t>8302420090</t>
        </is>
      </c>
      <c r="E22" s="16" t="inlineStr">
        <is>
          <t>Kovové komponenty pro zásuvky do kuchyně</t>
        </is>
      </c>
      <c r="F22" s="16" t="n">
        <v>125</v>
      </c>
      <c r="G22" s="16" t="inlineStr">
        <is>
          <t>sets</t>
        </is>
      </c>
      <c r="H22" s="18" t="n">
        <v>9.234</v>
      </c>
      <c r="I22" s="19" t="n">
        <v>1154.25</v>
      </c>
      <c r="J22" s="18" t="n">
        <v>442.5</v>
      </c>
      <c r="K22" s="18" t="n">
        <v>455</v>
      </c>
      <c r="L22" s="19">
        <f>I22/$I$83*$L$83</f>
        <v/>
      </c>
      <c r="M22" s="19">
        <f>I22+L22</f>
        <v/>
      </c>
    </row>
    <row r="23">
      <c r="A23" s="20" t="n">
        <v>22</v>
      </c>
      <c r="B23" s="20" t="inlineStr">
        <is>
          <t>Drawer system</t>
        </is>
      </c>
      <c r="C23" s="20" t="inlineStr">
        <is>
          <t>H1903-400G</t>
        </is>
      </c>
      <c r="D23" s="21" t="inlineStr">
        <is>
          <t>8302420090</t>
        </is>
      </c>
      <c r="E23" s="20" t="inlineStr">
        <is>
          <t>Kovové komponenty pro zásuvky do kuchyně</t>
        </is>
      </c>
      <c r="F23" s="20" t="n">
        <v>125</v>
      </c>
      <c r="G23" s="20" t="inlineStr">
        <is>
          <t>sets</t>
        </is>
      </c>
      <c r="H23" s="22" t="n">
        <v>9.542</v>
      </c>
      <c r="I23" s="23" t="n">
        <v>1192.75</v>
      </c>
      <c r="J23" s="22" t="n">
        <v>490</v>
      </c>
      <c r="K23" s="22" t="n">
        <v>502.5</v>
      </c>
      <c r="L23" s="23">
        <f>I23/$I$83*$L$83</f>
        <v/>
      </c>
      <c r="M23" s="23">
        <f>I23+L23</f>
        <v/>
      </c>
    </row>
    <row r="24">
      <c r="A24" s="16" t="n">
        <v>23</v>
      </c>
      <c r="B24" s="16" t="inlineStr">
        <is>
          <t>Drawer system</t>
        </is>
      </c>
      <c r="C24" s="16" t="inlineStr">
        <is>
          <t>H1903-400W</t>
        </is>
      </c>
      <c r="D24" s="17" t="inlineStr">
        <is>
          <t>8302420090</t>
        </is>
      </c>
      <c r="E24" s="16" t="inlineStr">
        <is>
          <t>Kovové komponenty pro zásuvky do kuchyně</t>
        </is>
      </c>
      <c r="F24" s="16" t="n">
        <v>125</v>
      </c>
      <c r="G24" s="16" t="inlineStr">
        <is>
          <t>sets</t>
        </is>
      </c>
      <c r="H24" s="18" t="n">
        <v>9.542</v>
      </c>
      <c r="I24" s="19" t="n">
        <v>1192.75</v>
      </c>
      <c r="J24" s="18" t="n">
        <v>490</v>
      </c>
      <c r="K24" s="18" t="n">
        <v>502.5</v>
      </c>
      <c r="L24" s="19">
        <f>I24/$I$83*$L$83</f>
        <v/>
      </c>
      <c r="M24" s="19">
        <f>I24+L24</f>
        <v/>
      </c>
    </row>
    <row r="25">
      <c r="A25" s="20" t="n">
        <v>24</v>
      </c>
      <c r="B25" s="20" t="inlineStr">
        <is>
          <t>Drawer system</t>
        </is>
      </c>
      <c r="C25" s="20" t="inlineStr">
        <is>
          <t>H1903-450G</t>
        </is>
      </c>
      <c r="D25" s="21" t="inlineStr">
        <is>
          <t>8302420090</t>
        </is>
      </c>
      <c r="E25" s="20" t="inlineStr">
        <is>
          <t>Kovové komponenty pro zásuvky do kuchyně</t>
        </is>
      </c>
      <c r="F25" s="20" t="n">
        <v>125</v>
      </c>
      <c r="G25" s="20" t="inlineStr">
        <is>
          <t>sets</t>
        </is>
      </c>
      <c r="H25" s="22" t="n">
        <v>9.57</v>
      </c>
      <c r="I25" s="23" t="n">
        <v>1196.25</v>
      </c>
      <c r="J25" s="22" t="n">
        <v>496.75</v>
      </c>
      <c r="K25" s="22" t="n">
        <v>526.25</v>
      </c>
      <c r="L25" s="23">
        <f>I25/$I$83*$L$83</f>
        <v/>
      </c>
      <c r="M25" s="23">
        <f>I25+L25</f>
        <v/>
      </c>
    </row>
    <row r="26">
      <c r="A26" s="16" t="n">
        <v>25</v>
      </c>
      <c r="B26" s="16" t="inlineStr">
        <is>
          <t>Drawer system</t>
        </is>
      </c>
      <c r="C26" s="16" t="inlineStr">
        <is>
          <t>H1903-450W</t>
        </is>
      </c>
      <c r="D26" s="17" t="inlineStr">
        <is>
          <t>8302420090</t>
        </is>
      </c>
      <c r="E26" s="16" t="inlineStr">
        <is>
          <t>Kovové komponenty pro zásuvky do kuchyně</t>
        </is>
      </c>
      <c r="F26" s="16" t="n">
        <v>150</v>
      </c>
      <c r="G26" s="16" t="inlineStr">
        <is>
          <t>sets</t>
        </is>
      </c>
      <c r="H26" s="18" t="n">
        <v>9.57</v>
      </c>
      <c r="I26" s="19" t="n">
        <v>1435.5</v>
      </c>
      <c r="J26" s="18" t="n">
        <v>596.1</v>
      </c>
      <c r="K26" s="18" t="n">
        <v>631.5</v>
      </c>
      <c r="L26" s="19">
        <f>I26/$I$83*$L$83</f>
        <v/>
      </c>
      <c r="M26" s="19">
        <f>I26+L26</f>
        <v/>
      </c>
    </row>
    <row r="27">
      <c r="A27" s="20" t="n">
        <v>26</v>
      </c>
      <c r="B27" s="20" t="inlineStr">
        <is>
          <t>Drawer system</t>
        </is>
      </c>
      <c r="C27" s="20" t="inlineStr">
        <is>
          <t>H1903-500G</t>
        </is>
      </c>
      <c r="D27" s="21" t="inlineStr">
        <is>
          <t>8302420090</t>
        </is>
      </c>
      <c r="E27" s="20" t="inlineStr">
        <is>
          <t>Kovové komponenty pro zásuvky do kuchyně</t>
        </is>
      </c>
      <c r="F27" s="20" t="n">
        <v>125</v>
      </c>
      <c r="G27" s="20" t="inlineStr">
        <is>
          <t>sets</t>
        </is>
      </c>
      <c r="H27" s="22" t="n">
        <v>9.971</v>
      </c>
      <c r="I27" s="23" t="n">
        <v>1246.375</v>
      </c>
      <c r="J27" s="22" t="n">
        <v>575</v>
      </c>
      <c r="K27" s="22" t="n">
        <v>579.25</v>
      </c>
      <c r="L27" s="23">
        <f>I27/$I$83*$L$83</f>
        <v/>
      </c>
      <c r="M27" s="23">
        <f>I27+L27</f>
        <v/>
      </c>
    </row>
    <row r="28">
      <c r="A28" s="16" t="n">
        <v>27</v>
      </c>
      <c r="B28" s="16" t="inlineStr">
        <is>
          <t>Drawer system</t>
        </is>
      </c>
      <c r="C28" s="16" t="inlineStr">
        <is>
          <t>H1903-500W</t>
        </is>
      </c>
      <c r="D28" s="17" t="inlineStr">
        <is>
          <t>8302420090</t>
        </is>
      </c>
      <c r="E28" s="16" t="inlineStr">
        <is>
          <t>Kovové komponenty pro zásuvky do kuchyně</t>
        </is>
      </c>
      <c r="F28" s="16" t="n">
        <v>550</v>
      </c>
      <c r="G28" s="16" t="inlineStr">
        <is>
          <t>sets</t>
        </is>
      </c>
      <c r="H28" s="18" t="n">
        <v>9.971</v>
      </c>
      <c r="I28" s="19" t="n">
        <v>5484.05</v>
      </c>
      <c r="J28" s="18" t="n">
        <v>2530</v>
      </c>
      <c r="K28" s="18" t="n">
        <v>2548.7</v>
      </c>
      <c r="L28" s="19">
        <f>I28/$I$83*$L$83</f>
        <v/>
      </c>
      <c r="M28" s="19">
        <f>I28+L28</f>
        <v/>
      </c>
    </row>
    <row r="29">
      <c r="A29" s="20" t="n">
        <v>28</v>
      </c>
      <c r="B29" s="20" t="inlineStr">
        <is>
          <t>Drawer system</t>
        </is>
      </c>
      <c r="C29" s="20" t="inlineStr">
        <is>
          <t>H1904-350W</t>
        </is>
      </c>
      <c r="D29" s="21" t="inlineStr">
        <is>
          <t>8302420090</t>
        </is>
      </c>
      <c r="E29" s="20" t="inlineStr">
        <is>
          <t>Kovové komponenty pro zásuvky do kuchyně</t>
        </is>
      </c>
      <c r="F29" s="20" t="n">
        <v>100</v>
      </c>
      <c r="G29" s="20" t="inlineStr">
        <is>
          <t>sets</t>
        </is>
      </c>
      <c r="H29" s="22" t="n">
        <v>10.399</v>
      </c>
      <c r="I29" s="23" t="n">
        <v>1039.9</v>
      </c>
      <c r="J29" s="22" t="n">
        <v>362.5</v>
      </c>
      <c r="K29" s="22" t="n">
        <v>375</v>
      </c>
      <c r="L29" s="23">
        <f>I29/$I$83*$L$83</f>
        <v/>
      </c>
      <c r="M29" s="23">
        <f>I29+L29</f>
        <v/>
      </c>
    </row>
    <row r="30">
      <c r="A30" s="16" t="n">
        <v>29</v>
      </c>
      <c r="B30" s="16" t="inlineStr">
        <is>
          <t>Drawer system</t>
        </is>
      </c>
      <c r="C30" s="16" t="inlineStr">
        <is>
          <t>H1904-400W</t>
        </is>
      </c>
      <c r="D30" s="17" t="inlineStr">
        <is>
          <t>8302420090</t>
        </is>
      </c>
      <c r="E30" s="16" t="inlineStr">
        <is>
          <t>Kovové komponenty pro zásuvky do kuchyně</t>
        </is>
      </c>
      <c r="F30" s="16" t="n">
        <v>100</v>
      </c>
      <c r="G30" s="16" t="inlineStr">
        <is>
          <t>sets</t>
        </is>
      </c>
      <c r="H30" s="18" t="n">
        <v>10.669</v>
      </c>
      <c r="I30" s="19" t="n">
        <v>1066.9</v>
      </c>
      <c r="J30" s="18" t="n">
        <v>422.5</v>
      </c>
      <c r="K30" s="18" t="n">
        <v>435</v>
      </c>
      <c r="L30" s="19">
        <f>I30/$I$83*$L$83</f>
        <v/>
      </c>
      <c r="M30" s="19">
        <f>I30+L30</f>
        <v/>
      </c>
    </row>
    <row r="31">
      <c r="A31" s="20" t="n">
        <v>30</v>
      </c>
      <c r="B31" s="20" t="inlineStr">
        <is>
          <t>Drawer system</t>
        </is>
      </c>
      <c r="C31" s="20" t="inlineStr">
        <is>
          <t>H1904-450G</t>
        </is>
      </c>
      <c r="D31" s="21" t="inlineStr">
        <is>
          <t>8302420090</t>
        </is>
      </c>
      <c r="E31" s="20" t="inlineStr">
        <is>
          <t>Kovové komponenty pro zásuvky do kuchyně</t>
        </is>
      </c>
      <c r="F31" s="20" t="n">
        <v>120</v>
      </c>
      <c r="G31" s="20" t="inlineStr">
        <is>
          <t>sets</t>
        </is>
      </c>
      <c r="H31" s="22" t="n">
        <v>10.502</v>
      </c>
      <c r="I31" s="23" t="n">
        <v>1260.24</v>
      </c>
      <c r="J31" s="22" t="n">
        <v>531</v>
      </c>
      <c r="K31" s="22" t="n">
        <v>540</v>
      </c>
      <c r="L31" s="23">
        <f>I31/$I$83*$L$83</f>
        <v/>
      </c>
      <c r="M31" s="23">
        <f>I31+L31</f>
        <v/>
      </c>
    </row>
    <row r="32">
      <c r="A32" s="16" t="n">
        <v>31</v>
      </c>
      <c r="B32" s="16" t="inlineStr">
        <is>
          <t>Drawer system</t>
        </is>
      </c>
      <c r="C32" s="16" t="inlineStr">
        <is>
          <t>H1904-450W</t>
        </is>
      </c>
      <c r="D32" s="17" t="inlineStr">
        <is>
          <t>8302420090</t>
        </is>
      </c>
      <c r="E32" s="16" t="inlineStr">
        <is>
          <t>Kovové komponenty pro zásuvky do kuchyně</t>
        </is>
      </c>
      <c r="F32" s="16" t="n">
        <v>100</v>
      </c>
      <c r="G32" s="16" t="inlineStr">
        <is>
          <t>sets</t>
        </is>
      </c>
      <c r="H32" s="18" t="n">
        <v>10.502</v>
      </c>
      <c r="I32" s="19" t="n">
        <v>1050.2</v>
      </c>
      <c r="J32" s="18" t="n">
        <v>442.5</v>
      </c>
      <c r="K32" s="18" t="n">
        <v>450</v>
      </c>
      <c r="L32" s="19">
        <f>I32/$I$83*$L$83</f>
        <v/>
      </c>
      <c r="M32" s="19">
        <f>I32+L32</f>
        <v/>
      </c>
    </row>
    <row r="33">
      <c r="A33" s="20" t="n">
        <v>32</v>
      </c>
      <c r="B33" s="20" t="inlineStr">
        <is>
          <t>Drawer system</t>
        </is>
      </c>
      <c r="C33" s="20" t="inlineStr">
        <is>
          <t>H1904-500G</t>
        </is>
      </c>
      <c r="D33" s="21" t="inlineStr">
        <is>
          <t>8302420090</t>
        </is>
      </c>
      <c r="E33" s="20" t="inlineStr">
        <is>
          <t>Kovové komponenty pro zásuvky do kuchyně</t>
        </is>
      </c>
      <c r="F33" s="20" t="n">
        <v>140</v>
      </c>
      <c r="G33" s="20" t="inlineStr">
        <is>
          <t>sets</t>
        </is>
      </c>
      <c r="H33" s="22" t="n">
        <v>10.963</v>
      </c>
      <c r="I33" s="23" t="n">
        <v>1534.82</v>
      </c>
      <c r="J33" s="22" t="n">
        <v>682.5</v>
      </c>
      <c r="K33" s="22" t="n">
        <v>696.5</v>
      </c>
      <c r="L33" s="23">
        <f>I33/$I$83*$L$83</f>
        <v/>
      </c>
      <c r="M33" s="23">
        <f>I33+L33</f>
        <v/>
      </c>
    </row>
    <row r="34">
      <c r="A34" s="16" t="n">
        <v>33</v>
      </c>
      <c r="B34" s="16" t="inlineStr">
        <is>
          <t>Drawer system</t>
        </is>
      </c>
      <c r="C34" s="16" t="inlineStr">
        <is>
          <t>H1904-500W</t>
        </is>
      </c>
      <c r="D34" s="17" t="inlineStr">
        <is>
          <t>8302420090</t>
        </is>
      </c>
      <c r="E34" s="16" t="inlineStr">
        <is>
          <t>Kovové komponenty pro zásuvky do kuchyně</t>
        </is>
      </c>
      <c r="F34" s="16" t="n">
        <v>400</v>
      </c>
      <c r="G34" s="16" t="inlineStr">
        <is>
          <t>sets</t>
        </is>
      </c>
      <c r="H34" s="18" t="n">
        <v>10.963</v>
      </c>
      <c r="I34" s="19" t="n">
        <v>4385.2</v>
      </c>
      <c r="J34" s="18" t="n">
        <v>1950</v>
      </c>
      <c r="K34" s="18" t="n">
        <v>2124</v>
      </c>
      <c r="L34" s="19">
        <f>I34/$I$83*$L$83</f>
        <v/>
      </c>
      <c r="M34" s="19">
        <f>I34+L34</f>
        <v/>
      </c>
    </row>
    <row r="35">
      <c r="A35" s="20" t="n">
        <v>34</v>
      </c>
      <c r="B35" s="20" t="inlineStr">
        <is>
          <t>Drawer accessories</t>
        </is>
      </c>
      <c r="C35" s="20" t="inlineStr">
        <is>
          <t>H130200G</t>
        </is>
      </c>
      <c r="D35" s="21" t="inlineStr">
        <is>
          <t>8302420090</t>
        </is>
      </c>
      <c r="E35" s="20" t="inlineStr">
        <is>
          <t>Příslušenství pro kovové zásuvky do kuchyně</t>
        </is>
      </c>
      <c r="F35" s="20" t="n">
        <v>100</v>
      </c>
      <c r="G35" s="20" t="inlineStr">
        <is>
          <t>sets</t>
        </is>
      </c>
      <c r="H35" s="22" t="n">
        <v>1.263</v>
      </c>
      <c r="I35" s="23" t="n">
        <v>126.3</v>
      </c>
      <c r="J35" s="22" t="n">
        <v>16.4</v>
      </c>
      <c r="K35" s="22" t="n">
        <v>17</v>
      </c>
      <c r="L35" s="23">
        <f>I35/$I$83*$L$83</f>
        <v/>
      </c>
      <c r="M35" s="23">
        <f>I35+L35</f>
        <v/>
      </c>
    </row>
    <row r="36">
      <c r="A36" s="16" t="n">
        <v>35</v>
      </c>
      <c r="B36" s="16" t="inlineStr">
        <is>
          <t>Drawer accessories</t>
        </is>
      </c>
      <c r="C36" s="16" t="inlineStr">
        <is>
          <t>H130200W</t>
        </is>
      </c>
      <c r="D36" s="17" t="inlineStr">
        <is>
          <t>8302420090</t>
        </is>
      </c>
      <c r="E36" s="16" t="inlineStr">
        <is>
          <t>Příslušenství pro kovové zásuvky do kuchyně</t>
        </is>
      </c>
      <c r="F36" s="16" t="n">
        <v>100</v>
      </c>
      <c r="G36" s="16" t="inlineStr">
        <is>
          <t>sets</t>
        </is>
      </c>
      <c r="H36" s="18" t="n">
        <v>1.263</v>
      </c>
      <c r="I36" s="19" t="n">
        <v>126.3</v>
      </c>
      <c r="J36" s="18" t="n">
        <v>16.4</v>
      </c>
      <c r="K36" s="18" t="n">
        <v>17</v>
      </c>
      <c r="L36" s="19">
        <f>I36/$I$83*$L$83</f>
        <v/>
      </c>
      <c r="M36" s="19">
        <f>I36+L36</f>
        <v/>
      </c>
    </row>
    <row r="37">
      <c r="A37" s="20" t="n">
        <v>36</v>
      </c>
      <c r="B37" s="20" t="inlineStr">
        <is>
          <t>Drawer accessories</t>
        </is>
      </c>
      <c r="C37" s="20" t="inlineStr">
        <is>
          <t>H130500G</t>
        </is>
      </c>
      <c r="D37" s="21" t="inlineStr">
        <is>
          <t>8302420090</t>
        </is>
      </c>
      <c r="E37" s="20" t="inlineStr">
        <is>
          <t>Příslušenství pro kovové zásuvky do kuchyně</t>
        </is>
      </c>
      <c r="F37" s="20" t="n">
        <v>140</v>
      </c>
      <c r="G37" s="20" t="inlineStr">
        <is>
          <t>sets</t>
        </is>
      </c>
      <c r="H37" s="22" t="n">
        <v>1.562</v>
      </c>
      <c r="I37" s="23" t="n">
        <v>218.68</v>
      </c>
      <c r="J37" s="22" t="n">
        <v>57.4</v>
      </c>
      <c r="K37" s="22" t="n">
        <v>58.8</v>
      </c>
      <c r="L37" s="23">
        <f>I37/$I$83*$L$83</f>
        <v/>
      </c>
      <c r="M37" s="23">
        <f>I37+L37</f>
        <v/>
      </c>
    </row>
    <row r="38">
      <c r="A38" s="16" t="n">
        <v>37</v>
      </c>
      <c r="B38" s="16" t="inlineStr">
        <is>
          <t>Drawer accessories</t>
        </is>
      </c>
      <c r="C38" s="16" t="inlineStr">
        <is>
          <t>H130800G</t>
        </is>
      </c>
      <c r="D38" s="17" t="inlineStr">
        <is>
          <t>8302420090</t>
        </is>
      </c>
      <c r="E38" s="16" t="inlineStr">
        <is>
          <t>Příslušenství pro kovové zásuvky do kuchyně</t>
        </is>
      </c>
      <c r="F38" s="16" t="n">
        <v>60</v>
      </c>
      <c r="G38" s="16" t="inlineStr">
        <is>
          <t>sets</t>
        </is>
      </c>
      <c r="H38" s="18" t="n">
        <v>1.782</v>
      </c>
      <c r="I38" s="19" t="n">
        <v>106.92</v>
      </c>
      <c r="J38" s="18" t="n">
        <v>28.5</v>
      </c>
      <c r="K38" s="18" t="n">
        <v>30.3</v>
      </c>
      <c r="L38" s="19">
        <f>I38/$I$83*$L$83</f>
        <v/>
      </c>
      <c r="M38" s="19">
        <f>I38+L38</f>
        <v/>
      </c>
    </row>
    <row r="39">
      <c r="A39" s="20" t="n">
        <v>38</v>
      </c>
      <c r="B39" s="20" t="inlineStr">
        <is>
          <t>Drawer accessories</t>
        </is>
      </c>
      <c r="C39" s="20" t="inlineStr">
        <is>
          <t>H130800W</t>
        </is>
      </c>
      <c r="D39" s="21" t="inlineStr">
        <is>
          <t>8302420090</t>
        </is>
      </c>
      <c r="E39" s="20" t="inlineStr">
        <is>
          <t>Příslušenství pro kovové zásuvky do kuchyně</t>
        </is>
      </c>
      <c r="F39" s="20" t="n">
        <v>100</v>
      </c>
      <c r="G39" s="20" t="inlineStr">
        <is>
          <t>sets</t>
        </is>
      </c>
      <c r="H39" s="22" t="n">
        <v>1.782</v>
      </c>
      <c r="I39" s="23" t="n">
        <v>178.2</v>
      </c>
      <c r="J39" s="22" t="n">
        <v>47.5</v>
      </c>
      <c r="K39" s="22" t="n">
        <v>50.5</v>
      </c>
      <c r="L39" s="23">
        <f>I39/$I$83*$L$83</f>
        <v/>
      </c>
      <c r="M39" s="23">
        <f>I39+L39</f>
        <v/>
      </c>
    </row>
    <row r="40">
      <c r="A40" s="16" t="n">
        <v>39</v>
      </c>
      <c r="B40" s="16" t="inlineStr">
        <is>
          <t>Drawer accessories</t>
        </is>
      </c>
      <c r="C40" s="16" t="inlineStr">
        <is>
          <t>H1321200G</t>
        </is>
      </c>
      <c r="D40" s="17" t="inlineStr">
        <is>
          <t>8302420090</t>
        </is>
      </c>
      <c r="E40" s="16" t="inlineStr">
        <is>
          <t>Příslušenství pro kovové zásuvky do kuchyně</t>
        </is>
      </c>
      <c r="F40" s="16" t="n">
        <v>100</v>
      </c>
      <c r="G40" s="16" t="inlineStr">
        <is>
          <t>sets</t>
        </is>
      </c>
      <c r="H40" s="18" t="n">
        <v>4.927</v>
      </c>
      <c r="I40" s="19" t="n">
        <v>492.7</v>
      </c>
      <c r="J40" s="18" t="n">
        <v>65</v>
      </c>
      <c r="K40" s="18" t="n">
        <v>67.5</v>
      </c>
      <c r="L40" s="19">
        <f>I40/$I$83*$L$83</f>
        <v/>
      </c>
      <c r="M40" s="19">
        <f>I40+L40</f>
        <v/>
      </c>
    </row>
    <row r="41">
      <c r="A41" s="20" t="n">
        <v>40</v>
      </c>
      <c r="B41" s="20" t="inlineStr">
        <is>
          <t>Drawer accessories</t>
        </is>
      </c>
      <c r="C41" s="20" t="inlineStr">
        <is>
          <t>HBH20G</t>
        </is>
      </c>
      <c r="D41" s="21" t="inlineStr">
        <is>
          <t>8302420090</t>
        </is>
      </c>
      <c r="E41" s="20" t="inlineStr">
        <is>
          <t>Příslušenství pro kovové zásuvky do kuchyně</t>
        </is>
      </c>
      <c r="F41" s="20" t="n">
        <v>100</v>
      </c>
      <c r="G41" s="20" t="inlineStr">
        <is>
          <t>sets</t>
        </is>
      </c>
      <c r="H41" s="22" t="n">
        <v>0.196</v>
      </c>
      <c r="I41" s="23" t="n">
        <v>19.6</v>
      </c>
      <c r="J41" s="22" t="n">
        <v>2.6</v>
      </c>
      <c r="K41" s="22" t="n">
        <v>3</v>
      </c>
      <c r="L41" s="23">
        <f>I41/$I$83*$L$83</f>
        <v/>
      </c>
      <c r="M41" s="23">
        <f>I41+L41</f>
        <v/>
      </c>
    </row>
    <row r="42">
      <c r="A42" s="16" t="n">
        <v>41</v>
      </c>
      <c r="B42" s="16" t="inlineStr">
        <is>
          <t>Drawer accessories</t>
        </is>
      </c>
      <c r="C42" s="16" t="inlineStr">
        <is>
          <t>HBH20W</t>
        </is>
      </c>
      <c r="D42" s="17" t="inlineStr">
        <is>
          <t>8302420090</t>
        </is>
      </c>
      <c r="E42" s="16" t="inlineStr">
        <is>
          <t>Příslušenství pro kovové zásuvky do kuchyně</t>
        </is>
      </c>
      <c r="F42" s="16" t="n">
        <v>100</v>
      </c>
      <c r="G42" s="16" t="inlineStr">
        <is>
          <t>sets</t>
        </is>
      </c>
      <c r="H42" s="18" t="n">
        <v>0.196</v>
      </c>
      <c r="I42" s="19" t="n">
        <v>19.6</v>
      </c>
      <c r="J42" s="18" t="n">
        <v>2.6</v>
      </c>
      <c r="K42" s="18" t="n">
        <v>3</v>
      </c>
      <c r="L42" s="19">
        <f>I42/$I$83*$L$83</f>
        <v/>
      </c>
      <c r="M42" s="19">
        <f>I42+L42</f>
        <v/>
      </c>
    </row>
    <row r="43">
      <c r="A43" s="20" t="n">
        <v>42</v>
      </c>
      <c r="B43" s="20" t="inlineStr">
        <is>
          <t>Drawer accessories</t>
        </is>
      </c>
      <c r="C43" s="20" t="inlineStr">
        <is>
          <t>HF130450W</t>
        </is>
      </c>
      <c r="D43" s="21" t="inlineStr">
        <is>
          <t>8302420090</t>
        </is>
      </c>
      <c r="E43" s="20" t="inlineStr">
        <is>
          <t>Příslušenství pro kovové zásuvky do kuchyně</t>
        </is>
      </c>
      <c r="F43" s="20" t="n">
        <v>80</v>
      </c>
      <c r="G43" s="20" t="inlineStr">
        <is>
          <t>sets</t>
        </is>
      </c>
      <c r="H43" s="22" t="n">
        <v>1.498</v>
      </c>
      <c r="I43" s="23" t="n">
        <v>119.84</v>
      </c>
      <c r="J43" s="22" t="n">
        <v>11.6</v>
      </c>
      <c r="K43" s="22" t="n">
        <v>12.8</v>
      </c>
      <c r="L43" s="23">
        <f>I43/$I$83*$L$83</f>
        <v/>
      </c>
      <c r="M43" s="23">
        <f>I43+L43</f>
        <v/>
      </c>
    </row>
    <row r="44">
      <c r="A44" s="16" t="n">
        <v>43</v>
      </c>
      <c r="B44" s="16" t="inlineStr">
        <is>
          <t>Drawer accessories</t>
        </is>
      </c>
      <c r="C44" s="16" t="inlineStr">
        <is>
          <t>HF130500G</t>
        </is>
      </c>
      <c r="D44" s="17" t="inlineStr">
        <is>
          <t>8302420090</t>
        </is>
      </c>
      <c r="E44" s="16" t="inlineStr">
        <is>
          <t>Příslušenství pro kovové zásuvky do kuchyně</t>
        </is>
      </c>
      <c r="F44" s="16" t="n">
        <v>80</v>
      </c>
      <c r="G44" s="16" t="inlineStr">
        <is>
          <t>sets</t>
        </is>
      </c>
      <c r="H44" s="18" t="n">
        <v>1.648</v>
      </c>
      <c r="I44" s="19" t="n">
        <v>131.84</v>
      </c>
      <c r="J44" s="18" t="n">
        <v>12.8</v>
      </c>
      <c r="K44" s="18" t="n">
        <v>14</v>
      </c>
      <c r="L44" s="19">
        <f>I44/$I$83*$L$83</f>
        <v/>
      </c>
      <c r="M44" s="19">
        <f>I44+L44</f>
        <v/>
      </c>
    </row>
    <row r="45">
      <c r="A45" s="20" t="n">
        <v>44</v>
      </c>
      <c r="B45" s="20" t="inlineStr">
        <is>
          <t>Drawer accessories</t>
        </is>
      </c>
      <c r="C45" s="20" t="inlineStr">
        <is>
          <t>HF131200DS</t>
        </is>
      </c>
      <c r="D45" s="21" t="inlineStr">
        <is>
          <t>8302420090</t>
        </is>
      </c>
      <c r="E45" s="20" t="inlineStr">
        <is>
          <t>Příslušenství pro kovové zásuvky do kuchyně</t>
        </is>
      </c>
      <c r="F45" s="20" t="n">
        <v>600</v>
      </c>
      <c r="G45" s="20" t="inlineStr">
        <is>
          <t>sets</t>
        </is>
      </c>
      <c r="H45" s="22" t="n">
        <v>0.464</v>
      </c>
      <c r="I45" s="23" t="n">
        <v>278.4</v>
      </c>
      <c r="J45" s="22" t="n">
        <v>25.5</v>
      </c>
      <c r="K45" s="22" t="n">
        <v>27</v>
      </c>
      <c r="L45" s="23">
        <f>I45/$I$83*$L$83</f>
        <v/>
      </c>
      <c r="M45" s="23">
        <f>I45+L45</f>
        <v/>
      </c>
    </row>
    <row r="46">
      <c r="A46" s="16" t="n">
        <v>45</v>
      </c>
      <c r="B46" s="16" t="inlineStr">
        <is>
          <t>Drawer accessories</t>
        </is>
      </c>
      <c r="C46" s="16" t="inlineStr">
        <is>
          <t>HF131400DS</t>
        </is>
      </c>
      <c r="D46" s="17" t="inlineStr">
        <is>
          <t>8302420090</t>
        </is>
      </c>
      <c r="E46" s="16" t="inlineStr">
        <is>
          <t>Příslušenství pro kovové zásuvky do kuchyně</t>
        </is>
      </c>
      <c r="F46" s="16" t="n">
        <v>600</v>
      </c>
      <c r="G46" s="16" t="inlineStr">
        <is>
          <t>sets</t>
        </is>
      </c>
      <c r="H46" s="18" t="n">
        <v>0.706</v>
      </c>
      <c r="I46" s="19" t="n">
        <v>423.6</v>
      </c>
      <c r="J46" s="18" t="n">
        <v>54</v>
      </c>
      <c r="K46" s="18" t="n">
        <v>57</v>
      </c>
      <c r="L46" s="19">
        <f>I46/$I$83*$L$83</f>
        <v/>
      </c>
      <c r="M46" s="19">
        <f>I46+L46</f>
        <v/>
      </c>
    </row>
    <row r="47">
      <c r="A47" s="20" t="n">
        <v>46</v>
      </c>
      <c r="B47" s="20" t="inlineStr">
        <is>
          <t>Drawer accessories</t>
        </is>
      </c>
      <c r="C47" s="20" t="inlineStr">
        <is>
          <t>HP130300</t>
        </is>
      </c>
      <c r="D47" s="21" t="inlineStr">
        <is>
          <t>8302420090</t>
        </is>
      </c>
      <c r="E47" s="20" t="inlineStr">
        <is>
          <t>Příslušenství pro kovové zásuvky do kuchyně</t>
        </is>
      </c>
      <c r="F47" s="20" t="n">
        <v>300</v>
      </c>
      <c r="G47" s="20" t="inlineStr">
        <is>
          <t>sets</t>
        </is>
      </c>
      <c r="H47" s="22" t="n">
        <v>2.836</v>
      </c>
      <c r="I47" s="23" t="n">
        <v>850.8</v>
      </c>
      <c r="J47" s="22" t="n">
        <v>402</v>
      </c>
      <c r="K47" s="22" t="n">
        <v>434</v>
      </c>
      <c r="L47" s="23">
        <f>I47/$I$83*$L$83</f>
        <v/>
      </c>
      <c r="M47" s="23">
        <f>I47+L47</f>
        <v/>
      </c>
    </row>
    <row r="48">
      <c r="A48" s="16" t="n">
        <v>47</v>
      </c>
      <c r="B48" s="16" t="inlineStr">
        <is>
          <t>Drawer accessories</t>
        </is>
      </c>
      <c r="C48" s="16" t="inlineStr">
        <is>
          <t>HP130350</t>
        </is>
      </c>
      <c r="D48" s="17" t="inlineStr">
        <is>
          <t>8302420090</t>
        </is>
      </c>
      <c r="E48" s="16" t="inlineStr">
        <is>
          <t>Příslušenství pro kovové zásuvky do kuchyně</t>
        </is>
      </c>
      <c r="F48" s="16" t="n">
        <v>300</v>
      </c>
      <c r="G48" s="16" t="inlineStr">
        <is>
          <t>sets</t>
        </is>
      </c>
      <c r="H48" s="18" t="n">
        <v>2.951</v>
      </c>
      <c r="I48" s="19" t="n">
        <v>885.3</v>
      </c>
      <c r="J48" s="18" t="n">
        <v>420</v>
      </c>
      <c r="K48" s="18" t="n">
        <v>452</v>
      </c>
      <c r="L48" s="19">
        <f>I48/$I$83*$L$83</f>
        <v/>
      </c>
      <c r="M48" s="19">
        <f>I48+L48</f>
        <v/>
      </c>
    </row>
    <row r="49">
      <c r="A49" s="20" t="n">
        <v>48</v>
      </c>
      <c r="B49" s="20" t="inlineStr">
        <is>
          <t>Drawer accessories</t>
        </is>
      </c>
      <c r="C49" s="20" t="inlineStr">
        <is>
          <t>HP130400</t>
        </is>
      </c>
      <c r="D49" s="21" t="inlineStr">
        <is>
          <t>8302420090</t>
        </is>
      </c>
      <c r="E49" s="20" t="inlineStr">
        <is>
          <t>Příslušenství pro kovové zásuvky do kuchyně</t>
        </is>
      </c>
      <c r="F49" s="20" t="n">
        <v>200</v>
      </c>
      <c r="G49" s="20" t="inlineStr">
        <is>
          <t>sets</t>
        </is>
      </c>
      <c r="H49" s="22" t="n">
        <v>3.09</v>
      </c>
      <c r="I49" s="23" t="n">
        <v>618</v>
      </c>
      <c r="J49" s="22" t="n">
        <v>314</v>
      </c>
      <c r="K49" s="22" t="n">
        <v>337</v>
      </c>
      <c r="L49" s="23">
        <f>I49/$I$83*$L$83</f>
        <v/>
      </c>
      <c r="M49" s="23">
        <f>I49+L49</f>
        <v/>
      </c>
    </row>
    <row r="50">
      <c r="A50" s="16" t="n">
        <v>49</v>
      </c>
      <c r="B50" s="16" t="inlineStr">
        <is>
          <t>Drawer accessories</t>
        </is>
      </c>
      <c r="C50" s="16" t="inlineStr">
        <is>
          <t>HP130450</t>
        </is>
      </c>
      <c r="D50" s="17" t="inlineStr">
        <is>
          <t>8302420090</t>
        </is>
      </c>
      <c r="E50" s="16" t="inlineStr">
        <is>
          <t>Příslušenství pro kovové zásuvky do kuchyně</t>
        </is>
      </c>
      <c r="F50" s="16" t="n">
        <v>200</v>
      </c>
      <c r="G50" s="16" t="inlineStr">
        <is>
          <t>sets</t>
        </is>
      </c>
      <c r="H50" s="18" t="n">
        <v>3.208</v>
      </c>
      <c r="I50" s="19" t="n">
        <v>641.6</v>
      </c>
      <c r="J50" s="18" t="n">
        <v>330</v>
      </c>
      <c r="K50" s="18" t="n">
        <v>353</v>
      </c>
      <c r="L50" s="19">
        <f>I50/$I$83*$L$83</f>
        <v/>
      </c>
      <c r="M50" s="19">
        <f>I50+L50</f>
        <v/>
      </c>
    </row>
    <row r="51">
      <c r="A51" s="20" t="n">
        <v>50</v>
      </c>
      <c r="B51" s="20" t="inlineStr">
        <is>
          <t>Drawer accessories</t>
        </is>
      </c>
      <c r="C51" s="20" t="inlineStr">
        <is>
          <t>HP130500</t>
        </is>
      </c>
      <c r="D51" s="21" t="inlineStr">
        <is>
          <t>8302420090</t>
        </is>
      </c>
      <c r="E51" s="20" t="inlineStr">
        <is>
          <t>Příslušenství pro kovové zásuvky do kuchyně</t>
        </is>
      </c>
      <c r="F51" s="20" t="n">
        <v>400</v>
      </c>
      <c r="G51" s="20" t="inlineStr">
        <is>
          <t>sets</t>
        </is>
      </c>
      <c r="H51" s="22" t="n">
        <v>3.397</v>
      </c>
      <c r="I51" s="23" t="n">
        <v>1358.8</v>
      </c>
      <c r="J51" s="22" t="n">
        <v>748</v>
      </c>
      <c r="K51" s="22" t="n">
        <v>794</v>
      </c>
      <c r="L51" s="23">
        <f>I51/$I$83*$L$83</f>
        <v/>
      </c>
      <c r="M51" s="23">
        <f>I51+L51</f>
        <v/>
      </c>
    </row>
    <row r="52">
      <c r="A52" s="16" t="n">
        <v>51</v>
      </c>
      <c r="B52" s="16" t="inlineStr">
        <is>
          <t>Drawer accessories</t>
        </is>
      </c>
      <c r="C52" s="16" t="inlineStr">
        <is>
          <t>HP130550</t>
        </is>
      </c>
      <c r="D52" s="17" t="inlineStr">
        <is>
          <t>8302420090</t>
        </is>
      </c>
      <c r="E52" s="16" t="inlineStr">
        <is>
          <t>Příslušenství pro kovové zásuvky do kuchyně</t>
        </is>
      </c>
      <c r="F52" s="16" t="n">
        <v>300</v>
      </c>
      <c r="G52" s="16" t="inlineStr">
        <is>
          <t>sets</t>
        </is>
      </c>
      <c r="H52" s="18" t="n">
        <v>3.628</v>
      </c>
      <c r="I52" s="19" t="n">
        <v>1088.4</v>
      </c>
      <c r="J52" s="18" t="n">
        <v>576</v>
      </c>
      <c r="K52" s="18" t="n">
        <v>610</v>
      </c>
      <c r="L52" s="19">
        <f>I52/$I$83*$L$83</f>
        <v/>
      </c>
      <c r="M52" s="19">
        <f>I52+L52</f>
        <v/>
      </c>
    </row>
    <row r="53">
      <c r="A53" s="20" t="n">
        <v>52</v>
      </c>
      <c r="B53" s="20" t="inlineStr">
        <is>
          <t>Drawer accessories</t>
        </is>
      </c>
      <c r="C53" s="20" t="inlineStr">
        <is>
          <t>HA40</t>
        </is>
      </c>
      <c r="D53" s="21" t="inlineStr">
        <is>
          <t>8302420090</t>
        </is>
      </c>
      <c r="E53" s="20" t="inlineStr">
        <is>
          <t>Příslušenství pro kovové zásuvky do kuchyně</t>
        </is>
      </c>
      <c r="F53" s="20" t="n">
        <v>1900</v>
      </c>
      <c r="G53" s="20" t="inlineStr">
        <is>
          <t>sets</t>
        </is>
      </c>
      <c r="H53" s="22" t="n">
        <v>1.962</v>
      </c>
      <c r="I53" s="23" t="n">
        <v>3727.8</v>
      </c>
      <c r="J53" s="22" t="n">
        <v>252.7</v>
      </c>
      <c r="K53" s="22" t="n">
        <v>285.45</v>
      </c>
      <c r="L53" s="23">
        <f>I53/$I$83*$L$83</f>
        <v/>
      </c>
      <c r="M53" s="23">
        <f>I53+L53</f>
        <v/>
      </c>
    </row>
    <row r="54">
      <c r="A54" s="16" t="n">
        <v>53</v>
      </c>
      <c r="B54" s="16" t="inlineStr">
        <is>
          <t>Drawer accessories</t>
        </is>
      </c>
      <c r="C54" s="16" t="inlineStr">
        <is>
          <t>HAAC40.1000</t>
        </is>
      </c>
      <c r="D54" s="17" t="inlineStr">
        <is>
          <t>8302420090</t>
        </is>
      </c>
      <c r="E54" s="16" t="inlineStr">
        <is>
          <t>Příslušenství pro kovové zásuvky do kuchyně</t>
        </is>
      </c>
      <c r="F54" s="16" t="n">
        <v>1900</v>
      </c>
      <c r="G54" s="16" t="inlineStr">
        <is>
          <t>sets</t>
        </is>
      </c>
      <c r="H54" s="18" t="n">
        <v>0.645</v>
      </c>
      <c r="I54" s="19" t="n">
        <v>1225.5</v>
      </c>
      <c r="J54" s="18" t="n">
        <v>266</v>
      </c>
      <c r="K54" s="18" t="n">
        <v>304</v>
      </c>
      <c r="L54" s="19">
        <f>I54/$I$83*$L$83</f>
        <v/>
      </c>
      <c r="M54" s="19">
        <f>I54+L54</f>
        <v/>
      </c>
    </row>
    <row r="55">
      <c r="A55" s="20" t="n">
        <v>54</v>
      </c>
      <c r="B55" s="20" t="inlineStr">
        <is>
          <t>Drawer accessories</t>
        </is>
      </c>
      <c r="C55" s="20" t="inlineStr">
        <is>
          <t>AL321200G</t>
        </is>
      </c>
      <c r="D55" s="21" t="inlineStr">
        <is>
          <t>8302420090</t>
        </is>
      </c>
      <c r="E55" s="20" t="inlineStr">
        <is>
          <t>Příslušenství pro kovové zásuvky do kuchyně</t>
        </is>
      </c>
      <c r="F55" s="20" t="n">
        <v>60</v>
      </c>
      <c r="G55" s="20" t="inlineStr">
        <is>
          <t>sets</t>
        </is>
      </c>
      <c r="H55" s="22" t="n">
        <v>4.868</v>
      </c>
      <c r="I55" s="23" t="n">
        <v>292.08</v>
      </c>
      <c r="J55" s="22" t="n">
        <v>39</v>
      </c>
      <c r="K55" s="22" t="n">
        <v>40.5</v>
      </c>
      <c r="L55" s="23">
        <f>I55/$I$83*$L$83</f>
        <v/>
      </c>
      <c r="M55" s="23">
        <f>I55+L55</f>
        <v/>
      </c>
    </row>
    <row r="56">
      <c r="A56" s="16" t="n">
        <v>55</v>
      </c>
      <c r="B56" s="16" t="inlineStr">
        <is>
          <t>Drawer accessories</t>
        </is>
      </c>
      <c r="C56" s="16" t="inlineStr">
        <is>
          <t>AL321200W</t>
        </is>
      </c>
      <c r="D56" s="17" t="inlineStr">
        <is>
          <t>8302420090</t>
        </is>
      </c>
      <c r="E56" s="16" t="inlineStr">
        <is>
          <t>Příslušenství pro kovové zásuvky do kuchyně</t>
        </is>
      </c>
      <c r="F56" s="16" t="n">
        <v>60</v>
      </c>
      <c r="G56" s="16" t="inlineStr">
        <is>
          <t>sets</t>
        </is>
      </c>
      <c r="H56" s="18" t="n">
        <v>4.868</v>
      </c>
      <c r="I56" s="19" t="n">
        <v>292.08</v>
      </c>
      <c r="J56" s="18" t="n">
        <v>39</v>
      </c>
      <c r="K56" s="18" t="n">
        <v>40.5</v>
      </c>
      <c r="L56" s="19">
        <f>I56/$I$83*$L$83</f>
        <v/>
      </c>
      <c r="M56" s="19">
        <f>I56+L56</f>
        <v/>
      </c>
    </row>
    <row r="57">
      <c r="A57" s="20" t="n">
        <v>56</v>
      </c>
      <c r="B57" s="20" t="inlineStr">
        <is>
          <t>Drawer accessories</t>
        </is>
      </c>
      <c r="C57" s="20" t="inlineStr">
        <is>
          <t>AR320168G</t>
        </is>
      </c>
      <c r="D57" s="21" t="inlineStr">
        <is>
          <t>8302420090</t>
        </is>
      </c>
      <c r="E57" s="20" t="inlineStr">
        <is>
          <t>Příslušenství pro kovové zásuvky do kuchyně</t>
        </is>
      </c>
      <c r="F57" s="20" t="n">
        <v>100</v>
      </c>
      <c r="G57" s="20" t="inlineStr">
        <is>
          <t>sets</t>
        </is>
      </c>
      <c r="H57" s="22" t="n">
        <v>0.318</v>
      </c>
      <c r="I57" s="23" t="n">
        <v>31.8</v>
      </c>
      <c r="J57" s="22" t="n">
        <v>5</v>
      </c>
      <c r="K57" s="22" t="n">
        <v>5.2</v>
      </c>
      <c r="L57" s="23">
        <f>I57/$I$83*$L$83</f>
        <v/>
      </c>
      <c r="M57" s="23">
        <f>I57+L57</f>
        <v/>
      </c>
    </row>
    <row r="58">
      <c r="A58" s="16" t="n">
        <v>57</v>
      </c>
      <c r="B58" s="16" t="inlineStr">
        <is>
          <t>Drawer accessories</t>
        </is>
      </c>
      <c r="C58" s="16" t="inlineStr">
        <is>
          <t>AR320168W</t>
        </is>
      </c>
      <c r="D58" s="17" t="inlineStr">
        <is>
          <t>8302420090</t>
        </is>
      </c>
      <c r="E58" s="16" t="inlineStr">
        <is>
          <t>Příslušenství pro kovové zásuvky do kuchyně</t>
        </is>
      </c>
      <c r="F58" s="16" t="n">
        <v>100</v>
      </c>
      <c r="G58" s="16" t="inlineStr">
        <is>
          <t>sets</t>
        </is>
      </c>
      <c r="H58" s="18" t="n">
        <v>0.318</v>
      </c>
      <c r="I58" s="19" t="n">
        <v>31.8</v>
      </c>
      <c r="J58" s="18" t="n">
        <v>5</v>
      </c>
      <c r="K58" s="18" t="n">
        <v>5.2</v>
      </c>
      <c r="L58" s="19">
        <f>I58/$I$83*$L$83</f>
        <v/>
      </c>
      <c r="M58" s="19">
        <f>I58+L58</f>
        <v/>
      </c>
    </row>
    <row r="59">
      <c r="A59" s="20" t="n">
        <v>58</v>
      </c>
      <c r="B59" s="20" t="inlineStr">
        <is>
          <t>Drawer accessories</t>
        </is>
      </c>
      <c r="C59" s="20" t="inlineStr">
        <is>
          <t>AR3204183G</t>
        </is>
      </c>
      <c r="D59" s="21" t="inlineStr">
        <is>
          <t>8302420090</t>
        </is>
      </c>
      <c r="E59" s="20" t="inlineStr">
        <is>
          <t>Příslušenství pro kovové zásuvky do kuchyně</t>
        </is>
      </c>
      <c r="F59" s="20" t="n">
        <v>100</v>
      </c>
      <c r="G59" s="20" t="inlineStr">
        <is>
          <t>sets</t>
        </is>
      </c>
      <c r="H59" s="22" t="n">
        <v>0.794</v>
      </c>
      <c r="I59" s="23" t="n">
        <v>79.40000000000001</v>
      </c>
      <c r="J59" s="22" t="n">
        <v>14</v>
      </c>
      <c r="K59" s="22" t="n">
        <v>14.4</v>
      </c>
      <c r="L59" s="23">
        <f>I59/$I$83*$L$83</f>
        <v/>
      </c>
      <c r="M59" s="23">
        <f>I59+L59</f>
        <v/>
      </c>
    </row>
    <row r="60">
      <c r="A60" s="16" t="n">
        <v>59</v>
      </c>
      <c r="B60" s="16" t="inlineStr">
        <is>
          <t>Drawer accessories</t>
        </is>
      </c>
      <c r="C60" s="16" t="inlineStr">
        <is>
          <t>AR3204183W</t>
        </is>
      </c>
      <c r="D60" s="17" t="inlineStr">
        <is>
          <t>8302420090</t>
        </is>
      </c>
      <c r="E60" s="16" t="inlineStr">
        <is>
          <t>Příslušenství pro kovové zásuvky do kuchyně</t>
        </is>
      </c>
      <c r="F60" s="16" t="n">
        <v>100</v>
      </c>
      <c r="G60" s="16" t="inlineStr">
        <is>
          <t>sets</t>
        </is>
      </c>
      <c r="H60" s="18" t="n">
        <v>0.794</v>
      </c>
      <c r="I60" s="19" t="n">
        <v>79.40000000000001</v>
      </c>
      <c r="J60" s="18" t="n">
        <v>14</v>
      </c>
      <c r="K60" s="18" t="n">
        <v>14.4</v>
      </c>
      <c r="L60" s="19">
        <f>I60/$I$83*$L$83</f>
        <v/>
      </c>
      <c r="M60" s="19">
        <f>I60+L60</f>
        <v/>
      </c>
    </row>
    <row r="61">
      <c r="A61" s="20" t="n">
        <v>60</v>
      </c>
      <c r="B61" s="20" t="inlineStr">
        <is>
          <t>Drawer accessories</t>
        </is>
      </c>
      <c r="C61" s="20" t="inlineStr">
        <is>
          <t>HD191500WL</t>
        </is>
      </c>
      <c r="D61" s="21" t="inlineStr">
        <is>
          <t>8302420090</t>
        </is>
      </c>
      <c r="E61" s="20" t="inlineStr">
        <is>
          <t>Příslušenství pro kovové zásuvky do kuchyně</t>
        </is>
      </c>
      <c r="F61" s="20" t="n">
        <v>100</v>
      </c>
      <c r="G61" s="20" t="inlineStr">
        <is>
          <t>sets</t>
        </is>
      </c>
      <c r="H61" s="22" t="n">
        <v>1.677</v>
      </c>
      <c r="I61" s="23" t="n">
        <v>167.7</v>
      </c>
      <c r="J61" s="22" t="n">
        <v>75</v>
      </c>
      <c r="K61" s="22" t="n">
        <v>79</v>
      </c>
      <c r="L61" s="23">
        <f>I61/$I$83*$L$83</f>
        <v/>
      </c>
      <c r="M61" s="23">
        <f>I61+L61</f>
        <v/>
      </c>
    </row>
    <row r="62">
      <c r="A62" s="16" t="n">
        <v>61</v>
      </c>
      <c r="B62" s="16" t="inlineStr">
        <is>
          <t>Drawer accessories</t>
        </is>
      </c>
      <c r="C62" s="16" t="inlineStr">
        <is>
          <t>HD191500WR</t>
        </is>
      </c>
      <c r="D62" s="17" t="inlineStr">
        <is>
          <t>8302420090</t>
        </is>
      </c>
      <c r="E62" s="16" t="inlineStr">
        <is>
          <t>Příslušenství pro kovové zásuvky do kuchyně</t>
        </is>
      </c>
      <c r="F62" s="16" t="n">
        <v>100</v>
      </c>
      <c r="G62" s="16" t="inlineStr">
        <is>
          <t>sets</t>
        </is>
      </c>
      <c r="H62" s="18" t="n">
        <v>1.677</v>
      </c>
      <c r="I62" s="19" t="n">
        <v>167.7</v>
      </c>
      <c r="J62" s="18" t="n">
        <v>75</v>
      </c>
      <c r="K62" s="18" t="n">
        <v>79</v>
      </c>
      <c r="L62" s="19">
        <f>I62/$I$83*$L$83</f>
        <v/>
      </c>
      <c r="M62" s="19">
        <f>I62+L62</f>
        <v/>
      </c>
    </row>
    <row r="63">
      <c r="A63" s="20" t="n">
        <v>62</v>
      </c>
      <c r="B63" s="20" t="inlineStr">
        <is>
          <t>Drawer accessories</t>
        </is>
      </c>
      <c r="C63" s="20" t="inlineStr">
        <is>
          <t>HD192500WL</t>
        </is>
      </c>
      <c r="D63" s="21" t="inlineStr">
        <is>
          <t>8302420090</t>
        </is>
      </c>
      <c r="E63" s="20" t="inlineStr">
        <is>
          <t>Příslušenství pro kovové zásuvky do kuchyně</t>
        </is>
      </c>
      <c r="F63" s="20" t="n">
        <v>100</v>
      </c>
      <c r="G63" s="20" t="inlineStr">
        <is>
          <t>sets</t>
        </is>
      </c>
      <c r="H63" s="22" t="n">
        <v>2.186</v>
      </c>
      <c r="I63" s="23" t="n">
        <v>218.6</v>
      </c>
      <c r="J63" s="22" t="n">
        <v>85</v>
      </c>
      <c r="K63" s="22" t="n">
        <v>86.5</v>
      </c>
      <c r="L63" s="23">
        <f>I63/$I$83*$L$83</f>
        <v/>
      </c>
      <c r="M63" s="23">
        <f>I63+L63</f>
        <v/>
      </c>
    </row>
    <row r="64">
      <c r="A64" s="16" t="n">
        <v>63</v>
      </c>
      <c r="B64" s="16" t="inlineStr">
        <is>
          <t>Drawer accessories</t>
        </is>
      </c>
      <c r="C64" s="16" t="inlineStr">
        <is>
          <t>HD192500WR</t>
        </is>
      </c>
      <c r="D64" s="17" t="inlineStr">
        <is>
          <t>8302420090</t>
        </is>
      </c>
      <c r="E64" s="16" t="inlineStr">
        <is>
          <t>Příslušenství pro kovové zásuvky do kuchyně</t>
        </is>
      </c>
      <c r="F64" s="16" t="n">
        <v>100</v>
      </c>
      <c r="G64" s="16" t="inlineStr">
        <is>
          <t>sets</t>
        </is>
      </c>
      <c r="H64" s="18" t="n">
        <v>2.186</v>
      </c>
      <c r="I64" s="19" t="n">
        <v>218.6</v>
      </c>
      <c r="J64" s="18" t="n">
        <v>85</v>
      </c>
      <c r="K64" s="18" t="n">
        <v>86.5</v>
      </c>
      <c r="L64" s="19">
        <f>I64/$I$83*$L$83</f>
        <v/>
      </c>
      <c r="M64" s="19">
        <f>I64+L64</f>
        <v/>
      </c>
    </row>
    <row r="65">
      <c r="A65" s="20" t="n">
        <v>64</v>
      </c>
      <c r="B65" s="20" t="inlineStr">
        <is>
          <t>Drawer accessories</t>
        </is>
      </c>
      <c r="C65" s="20" t="inlineStr">
        <is>
          <t>HD193500WL</t>
        </is>
      </c>
      <c r="D65" s="21" t="inlineStr">
        <is>
          <t>8302420090</t>
        </is>
      </c>
      <c r="E65" s="20" t="inlineStr">
        <is>
          <t>Příslušenství pro kovové zásuvky do kuchyně</t>
        </is>
      </c>
      <c r="F65" s="20" t="n">
        <v>100</v>
      </c>
      <c r="G65" s="20" t="inlineStr">
        <is>
          <t>sets</t>
        </is>
      </c>
      <c r="H65" s="22" t="n">
        <v>2.785</v>
      </c>
      <c r="I65" s="23" t="n">
        <v>278.5</v>
      </c>
      <c r="J65" s="22" t="n">
        <v>120</v>
      </c>
      <c r="K65" s="22" t="n">
        <v>123.75</v>
      </c>
      <c r="L65" s="23">
        <f>I65/$I$83*$L$83</f>
        <v/>
      </c>
      <c r="M65" s="23">
        <f>I65+L65</f>
        <v/>
      </c>
    </row>
    <row r="66">
      <c r="A66" s="16" t="n">
        <v>65</v>
      </c>
      <c r="B66" s="16" t="inlineStr">
        <is>
          <t>Drawer accessories</t>
        </is>
      </c>
      <c r="C66" s="16" t="inlineStr">
        <is>
          <t>HD193500WR</t>
        </is>
      </c>
      <c r="D66" s="17" t="inlineStr">
        <is>
          <t>8302420090</t>
        </is>
      </c>
      <c r="E66" s="16" t="inlineStr">
        <is>
          <t>Příslušenství pro kovové zásuvky do kuchyně</t>
        </is>
      </c>
      <c r="F66" s="16" t="n">
        <v>100</v>
      </c>
      <c r="G66" s="16" t="inlineStr">
        <is>
          <t>sets</t>
        </is>
      </c>
      <c r="H66" s="18" t="n">
        <v>2.785</v>
      </c>
      <c r="I66" s="19" t="n">
        <v>278.5</v>
      </c>
      <c r="J66" s="18" t="n">
        <v>120</v>
      </c>
      <c r="K66" s="18" t="n">
        <v>123.75</v>
      </c>
      <c r="L66" s="19">
        <f>I66/$I$83*$L$83</f>
        <v/>
      </c>
      <c r="M66" s="19">
        <f>I66+L66</f>
        <v/>
      </c>
    </row>
    <row r="67">
      <c r="A67" s="20" t="n">
        <v>66</v>
      </c>
      <c r="B67" s="20" t="inlineStr">
        <is>
          <t>Drawer accessories</t>
        </is>
      </c>
      <c r="C67" s="20" t="inlineStr">
        <is>
          <t>HD194500WL</t>
        </is>
      </c>
      <c r="D67" s="21" t="inlineStr">
        <is>
          <t>8302420090</t>
        </is>
      </c>
      <c r="E67" s="20" t="inlineStr">
        <is>
          <t>Příslušenství pro kovové zásuvky do kuchyně</t>
        </is>
      </c>
      <c r="F67" s="20" t="n">
        <v>100</v>
      </c>
      <c r="G67" s="20" t="inlineStr">
        <is>
          <t>sets</t>
        </is>
      </c>
      <c r="H67" s="22" t="n">
        <v>3.277</v>
      </c>
      <c r="I67" s="23" t="n">
        <v>327.7</v>
      </c>
      <c r="J67" s="22" t="n">
        <v>138</v>
      </c>
      <c r="K67" s="22" t="n">
        <v>141.5</v>
      </c>
      <c r="L67" s="23">
        <f>I67/$I$83*$L$83</f>
        <v/>
      </c>
      <c r="M67" s="23">
        <f>I67+L67</f>
        <v/>
      </c>
    </row>
    <row r="68">
      <c r="A68" s="16" t="n">
        <v>67</v>
      </c>
      <c r="B68" s="16" t="inlineStr">
        <is>
          <t>Drawer accessories</t>
        </is>
      </c>
      <c r="C68" s="16" t="inlineStr">
        <is>
          <t>HD194500WR</t>
        </is>
      </c>
      <c r="D68" s="17" t="inlineStr">
        <is>
          <t>8302420090</t>
        </is>
      </c>
      <c r="E68" s="16" t="inlineStr">
        <is>
          <t>Příslušenství pro kovové zásuvky do kuchyně</t>
        </is>
      </c>
      <c r="F68" s="16" t="n">
        <v>100</v>
      </c>
      <c r="G68" s="16" t="inlineStr">
        <is>
          <t>sets</t>
        </is>
      </c>
      <c r="H68" s="18" t="n">
        <v>3.277</v>
      </c>
      <c r="I68" s="19" t="n">
        <v>327.7</v>
      </c>
      <c r="J68" s="18" t="n">
        <v>138</v>
      </c>
      <c r="K68" s="18" t="n">
        <v>141.5</v>
      </c>
      <c r="L68" s="19">
        <f>I68/$I$83*$L$83</f>
        <v/>
      </c>
      <c r="M68" s="19">
        <f>I68+L68</f>
        <v/>
      </c>
    </row>
    <row r="69">
      <c r="A69" s="20" t="n">
        <v>68</v>
      </c>
      <c r="B69" s="20" t="inlineStr">
        <is>
          <t>Drawer accessories</t>
        </is>
      </c>
      <c r="C69" s="20" t="inlineStr">
        <is>
          <t>HR130068W</t>
        </is>
      </c>
      <c r="D69" s="21" t="inlineStr">
        <is>
          <t>8302420090</t>
        </is>
      </c>
      <c r="E69" s="20" t="inlineStr">
        <is>
          <t>Příslušenství pro kovové zásuvky do kuchyně</t>
        </is>
      </c>
      <c r="F69" s="20" t="n">
        <v>100</v>
      </c>
      <c r="G69" s="20" t="inlineStr">
        <is>
          <t>sets</t>
        </is>
      </c>
      <c r="H69" s="22" t="n">
        <v>0.31</v>
      </c>
      <c r="I69" s="23" t="n">
        <v>31</v>
      </c>
      <c r="J69" s="22" t="n">
        <v>5</v>
      </c>
      <c r="K69" s="22" t="n">
        <v>5.2</v>
      </c>
      <c r="L69" s="23">
        <f>I69/$I$83*$L$83</f>
        <v/>
      </c>
      <c r="M69" s="23">
        <f>I69+L69</f>
        <v/>
      </c>
    </row>
    <row r="70">
      <c r="A70" s="16" t="n">
        <v>69</v>
      </c>
      <c r="B70" s="16" t="inlineStr">
        <is>
          <t>Drawer accessories</t>
        </is>
      </c>
      <c r="C70" s="16" t="inlineStr">
        <is>
          <t>HR130100W</t>
        </is>
      </c>
      <c r="D70" s="17" t="inlineStr">
        <is>
          <t>8302420090</t>
        </is>
      </c>
      <c r="E70" s="16" t="inlineStr">
        <is>
          <t>Příslušenství pro kovové zásuvky do kuchyně</t>
        </is>
      </c>
      <c r="F70" s="16" t="n">
        <v>100</v>
      </c>
      <c r="G70" s="16" t="inlineStr">
        <is>
          <t>sets</t>
        </is>
      </c>
      <c r="H70" s="18" t="n">
        <v>0.422</v>
      </c>
      <c r="I70" s="19" t="n">
        <v>42.2</v>
      </c>
      <c r="J70" s="18" t="n">
        <v>4.4</v>
      </c>
      <c r="K70" s="18" t="n">
        <v>4.6</v>
      </c>
      <c r="L70" s="19">
        <f>I70/$I$83*$L$83</f>
        <v/>
      </c>
      <c r="M70" s="19">
        <f>I70+L70</f>
        <v/>
      </c>
    </row>
    <row r="71">
      <c r="A71" s="20" t="n">
        <v>70</v>
      </c>
      <c r="B71" s="20" t="inlineStr">
        <is>
          <t>Drawer accessories</t>
        </is>
      </c>
      <c r="C71" s="20" t="inlineStr">
        <is>
          <t>HR130151W</t>
        </is>
      </c>
      <c r="D71" s="21" t="inlineStr">
        <is>
          <t>8302420090</t>
        </is>
      </c>
      <c r="E71" s="20" t="inlineStr">
        <is>
          <t>Příslušenství pro kovové zásuvky do kuchyně</t>
        </is>
      </c>
      <c r="F71" s="20" t="n">
        <v>100</v>
      </c>
      <c r="G71" s="20" t="inlineStr">
        <is>
          <t>sets</t>
        </is>
      </c>
      <c r="H71" s="22" t="n">
        <v>0.492</v>
      </c>
      <c r="I71" s="23" t="n">
        <v>49.2</v>
      </c>
      <c r="J71" s="22" t="n">
        <v>11.2</v>
      </c>
      <c r="K71" s="22" t="n">
        <v>11.6</v>
      </c>
      <c r="L71" s="23">
        <f>I71/$I$83*$L$83</f>
        <v/>
      </c>
      <c r="M71" s="23">
        <f>I71+L71</f>
        <v/>
      </c>
    </row>
    <row r="72">
      <c r="A72" s="16" t="n">
        <v>71</v>
      </c>
      <c r="B72" s="16" t="inlineStr">
        <is>
          <t>Drawer accessories</t>
        </is>
      </c>
      <c r="C72" s="16" t="inlineStr">
        <is>
          <t>HR130183W</t>
        </is>
      </c>
      <c r="D72" s="17" t="inlineStr">
        <is>
          <t>8302420090</t>
        </is>
      </c>
      <c r="E72" s="16" t="inlineStr">
        <is>
          <t>Příslušenství pro kovové zásuvky do kuchyně</t>
        </is>
      </c>
      <c r="F72" s="16" t="n">
        <v>100</v>
      </c>
      <c r="G72" s="16" t="inlineStr">
        <is>
          <t>sets</t>
        </is>
      </c>
      <c r="H72" s="18" t="n">
        <v>0.5629999999999999</v>
      </c>
      <c r="I72" s="19" t="n">
        <v>56.3</v>
      </c>
      <c r="J72" s="18" t="n">
        <v>14</v>
      </c>
      <c r="K72" s="18" t="n">
        <v>14.4</v>
      </c>
      <c r="L72" s="19">
        <f>I72/$I$83*$L$83</f>
        <v/>
      </c>
      <c r="M72" s="19">
        <f>I72+L72</f>
        <v/>
      </c>
    </row>
    <row r="73">
      <c r="A73" s="20" t="n">
        <v>72</v>
      </c>
      <c r="B73" s="20" t="inlineStr">
        <is>
          <t>Drawer accessories</t>
        </is>
      </c>
      <c r="C73" s="20" t="inlineStr">
        <is>
          <t>HF131200D</t>
        </is>
      </c>
      <c r="D73" s="21" t="inlineStr">
        <is>
          <t>8302420090</t>
        </is>
      </c>
      <c r="E73" s="20" t="inlineStr">
        <is>
          <t>Příslušenství pro kovové zásuvky do kuchyně</t>
        </is>
      </c>
      <c r="F73" s="20" t="n">
        <v>200</v>
      </c>
      <c r="G73" s="20" t="inlineStr">
        <is>
          <t>sets</t>
        </is>
      </c>
      <c r="H73" s="22" t="n">
        <v>0.338</v>
      </c>
      <c r="I73" s="23" t="n">
        <v>67.59999999999999</v>
      </c>
      <c r="J73" s="22" t="n">
        <v>8.5</v>
      </c>
      <c r="K73" s="22" t="n">
        <v>9</v>
      </c>
      <c r="L73" s="23">
        <f>I73/$I$83*$L$83</f>
        <v/>
      </c>
      <c r="M73" s="23">
        <f>I73+L73</f>
        <v/>
      </c>
    </row>
    <row r="74">
      <c r="A74" s="16" t="n">
        <v>73</v>
      </c>
      <c r="B74" s="16" t="inlineStr">
        <is>
          <t>Drawer accessories</t>
        </is>
      </c>
      <c r="C74" s="16" t="inlineStr">
        <is>
          <t>HF131400D</t>
        </is>
      </c>
      <c r="D74" s="17" t="inlineStr">
        <is>
          <t>8302420090</t>
        </is>
      </c>
      <c r="E74" s="16" t="inlineStr">
        <is>
          <t>Příslušenství pro kovové zásuvky do kuchyně</t>
        </is>
      </c>
      <c r="F74" s="16" t="n">
        <v>200</v>
      </c>
      <c r="G74" s="16" t="inlineStr">
        <is>
          <t>sets</t>
        </is>
      </c>
      <c r="H74" s="18" t="n">
        <v>0.554</v>
      </c>
      <c r="I74" s="19" t="n">
        <v>110.8</v>
      </c>
      <c r="J74" s="18" t="n">
        <v>18</v>
      </c>
      <c r="K74" s="18" t="n">
        <v>19</v>
      </c>
      <c r="L74" s="19">
        <f>I74/$I$83*$L$83</f>
        <v/>
      </c>
      <c r="M74" s="19">
        <f>I74+L74</f>
        <v/>
      </c>
    </row>
    <row r="75">
      <c r="A75" s="20" t="n">
        <v>74</v>
      </c>
      <c r="B75" s="20" t="inlineStr">
        <is>
          <t>Drawer accessories</t>
        </is>
      </c>
      <c r="C75" s="20" t="inlineStr">
        <is>
          <t>HC1301W</t>
        </is>
      </c>
      <c r="D75" s="21" t="inlineStr">
        <is>
          <t>3924900090</t>
        </is>
      </c>
      <c r="E75" s="20" t="inlineStr">
        <is>
          <t>Krytky plastové na bok kovových zásuvek do kuchyně</t>
        </is>
      </c>
      <c r="F75" s="20" t="n">
        <v>500</v>
      </c>
      <c r="G75" s="20" t="inlineStr">
        <is>
          <t>sets</t>
        </is>
      </c>
      <c r="H75" s="22" t="n">
        <v>0.137</v>
      </c>
      <c r="I75" s="23" t="n">
        <v>68.5</v>
      </c>
      <c r="J75" s="22" t="n">
        <v>2.85</v>
      </c>
      <c r="K75" s="22" t="n">
        <v>3</v>
      </c>
      <c r="L75" s="23">
        <f>I75/$I$83*$L$83</f>
        <v/>
      </c>
      <c r="M75" s="23">
        <f>I75+L75</f>
        <v/>
      </c>
    </row>
    <row r="76">
      <c r="A76" s="16" t="n">
        <v>75</v>
      </c>
      <c r="B76" s="16" t="inlineStr">
        <is>
          <t>Drawer accessories</t>
        </is>
      </c>
      <c r="C76" s="16" t="inlineStr">
        <is>
          <t>HC1311W</t>
        </is>
      </c>
      <c r="D76" s="17" t="inlineStr">
        <is>
          <t>3924900090</t>
        </is>
      </c>
      <c r="E76" s="16" t="inlineStr">
        <is>
          <t>Krytky plastové na bok kovových zásuvek do kuchyně</t>
        </is>
      </c>
      <c r="F76" s="16" t="n">
        <v>500</v>
      </c>
      <c r="G76" s="16" t="inlineStr">
        <is>
          <t>sets</t>
        </is>
      </c>
      <c r="H76" s="18" t="n">
        <v>0.137</v>
      </c>
      <c r="I76" s="19" t="n">
        <v>68.5</v>
      </c>
      <c r="J76" s="18" t="n">
        <v>2.85</v>
      </c>
      <c r="K76" s="18" t="n">
        <v>3</v>
      </c>
      <c r="L76" s="19">
        <f>I76/$I$83*$L$83</f>
        <v/>
      </c>
      <c r="M76" s="19">
        <f>I76+L76</f>
        <v/>
      </c>
    </row>
    <row r="77">
      <c r="A77" s="20" t="n">
        <v>76</v>
      </c>
      <c r="B77" s="20" t="inlineStr">
        <is>
          <t>Wardrobe divider accessories</t>
        </is>
      </c>
      <c r="C77" s="20" t="inlineStr">
        <is>
          <t>YG038.60DG</t>
        </is>
      </c>
      <c r="D77" s="21" t="inlineStr">
        <is>
          <t>3924900090</t>
        </is>
      </c>
      <c r="E77" s="20" t="inlineStr">
        <is>
          <t>Plastový profil pro výrobu oddělovačů a příborníků na míru</t>
        </is>
      </c>
      <c r="F77" s="20" t="n">
        <v>200</v>
      </c>
      <c r="G77" s="20" t="inlineStr">
        <is>
          <t>meters</t>
        </is>
      </c>
      <c r="H77" s="22" t="n">
        <v>1.826</v>
      </c>
      <c r="I77" s="23" t="n">
        <v>365.1</v>
      </c>
      <c r="J77" s="22" t="n">
        <v>53.5</v>
      </c>
      <c r="K77" s="22" t="n">
        <v>57.5</v>
      </c>
      <c r="L77" s="23">
        <f>I77/$I$83*$L$83</f>
        <v/>
      </c>
      <c r="M77" s="23">
        <f>I77+L77</f>
        <v/>
      </c>
    </row>
    <row r="78">
      <c r="A78" s="16" t="n">
        <v>77</v>
      </c>
      <c r="B78" s="16" t="inlineStr">
        <is>
          <t>Laundry hamper</t>
        </is>
      </c>
      <c r="C78" s="16" t="inlineStr">
        <is>
          <t>MLFD45048W</t>
        </is>
      </c>
      <c r="D78" s="17" t="inlineStr">
        <is>
          <t>3924900090</t>
        </is>
      </c>
      <c r="E78" s="16" t="inlineStr">
        <is>
          <t>Plastové koše na prádlo včetně všech dalších věcí</t>
        </is>
      </c>
      <c r="F78" s="16" t="n">
        <v>50</v>
      </c>
      <c r="G78" s="16" t="inlineStr">
        <is>
          <t>sets</t>
        </is>
      </c>
      <c r="H78" s="18" t="n">
        <v>28.269</v>
      </c>
      <c r="I78" s="19" t="n">
        <v>1413.45</v>
      </c>
      <c r="J78" s="18" t="n">
        <v>185</v>
      </c>
      <c r="K78" s="18" t="n">
        <v>230</v>
      </c>
      <c r="L78" s="19">
        <f>I78/$I$83*$L$83</f>
        <v/>
      </c>
      <c r="M78" s="19">
        <f>I78+L78</f>
        <v/>
      </c>
    </row>
    <row r="79">
      <c r="A79" s="20" t="n">
        <v>78</v>
      </c>
      <c r="B79" s="20" t="inlineStr">
        <is>
          <t>Laundry hamper</t>
        </is>
      </c>
      <c r="C79" s="20" t="inlineStr">
        <is>
          <t>MLBD40035W</t>
        </is>
      </c>
      <c r="D79" s="21" t="inlineStr">
        <is>
          <t>3924900090</t>
        </is>
      </c>
      <c r="E79" s="20" t="inlineStr">
        <is>
          <t>Plastové koše na prádlo včetně všech dalších věcí</t>
        </is>
      </c>
      <c r="F79" s="20" t="n">
        <v>50</v>
      </c>
      <c r="G79" s="20" t="inlineStr">
        <is>
          <t>sets</t>
        </is>
      </c>
      <c r="H79" s="22" t="n">
        <v>22.952</v>
      </c>
      <c r="I79" s="23" t="n">
        <v>1147.6</v>
      </c>
      <c r="J79" s="22" t="n">
        <v>150</v>
      </c>
      <c r="K79" s="22" t="n">
        <v>205</v>
      </c>
      <c r="L79" s="23">
        <f>I79/$I$83*$L$83</f>
        <v/>
      </c>
      <c r="M79" s="23">
        <f>I79+L79</f>
        <v/>
      </c>
    </row>
    <row r="80">
      <c r="A80" s="16" t="n">
        <v>79</v>
      </c>
      <c r="B80" s="16" t="inlineStr">
        <is>
          <t>Bins</t>
        </is>
      </c>
      <c r="C80" s="16" t="inlineStr">
        <is>
          <t>MWBD60070G</t>
        </is>
      </c>
      <c r="D80" s="17" t="inlineStr">
        <is>
          <t>3924900090</t>
        </is>
      </c>
      <c r="E80" s="16" t="inlineStr">
        <is>
          <t>Odpadkový plastový koš do skříňky</t>
        </is>
      </c>
      <c r="F80" s="16" t="n">
        <v>50</v>
      </c>
      <c r="G80" s="16" t="inlineStr">
        <is>
          <t>sets</t>
        </is>
      </c>
      <c r="H80" s="18" t="n">
        <v>34.327</v>
      </c>
      <c r="I80" s="19" t="n">
        <v>1716.35</v>
      </c>
      <c r="J80" s="18" t="n">
        <v>460</v>
      </c>
      <c r="K80" s="18" t="n">
        <v>500</v>
      </c>
      <c r="L80" s="19">
        <f>I80/$I$83*$L$83</f>
        <v/>
      </c>
      <c r="M80" s="19">
        <f>I80+L80</f>
        <v/>
      </c>
    </row>
    <row r="81">
      <c r="A81" s="20" t="n">
        <v>80</v>
      </c>
      <c r="B81" s="20" t="inlineStr">
        <is>
          <t>Drawer accessories (cutlery tray)</t>
        </is>
      </c>
      <c r="C81" s="20" t="inlineStr">
        <is>
          <t>GM01700G</t>
        </is>
      </c>
      <c r="D81" s="21" t="inlineStr">
        <is>
          <t>3924900090</t>
        </is>
      </c>
      <c r="E81" s="20" t="inlineStr">
        <is>
          <t>Plastový příborník</t>
        </is>
      </c>
      <c r="F81" s="20" t="n">
        <v>1000</v>
      </c>
      <c r="G81" s="20" t="inlineStr">
        <is>
          <t>pcs</t>
        </is>
      </c>
      <c r="H81" s="22" t="n">
        <v>3.029</v>
      </c>
      <c r="I81" s="23" t="n">
        <v>3029</v>
      </c>
      <c r="J81" s="22" t="n">
        <v>870</v>
      </c>
      <c r="K81" s="22" t="n">
        <v>1000</v>
      </c>
      <c r="L81" s="23">
        <f>I81/$I$83*$L$83</f>
        <v/>
      </c>
      <c r="M81" s="23">
        <f>I81+L81</f>
        <v/>
      </c>
    </row>
    <row r="82">
      <c r="A82" s="16" t="n">
        <v>81</v>
      </c>
      <c r="B82" s="16" t="inlineStr">
        <is>
          <t>Drawer accessories (cutlery tray)</t>
        </is>
      </c>
      <c r="C82" s="16" t="inlineStr">
        <is>
          <t>plastic boxes</t>
        </is>
      </c>
      <c r="D82" s="17" t="inlineStr">
        <is>
          <t>3924900090</t>
        </is>
      </c>
      <c r="E82" s="16" t="inlineStr">
        <is>
          <t>Plastový příborník</t>
        </is>
      </c>
      <c r="F82" s="16" t="n">
        <v>10</v>
      </c>
      <c r="G82" s="16" t="inlineStr">
        <is>
          <t>pcs</t>
        </is>
      </c>
      <c r="H82" s="18" t="n">
        <v>1.2</v>
      </c>
      <c r="I82" s="19" t="n">
        <v>12</v>
      </c>
      <c r="J82" s="18" t="n">
        <v>16.389</v>
      </c>
      <c r="K82" s="18" t="n">
        <v>17.389</v>
      </c>
      <c r="L82" s="19">
        <f>I82/$I$83*$L$83</f>
        <v/>
      </c>
      <c r="M82" s="19">
        <f>I82+L82</f>
        <v/>
      </c>
    </row>
    <row r="83">
      <c r="A83" s="9" t="n"/>
      <c r="B83" s="9" t="inlineStr">
        <is>
          <t>TOTAL</t>
        </is>
      </c>
      <c r="C83" s="9" t="n"/>
      <c r="D83" s="9" t="n"/>
      <c r="E83" s="9" t="n"/>
      <c r="F83" s="9">
        <f>SUM(F2:F82)</f>
        <v/>
      </c>
      <c r="G83" s="9" t="n"/>
      <c r="H83" s="9" t="n"/>
      <c r="I83" s="11">
        <f>SUM(I2:I82)</f>
        <v/>
      </c>
      <c r="J83" s="10">
        <f>SUM(J2:J82)</f>
        <v/>
      </c>
      <c r="K83" s="10">
        <f>SUM(K2:K82)</f>
        <v/>
      </c>
      <c r="L83" s="11" t="n">
        <v>114</v>
      </c>
      <c r="M83" s="11">
        <f>I83+L83</f>
        <v/>
      </c>
    </row>
    <row r="85">
      <c r="B85" s="12" t="inlineStr">
        <is>
          <t>Handling fee EUR 114.00 (CI line 'Handling fee') is distributed across line items in proportion to value; grand total matches CI total EUR 65,995.783.</t>
        </is>
      </c>
    </row>
    <row r="86">
      <c r="B86" s="12" t="inlineStr">
        <is>
          <t>Source: Commercial invoice S08260601 (values), Packing list S08260601 (weights), client CSV 'HS kody + popis MRKU2714799' (10-digit HS codes + Czech descriptions).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2026-07-18T11:12:28Z</dcterms:created>
  <dcterms:modified xsi:type="dcterms:W3CDTF">2026-07-18T11:12:29Z</dcterms:modified>
</cp:coreProperties>
</file>