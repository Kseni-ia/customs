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S Summary" sheetId="1" state="visible" r:id="rId3"/>
    <sheet name="Položky (faktura)" sheetId="2" state="visible" r:id="rId4"/>
    <sheet name="Dokumenty a poznámk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Zdroj: e-mail klienta (A. Nedvídková, 09.10.2026). Předběžně celá částka do celní hodnoty.</t>
        </r>
      </text>
    </comment>
    <comment ref="B12" authorId="0">
      <text>
        <r>
          <rPr>
            <sz val="10"/>
            <rFont val="Arial"/>
            <family val="2"/>
          </rPr>
          <t xml:space="preserve">Kurz ČNB ze 23.09.2026 (předposlední středa září) = celní kurz pro říjen 2026.</t>
        </r>
      </text>
    </comment>
  </commentList>
</comments>
</file>

<file path=xl/sharedStrings.xml><?xml version="1.0" encoding="utf-8"?>
<sst xmlns="http://schemas.openxmlformats.org/spreadsheetml/2006/main" count="123" uniqueCount="113">
  <si>
    <t xml:space="preserve">HS Code Summary – JCD 1/2 – Bevelling Machines Europe s.r.o. – zásilka CZ26012500</t>
  </si>
  <si>
    <t xml:space="preserve">Příjemce / dovozce (CZ)</t>
  </si>
  <si>
    <t xml:space="preserve">Bevelling Machines Europe s.r.o., U Habrovky 247/11, 140 00 Praha 4 – IČ 04617801, DIČ CZ04617801</t>
  </si>
  <si>
    <t xml:space="preserve">Reference zásilky</t>
  </si>
  <si>
    <t xml:space="preserve">CZ26012500 / ASV20260811001</t>
  </si>
  <si>
    <t xml:space="preserve">Odesílatel (sender)</t>
  </si>
  <si>
    <t xml:space="preserve">Zhejiang Wellnit Machinery Manufacturing Co., Ltd, No.3 Lisha Road, No. 370, Lvgu Avenue, Shuige Industrial Park, Lishui City, Zhejiang, CN</t>
  </si>
  <si>
    <t xml:space="preserve">Faktura</t>
  </si>
  <si>
    <t xml:space="preserve">WELLNIT260812B ze dne 12.08.2026 – TOTAL USD 70 424 (EXW Lishui) – opravené číslo faktury (27.10.2026); PL nese č. WELLNIT260812</t>
  </si>
  <si>
    <t xml:space="preserve">Incoterm</t>
  </si>
  <si>
    <t xml:space="preserve">EXW Lishui (dle faktury)</t>
  </si>
  <si>
    <t xml:space="preserve">B/L</t>
  </si>
  <si>
    <t xml:space="preserve">F202618035 (Global Transportation Agency Ltd) – MARY MAERSK 635W, Ningbo → Bremerhaven → Mělník</t>
  </si>
  <si>
    <t xml:space="preserve">Kontejner / plomba</t>
  </si>
  <si>
    <t xml:space="preserve">TCKU6574692 (1×40'HQ) / CN9036032 – společný kontejner pro obě JCD (B/L celkem 29 cases, 12 379 kg, 41,08 CBM)</t>
  </si>
  <si>
    <t xml:space="preserve">ETA</t>
  </si>
  <si>
    <t xml:space="preserve">18.10.2026 Mělník</t>
  </si>
  <si>
    <t xml:space="preserve">Doprava celkem (USD)</t>
  </si>
  <si>
    <t xml:space="preserve">Kurz USD/CZK (celní, říjen 2026)</t>
  </si>
  <si>
    <t xml:space="preserve">Sazba DPH</t>
  </si>
  <si>
    <t xml:space="preserve">Odesílatel</t>
  </si>
  <si>
    <t xml:space="preserve">HS kód</t>
  </si>
  <si>
    <t xml:space="preserve">Popis zboží (CZ – dle klienta)</t>
  </si>
  <si>
    <t xml:space="preserve">Země původu (COO)</t>
  </si>
  <si>
    <t xml:space="preserve">Celkové množství (ks)</t>
  </si>
  <si>
    <t xml:space="preserve">Doplňková MJ</t>
  </si>
  <si>
    <t xml:space="preserve">Čistá hmotnost (kg)</t>
  </si>
  <si>
    <t xml:space="preserve">Hrubá hmotnost (kg)</t>
  </si>
  <si>
    <t xml:space="preserve">Hodnota USD – Total (faktura)</t>
  </si>
  <si>
    <t xml:space="preserve">Doprava – podíl (USD)</t>
  </si>
  <si>
    <t xml:space="preserve">Celní hodnota (USD)</t>
  </si>
  <si>
    <t xml:space="preserve">Celní hodnota (CZK)</t>
  </si>
  <si>
    <t xml:space="preserve">Sazba cla</t>
  </si>
  <si>
    <t xml:space="preserve">Clo (CZK)</t>
  </si>
  <si>
    <t xml:space="preserve">Základ DPH (CZK)</t>
  </si>
  <si>
    <t xml:space="preserve">DPH (CZK)</t>
  </si>
  <si>
    <t xml:space="preserve">CBAM</t>
  </si>
  <si>
    <t xml:space="preserve">Antidumping</t>
  </si>
  <si>
    <t xml:space="preserve">TARIC / poznámka</t>
  </si>
  <si>
    <t xml:space="preserve">Zhejiang Wellnit Machinery Manufacturing Co., Ltd (CN)</t>
  </si>
  <si>
    <t xml:space="preserve">8459699000</t>
  </si>
  <si>
    <t xml:space="preserve">Ukosovací systém UZ47 SKILLMASTER 480V; Ukosovací systém UZ47 SKILLMASTER 3x 220V; Ukosovací systém UZ100 BOLD 400V</t>
  </si>
  <si>
    <t xml:space="preserve">CN</t>
  </si>
  <si>
    <t xml:space="preserve">p/st (21 ks)</t>
  </si>
  <si>
    <t xml:space="preserve">Ne</t>
  </si>
  <si>
    <t xml:space="preserve">TARIC 8459699000, CN: clo 2,7 %, dopl. MJ p/st; bez AD/CVD. Kód dle klienta.</t>
  </si>
  <si>
    <t xml:space="preserve">CELKEM</t>
  </si>
  <si>
    <t xml:space="preserve">Předběžné vyčíslení (CZK)</t>
  </si>
  <si>
    <t xml:space="preserve">Clo</t>
  </si>
  <si>
    <t xml:space="preserve">DPH 21 % (orientačně)</t>
  </si>
  <si>
    <t xml:space="preserve">Clo + DPH celkem</t>
  </si>
  <si>
    <t xml:space="preserve">Legenda:</t>
  </si>
  <si>
    <t xml:space="preserve">Žluté buňky</t>
  </si>
  <si>
    <t xml:space="preserve">vstupy k úpravě (doprava, kurz, DPH); modré písmo = ručně zadané hodnoty (sazby cla z TARIC)</t>
  </si>
  <si>
    <t xml:space="preserve">Oranžová buňka</t>
  </si>
  <si>
    <t xml:space="preserve">k ověření – viz list „Dokumenty a poznámky“</t>
  </si>
  <si>
    <t xml:space="preserve">Doprava – podíl</t>
  </si>
  <si>
    <t xml:space="preserve">rozpočítána mezi HS kódy poměrem hrubé hmotnosti</t>
  </si>
  <si>
    <t xml:space="preserve">Popis</t>
  </si>
  <si>
    <t xml:space="preserve">doslovně dle tabulky klienta v e-mailu (CZ); u sloučených řádků jednotlivé položky odděleny „;“</t>
  </si>
  <si>
    <t xml:space="preserve">Zkratka</t>
  </si>
  <si>
    <t xml:space="preserve">Popis (CZ – dle klienta)</t>
  </si>
  <si>
    <t xml:space="preserve">Popis na faktuře</t>
  </si>
  <si>
    <t xml:space="preserve">HS kód (dle klienta)</t>
  </si>
  <si>
    <t xml:space="preserve">Množství (ks)</t>
  </si>
  <si>
    <t xml:space="preserve">Jedn. cena USD</t>
  </si>
  <si>
    <t xml:space="preserve">Částka USD</t>
  </si>
  <si>
    <t xml:space="preserve">Materiál (dle klienta)</t>
  </si>
  <si>
    <t xml:space="preserve">Účel (dle klienta)</t>
  </si>
  <si>
    <t xml:space="preserve">4701</t>
  </si>
  <si>
    <t xml:space="preserve">Ukosovací systém UZ47 SKILLMASTER 3x 220V</t>
  </si>
  <si>
    <t xml:space="preserve">Plate beveling machine UZ47 220V</t>
  </si>
  <si>
    <t xml:space="preserve">Plast, kov</t>
  </si>
  <si>
    <t xml:space="preserve">Slouží k přípravě materiálu před svařováním</t>
  </si>
  <si>
    <t xml:space="preserve">4702</t>
  </si>
  <si>
    <t xml:space="preserve">Ukosovací systém UZ47 SKILLMASTER 480V</t>
  </si>
  <si>
    <t xml:space="preserve">Plate beveling machine UZ47 480V</t>
  </si>
  <si>
    <t xml:space="preserve">1000</t>
  </si>
  <si>
    <t xml:space="preserve">Ukosovací systém UZ100 BOLD 400V</t>
  </si>
  <si>
    <t xml:space="preserve">Plate beveling machine UZ100 400V</t>
  </si>
  <si>
    <t xml:space="preserve">CELKEM (= TOTAL faktury)</t>
  </si>
  <si>
    <t xml:space="preserve">■ JCD 1/2 – BEVELLING MACHINES EUROPE S.R.O. – SPECIFICKÉ BODY</t>
  </si>
  <si>
    <t xml:space="preserve">⚠️ PLNÁ MOC CHYBÍ: v e-mailu je uvedeno „doklady a POA pro Bevelling Machine E. v příloze“, ale e-mail obsahuje jen 3 PDF (B/L F202618035, CIPL Bevelling, CIPL N.KO). Plnou moc vyžádat před podáním JCD.</t>
  </si>
  <si>
    <t xml:space="preserve">⚠️ B/L je vystaven na příjemce N.KO spol. s r.o. pro celý kontejner (i zboží Bevelling Machines). Pro samostatné JCD na Bevelling Machines Europe ověřit dispozici se zbožím / rozdělení B/L (případně souhlas N.KO).</t>
  </si>
  <si>
    <t xml:space="preserve">⚠️ Hrubé hmotnosti v PL: G.Weight u položek ≠ N.Weight + fólie + bedna (součet 7 390 + 10,5 + 1 165 = 8 565,5 kg vs. uvedeno 8 622 kg). Použita uvedená G.Weight 8 622 kg – souhlasí s B/L (8 622 + 3 757 = 12 379 kg).</t>
  </si>
  <si>
    <t xml:space="preserve">Klasifikace: ukosovací stroje = frézovací princip → 8459 69 90 (ostatní frézovací stroje, ne číslicově řízené) odpovídá. POZOR: stejný typ stroje (UZ30) má N.KO pod 8459 29 00 (vrtací stroje) – nekonzistence, viz soubor N.KO.</t>
  </si>
  <si>
    <t xml:space="preserve">■ PŘIJATÉ DOKUMENTY (e-maily A. Nedvídková 09.10.2026 a 27.10.2026)</t>
  </si>
  <si>
    <t xml:space="preserve">✓ B/L F202618035 (kopie, NOT NEGOTIABLE) – MARY MAERSK 635W, Ningbo → Bremerhaven, place of delivery Mělník, shipped on board 06.09.2026</t>
  </si>
  <si>
    <t xml:space="preserve">✓ CIPL Bevelling Machines Europe – Invoice WELLNIT260812B (opravená verze 27.10.2026) + Packing list WELLNIT260812, oba ze 12.08.2026 (TOTAL USD 70 424, 21 cases)</t>
  </si>
  <si>
    <t xml:space="preserve">✓ CIPL N.KO – Invoice WELLNIT260812A (opravená verze 27.10.2026) + Packing list WELLNIT260812, oba ze 12.08.2026 (TOTAL USD 45 396, 8 cases)</t>
  </si>
  <si>
    <t xml:space="preserve">✓ Popisy zboží v CZ, HS kódy, materiál a účel – tabulka klienta v těle e-mailu (popisy převzaty doslovně)</t>
  </si>
  <si>
    <t xml:space="preserve">✓ VYŘEŠENO 27.10.2026: původně měly obě faktury stejné číslo WELLNIT260812. Dodavatel zaslal opravené faktury: N.KO = WELLNIT260812A, Bevelling Machines Europe = WELLNIT260812B. Ověřeno porovnáním s původními doklady: změnilo se POUZE číslo faktury – zboží, množství, ceny, TOTAL, hmotnosti i datum jsou beze změny. Do JCD uvádět nová čísla A/B.</t>
  </si>
  <si>
    <t xml:space="preserve">Pozn.: packing listy v opravených dokladech stále nesou číslo WELLNIT260812 (bez A/B) – drobnost, obsah PL odpovídá; případně požádat o sjednocení.</t>
  </si>
  <si>
    <t xml:space="preserve">■ ⭐ PREFERENČNÍ VĚTA / COO</t>
  </si>
  <si>
    <t xml:space="preserve">❌ Preferenční věta v dokladech NENÍ. Faktury uvádějí pouze „Origin Of Good: China“. Čína nemá s EU preferenční dohodu → uplatní se plné clo třetích zemí (konvenční sazba).</t>
  </si>
  <si>
    <t xml:space="preserve">■ ⭐ REX</t>
  </si>
  <si>
    <t xml:space="preserve">❌ REX číslo NENÍ uvedeno na žádné faktuře (ani na B/L).</t>
  </si>
  <si>
    <t xml:space="preserve">■ CBAM</t>
  </si>
  <si>
    <t xml:space="preserve">Nevztahuje se – kódy 8459 / 8466 nejsou CBAM zboží (CBAM: kap. 72/73, 76, 2523, 2808/2814/2834/3102/3105, 2804 10, 2716). Y kód se neuvádí.</t>
  </si>
  <si>
    <t xml:space="preserve">Pro informaci: N.KO spol. s r.o. ani Bevelling Machines Europe s.r.o. NEJSOU v registru reference/CBAM_receivers_CZ.xlsx (pro tuto zásilku to nevadí).</t>
  </si>
  <si>
    <t xml:space="preserve">■ ANTIDUMPING</t>
  </si>
  <si>
    <t xml:space="preserve">TARIC (dotaz 09.10.2026, země původu CN): pro 8459699000, 8459290000 i 8466936000 žádné antidumpingové ani vyrovnávací clo. (Ani alternativní 8207 70 xx AD nemá.)</t>
  </si>
  <si>
    <t xml:space="preserve">■ MELT AND POUR (země tavby a odlití)</t>
  </si>
  <si>
    <t xml:space="preserve">Nevztahuje se – zboží jsou stroje a nástroje kap. 84 (ukosovací stroje, frézovací hlavy), nikoli výrobky ze železa/oceli kap. 72/73. Hutní atest v dokladech není a pro tuto zásilku se nevyžaduje.</t>
  </si>
  <si>
    <t xml:space="preserve">■ INCOTERM</t>
  </si>
  <si>
    <t xml:space="preserve">EXW Lishui (Zhejiang, CN) – uvedeno na obou fakturách. → celní hodnota = Total faktury + doprava do místa vstupu do EU.</t>
  </si>
  <si>
    <t xml:space="preserve">■ CELNÍ HODNOTA – PŘEDBĚŽNÉ VYČÍSLENÍ</t>
  </si>
  <si>
    <t xml:space="preserve">Hodnota zboží = částka „TOTAL“ z faktury (žádná sleva na fakturách není).</t>
  </si>
  <si>
    <t xml:space="preserve">Doprava: částky z e-mailu klienta (Bevelling 4 590 USD, N.KO 2 000 USD). Předběžně započtena CELÁ do celní hodnoty (konzervativně). Obsahuje i úsek Bremerhaven → Mělník; pokud bude k dispozici rozpad, lze část po vstupu do EU z celní hodnoty vyjmout (zůstává jen v základu DPH) → clo mírně nižší.</t>
  </si>
  <si>
    <t xml:space="preserve">Rozpočet dopravy mezi HS kódy v rámci JCD: poměrem hrubé hmotnosti.</t>
  </si>
  <si>
    <t xml:space="preserve">Kurz: 21,369 CZK/USD = kurz ČNB ze středy 23.09.2026 (předposlední středa v září) → celní kurz pro říjen 2026. Pokud se propuštění posune do listopadu, kurz aktualizovat (žlutá buňka).</t>
  </si>
  <si>
    <t xml:space="preserve">Pojištění: dle e-mailu nesjednáno → nezapočteno.</t>
  </si>
  <si>
    <t xml:space="preserve">DPH 21 % je orientační (základ = celní hodnota + clo; při vyjmutí dopravy po hranici EU z celní hodnoty se tato doprava vrací do základu DPH). Clo a DPH zaokrouhleny na celé Kč.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</si>
</sst>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.000"/>
    <numFmt numFmtId="167" formatCode="0%"/>
    <numFmt numFmtId="168" formatCode="@"/>
    <numFmt numFmtId="169" formatCode="#,##0"/>
    <numFmt numFmtId="170" formatCode="#,##0.0"/>
    <numFmt numFmtId="171" formatCode="0.0%"/>
    <numFmt numFmtId="172" formatCode="#,##0&quot; Kč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7"/>
    <col collapsed="false" customWidth="true" hidden="false" outlineLevel="0" max="18" min="18" style="0" width="11"/>
    <col collapsed="false" customWidth="true" hidden="false" outlineLevel="0" max="19" min="19" style="0" width="6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4" t="n">
        <v>4590</v>
      </c>
    </row>
    <row r="12" customFormat="false" ht="15" hidden="false" customHeight="false" outlineLevel="0" collapsed="false">
      <c r="A12" s="2" t="s">
        <v>18</v>
      </c>
      <c r="B12" s="5" t="n">
        <v>21.369</v>
      </c>
    </row>
    <row r="13" customFormat="false" ht="15" hidden="false" customHeight="false" outlineLevel="0" collapsed="false">
      <c r="A13" s="2" t="s">
        <v>19</v>
      </c>
      <c r="B13" s="6" t="n">
        <v>0.21</v>
      </c>
    </row>
    <row r="15" customFormat="false" ht="39.55" hidden="false" customHeight="false" outlineLevel="0" collapsed="false">
      <c r="A15" s="7" t="s">
        <v>20</v>
      </c>
      <c r="B15" s="7" t="s">
        <v>21</v>
      </c>
      <c r="C15" s="7" t="s">
        <v>22</v>
      </c>
      <c r="D15" s="7" t="s">
        <v>23</v>
      </c>
      <c r="E15" s="7" t="s">
        <v>24</v>
      </c>
      <c r="F15" s="7" t="s">
        <v>25</v>
      </c>
      <c r="G15" s="7" t="s">
        <v>26</v>
      </c>
      <c r="H15" s="7" t="s">
        <v>27</v>
      </c>
      <c r="I15" s="7" t="s">
        <v>28</v>
      </c>
      <c r="J15" s="7" t="s">
        <v>29</v>
      </c>
      <c r="K15" s="7" t="s">
        <v>30</v>
      </c>
      <c r="L15" s="7" t="s">
        <v>31</v>
      </c>
      <c r="M15" s="7" t="s">
        <v>32</v>
      </c>
      <c r="N15" s="7" t="s">
        <v>33</v>
      </c>
      <c r="O15" s="7" t="s">
        <v>34</v>
      </c>
      <c r="P15" s="7" t="s">
        <v>35</v>
      </c>
      <c r="Q15" s="7" t="s">
        <v>36</v>
      </c>
      <c r="R15" s="7" t="s">
        <v>37</v>
      </c>
      <c r="S15" s="7" t="s">
        <v>38</v>
      </c>
    </row>
    <row r="16" customFormat="false" ht="39.55" hidden="false" customHeight="false" outlineLevel="0" collapsed="false">
      <c r="A16" s="8" t="s">
        <v>39</v>
      </c>
      <c r="B16" s="9" t="s">
        <v>40</v>
      </c>
      <c r="C16" s="8" t="s">
        <v>41</v>
      </c>
      <c r="D16" s="8" t="s">
        <v>42</v>
      </c>
      <c r="E16" s="10" t="n">
        <v>21</v>
      </c>
      <c r="F16" s="8" t="s">
        <v>43</v>
      </c>
      <c r="G16" s="11" t="n">
        <v>7390</v>
      </c>
      <c r="H16" s="11" t="n">
        <v>8622</v>
      </c>
      <c r="I16" s="12" t="n">
        <v>70424</v>
      </c>
      <c r="J16" s="12" t="n">
        <f aca="false">$B$11*H16/$H$17</f>
        <v>4590</v>
      </c>
      <c r="K16" s="12" t="n">
        <f aca="false">I16+J16</f>
        <v>75014</v>
      </c>
      <c r="L16" s="12" t="n">
        <f aca="false">ROUND(K16*$B$12,2)</f>
        <v>1602974.17</v>
      </c>
      <c r="M16" s="13" t="n">
        <v>0.027</v>
      </c>
      <c r="N16" s="10" t="n">
        <f aca="false">ROUND(L16*M16,0)</f>
        <v>43280</v>
      </c>
      <c r="O16" s="12" t="n">
        <f aca="false">L16+N16</f>
        <v>1646254.17</v>
      </c>
      <c r="P16" s="10" t="n">
        <f aca="false">ROUND(O16*$B$13,0)</f>
        <v>345713</v>
      </c>
      <c r="Q16" s="8" t="s">
        <v>44</v>
      </c>
      <c r="R16" s="8" t="s">
        <v>44</v>
      </c>
      <c r="S16" s="8" t="s">
        <v>45</v>
      </c>
    </row>
    <row r="17" customFormat="false" ht="15" hidden="false" customHeight="false" outlineLevel="0" collapsed="false">
      <c r="A17" s="14" t="s">
        <v>46</v>
      </c>
      <c r="B17" s="15"/>
      <c r="C17" s="14"/>
      <c r="D17" s="14"/>
      <c r="E17" s="16" t="n">
        <f aca="false">SUM(E16:E16)</f>
        <v>21</v>
      </c>
      <c r="F17" s="14"/>
      <c r="G17" s="17" t="n">
        <f aca="false">SUM(G16:G16)</f>
        <v>7390</v>
      </c>
      <c r="H17" s="17" t="n">
        <f aca="false">SUM(H16:H16)</f>
        <v>8622</v>
      </c>
      <c r="I17" s="18" t="n">
        <f aca="false">SUM(I16:I16)</f>
        <v>70424</v>
      </c>
      <c r="J17" s="18" t="n">
        <f aca="false">SUM(J16:J16)</f>
        <v>4590</v>
      </c>
      <c r="K17" s="18" t="n">
        <f aca="false">SUM(K16:K16)</f>
        <v>75014</v>
      </c>
      <c r="L17" s="18" t="n">
        <f aca="false">SUM(L16:L16)</f>
        <v>1602974.17</v>
      </c>
      <c r="M17" s="19" t="n">
        <f aca="false">IF(L17=0,0,N17/L17)</f>
        <v>0.0269998112321423</v>
      </c>
      <c r="N17" s="16" t="n">
        <f aca="false">SUM(N16:N16)</f>
        <v>43280</v>
      </c>
      <c r="O17" s="18" t="n">
        <f aca="false">SUM(O16:O16)</f>
        <v>1646254.17</v>
      </c>
      <c r="P17" s="16" t="n">
        <f aca="false">SUM(P16:P16)</f>
        <v>345713</v>
      </c>
      <c r="Q17" s="14"/>
      <c r="R17" s="14"/>
      <c r="S17" s="14"/>
    </row>
    <row r="19" customFormat="false" ht="15" hidden="false" customHeight="false" outlineLevel="0" collapsed="false">
      <c r="A19" s="2" t="s">
        <v>47</v>
      </c>
    </row>
    <row r="20" customFormat="false" ht="15" hidden="false" customHeight="false" outlineLevel="0" collapsed="false">
      <c r="A20" s="2" t="s">
        <v>48</v>
      </c>
      <c r="B20" s="20" t="n">
        <f aca="false">N17</f>
        <v>43280</v>
      </c>
    </row>
    <row r="21" customFormat="false" ht="15" hidden="false" customHeight="false" outlineLevel="0" collapsed="false">
      <c r="A21" s="2" t="s">
        <v>49</v>
      </c>
      <c r="B21" s="20" t="n">
        <f aca="false">P17</f>
        <v>345713</v>
      </c>
    </row>
    <row r="22" customFormat="false" ht="15" hidden="false" customHeight="false" outlineLevel="0" collapsed="false">
      <c r="A22" s="2" t="s">
        <v>50</v>
      </c>
      <c r="B22" s="20" t="n">
        <f aca="false">N17+P17</f>
        <v>388993</v>
      </c>
    </row>
    <row r="24" customFormat="false" ht="15" hidden="false" customHeight="false" outlineLevel="0" collapsed="false">
      <c r="A24" s="2" t="s">
        <v>51</v>
      </c>
    </row>
    <row r="25" customFormat="false" ht="15" hidden="false" customHeight="false" outlineLevel="0" collapsed="false">
      <c r="A25" s="3" t="s">
        <v>52</v>
      </c>
      <c r="B25" s="3" t="s">
        <v>53</v>
      </c>
    </row>
    <row r="26" customFormat="false" ht="15" hidden="false" customHeight="false" outlineLevel="0" collapsed="false">
      <c r="A26" s="3" t="s">
        <v>54</v>
      </c>
      <c r="B26" s="3" t="s">
        <v>55</v>
      </c>
    </row>
    <row r="27" customFormat="false" ht="15" hidden="false" customHeight="false" outlineLevel="0" collapsed="false">
      <c r="A27" s="3" t="s">
        <v>56</v>
      </c>
      <c r="B27" s="3" t="s">
        <v>57</v>
      </c>
    </row>
    <row r="28" customFormat="false" ht="15" hidden="false" customHeight="false" outlineLevel="0" collapsed="false">
      <c r="A28" s="3" t="s">
        <v>58</v>
      </c>
      <c r="B28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9" min="6" style="0" width="12"/>
    <col collapsed="false" customWidth="true" hidden="false" outlineLevel="0" max="10" min="10" style="0" width="14"/>
    <col collapsed="false" customWidth="true" hidden="false" outlineLevel="0" max="11" min="11" style="0" width="38"/>
  </cols>
  <sheetData>
    <row r="1" customFormat="false" ht="39.5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26</v>
      </c>
      <c r="I1" s="7" t="s">
        <v>27</v>
      </c>
      <c r="J1" s="7" t="s">
        <v>67</v>
      </c>
      <c r="K1" s="7" t="s">
        <v>68</v>
      </c>
    </row>
    <row r="2" customFormat="false" ht="26.85" hidden="false" customHeight="false" outlineLevel="0" collapsed="false">
      <c r="A2" s="9" t="s">
        <v>69</v>
      </c>
      <c r="B2" s="8" t="s">
        <v>70</v>
      </c>
      <c r="C2" s="8" t="s">
        <v>71</v>
      </c>
      <c r="D2" s="9" t="s">
        <v>40</v>
      </c>
      <c r="E2" s="8" t="n">
        <v>7</v>
      </c>
      <c r="F2" s="12" t="n">
        <v>2288</v>
      </c>
      <c r="G2" s="12" t="n">
        <v>16016</v>
      </c>
      <c r="H2" s="8" t="n">
        <v>1946</v>
      </c>
      <c r="I2" s="8" t="n">
        <v>2282</v>
      </c>
      <c r="J2" s="8" t="s">
        <v>72</v>
      </c>
      <c r="K2" s="8" t="s">
        <v>73</v>
      </c>
    </row>
    <row r="3" customFormat="false" ht="26.85" hidden="false" customHeight="false" outlineLevel="0" collapsed="false">
      <c r="A3" s="9" t="s">
        <v>74</v>
      </c>
      <c r="B3" s="8" t="s">
        <v>75</v>
      </c>
      <c r="C3" s="8" t="s">
        <v>76</v>
      </c>
      <c r="D3" s="9" t="s">
        <v>40</v>
      </c>
      <c r="E3" s="8" t="n">
        <v>6</v>
      </c>
      <c r="F3" s="12" t="n">
        <v>2288</v>
      </c>
      <c r="G3" s="12" t="n">
        <v>13728</v>
      </c>
      <c r="H3" s="8" t="n">
        <v>1668</v>
      </c>
      <c r="I3" s="8" t="n">
        <v>1956</v>
      </c>
      <c r="J3" s="8" t="s">
        <v>72</v>
      </c>
      <c r="K3" s="8" t="s">
        <v>73</v>
      </c>
    </row>
    <row r="4" customFormat="false" ht="26.85" hidden="false" customHeight="false" outlineLevel="0" collapsed="false">
      <c r="A4" s="9" t="s">
        <v>77</v>
      </c>
      <c r="B4" s="8" t="s">
        <v>78</v>
      </c>
      <c r="C4" s="8" t="s">
        <v>79</v>
      </c>
      <c r="D4" s="9" t="s">
        <v>40</v>
      </c>
      <c r="E4" s="8" t="n">
        <v>8</v>
      </c>
      <c r="F4" s="12" t="n">
        <v>5085</v>
      </c>
      <c r="G4" s="12" t="n">
        <v>40680</v>
      </c>
      <c r="H4" s="8" t="n">
        <v>3776</v>
      </c>
      <c r="I4" s="8" t="n">
        <v>4384</v>
      </c>
      <c r="J4" s="8" t="s">
        <v>72</v>
      </c>
      <c r="K4" s="8" t="s">
        <v>73</v>
      </c>
    </row>
    <row r="5" customFormat="false" ht="15" hidden="false" customHeight="false" outlineLevel="0" collapsed="false">
      <c r="A5" s="2" t="s">
        <v>80</v>
      </c>
      <c r="E5" s="2" t="n">
        <f aca="false">SUM(E2:E4)</f>
        <v>21</v>
      </c>
      <c r="G5" s="21" t="n">
        <f aca="false">SUM(G2:G4)</f>
        <v>70424</v>
      </c>
      <c r="H5" s="2" t="n">
        <f aca="false">SUM(H2:H4)</f>
        <v>7390</v>
      </c>
      <c r="I5" s="2" t="n">
        <f aca="false">SUM(I2:I4)</f>
        <v>8622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2" t="s">
        <v>81</v>
      </c>
    </row>
    <row r="2" customFormat="false" ht="26.85" hidden="false" customHeight="false" outlineLevel="0" collapsed="false">
      <c r="A2" s="22" t="s">
        <v>82</v>
      </c>
    </row>
    <row r="3" customFormat="false" ht="26.85" hidden="false" customHeight="false" outlineLevel="0" collapsed="false">
      <c r="A3" s="22" t="s">
        <v>83</v>
      </c>
    </row>
    <row r="4" customFormat="false" ht="26.85" hidden="false" customHeight="false" outlineLevel="0" collapsed="false">
      <c r="A4" s="22" t="s">
        <v>84</v>
      </c>
    </row>
    <row r="5" customFormat="false" ht="26.85" hidden="false" customHeight="false" outlineLevel="0" collapsed="false">
      <c r="A5" s="23" t="s">
        <v>85</v>
      </c>
    </row>
    <row r="6" customFormat="false" ht="15" hidden="false" customHeight="false" outlineLevel="0" collapsed="false">
      <c r="A6" s="24" t="s">
        <v>86</v>
      </c>
    </row>
    <row r="7" customFormat="false" ht="15" hidden="false" customHeight="false" outlineLevel="0" collapsed="false">
      <c r="A7" s="23" t="s">
        <v>87</v>
      </c>
    </row>
    <row r="8" customFormat="false" ht="26.85" hidden="false" customHeight="false" outlineLevel="0" collapsed="false">
      <c r="A8" s="23" t="s">
        <v>88</v>
      </c>
    </row>
    <row r="9" customFormat="false" ht="15" hidden="false" customHeight="false" outlineLevel="0" collapsed="false">
      <c r="A9" s="23" t="s">
        <v>89</v>
      </c>
    </row>
    <row r="10" customFormat="false" ht="15" hidden="false" customHeight="false" outlineLevel="0" collapsed="false">
      <c r="A10" s="23" t="s">
        <v>90</v>
      </c>
    </row>
    <row r="11" customFormat="false" ht="39.55" hidden="false" customHeight="false" outlineLevel="0" collapsed="false">
      <c r="A11" s="23" t="s">
        <v>91</v>
      </c>
    </row>
    <row r="12" customFormat="false" ht="15" hidden="false" customHeight="false" outlineLevel="0" collapsed="false">
      <c r="A12" s="23" t="s">
        <v>92</v>
      </c>
    </row>
    <row r="13" customFormat="false" ht="15" hidden="false" customHeight="false" outlineLevel="0" collapsed="false">
      <c r="A13" s="24" t="s">
        <v>93</v>
      </c>
    </row>
    <row r="14" customFormat="false" ht="26.85" hidden="false" customHeight="false" outlineLevel="0" collapsed="false">
      <c r="A14" s="22" t="s">
        <v>94</v>
      </c>
    </row>
    <row r="15" customFormat="false" ht="15" hidden="false" customHeight="false" outlineLevel="0" collapsed="false">
      <c r="A15" s="24" t="s">
        <v>95</v>
      </c>
    </row>
    <row r="16" customFormat="false" ht="15" hidden="false" customHeight="false" outlineLevel="0" collapsed="false">
      <c r="A16" s="22" t="s">
        <v>96</v>
      </c>
    </row>
    <row r="17" customFormat="false" ht="15" hidden="false" customHeight="false" outlineLevel="0" collapsed="false">
      <c r="A17" s="24" t="s">
        <v>97</v>
      </c>
    </row>
    <row r="18" customFormat="false" ht="15" hidden="false" customHeight="false" outlineLevel="0" collapsed="false">
      <c r="A18" s="23" t="s">
        <v>98</v>
      </c>
    </row>
    <row r="19" customFormat="false" ht="15" hidden="false" customHeight="false" outlineLevel="0" collapsed="false">
      <c r="A19" s="23" t="s">
        <v>99</v>
      </c>
    </row>
    <row r="20" customFormat="false" ht="15" hidden="false" customHeight="false" outlineLevel="0" collapsed="false">
      <c r="A20" s="24" t="s">
        <v>100</v>
      </c>
    </row>
    <row r="21" customFormat="false" ht="26.85" hidden="false" customHeight="false" outlineLevel="0" collapsed="false">
      <c r="A21" s="23" t="s">
        <v>101</v>
      </c>
    </row>
    <row r="22" customFormat="false" ht="15" hidden="false" customHeight="false" outlineLevel="0" collapsed="false">
      <c r="A22" s="24" t="s">
        <v>102</v>
      </c>
    </row>
    <row r="23" customFormat="false" ht="26.85" hidden="false" customHeight="false" outlineLevel="0" collapsed="false">
      <c r="A23" s="23" t="s">
        <v>103</v>
      </c>
    </row>
    <row r="24" customFormat="false" ht="15" hidden="false" customHeight="false" outlineLevel="0" collapsed="false">
      <c r="A24" s="24" t="s">
        <v>104</v>
      </c>
    </row>
    <row r="25" customFormat="false" ht="15" hidden="false" customHeight="false" outlineLevel="0" collapsed="false">
      <c r="A25" s="23" t="s">
        <v>105</v>
      </c>
    </row>
    <row r="26" customFormat="false" ht="15" hidden="false" customHeight="false" outlineLevel="0" collapsed="false">
      <c r="A26" s="24" t="s">
        <v>106</v>
      </c>
    </row>
    <row r="27" customFormat="false" ht="15" hidden="false" customHeight="false" outlineLevel="0" collapsed="false">
      <c r="A27" s="23" t="s">
        <v>107</v>
      </c>
    </row>
    <row r="28" customFormat="false" ht="26.85" hidden="false" customHeight="false" outlineLevel="0" collapsed="false">
      <c r="A28" s="23" t="s">
        <v>108</v>
      </c>
    </row>
    <row r="29" customFormat="false" ht="15" hidden="false" customHeight="false" outlineLevel="0" collapsed="false">
      <c r="A29" s="23" t="s">
        <v>109</v>
      </c>
    </row>
    <row r="30" customFormat="false" ht="26.85" hidden="false" customHeight="false" outlineLevel="0" collapsed="false">
      <c r="A30" s="23" t="s">
        <v>110</v>
      </c>
    </row>
    <row r="31" customFormat="false" ht="15" hidden="false" customHeight="false" outlineLevel="0" collapsed="false">
      <c r="A31" s="23" t="s">
        <v>111</v>
      </c>
    </row>
    <row r="32" customFormat="false" ht="26.85" hidden="false" customHeight="false" outlineLevel="0" collapsed="false">
      <c r="A32" s="2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2026-10-29T10:48:34Z</dcterms:created>
  <dc:creator>openpyxl</dc:creator>
  <dc:description/>
  <dc:language>en-US</dc:language>
  <cp:lastModifiedBy/>
  <dcterms:modified xsi:type="dcterms:W3CDTF">2026-10-29T10:48:34Z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