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S Summary" sheetId="1" state="visible" r:id="rId1"/>
    <sheet name="Dokumenty a poznámk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  <sz val="9"/>
    </font>
    <font>
      <sz val="9"/>
    </font>
    <font>
      <color rgb="00006100"/>
      <sz val="10"/>
    </font>
    <font>
      <color rgb="009C0006"/>
      <sz val="1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rgb="00FFC000"/>
        <bgColor rgb="00FFC000"/>
      </patternFill>
    </fill>
    <fill>
      <patternFill patternType="solid">
        <fgColor rgb="00FF0000"/>
        <bgColor rgb="00FF0000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2" fillId="6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14" customWidth="1" min="4" max="4"/>
    <col width="12" customWidth="1" min="5" max="5"/>
    <col width="14" customWidth="1" min="6" max="6"/>
    <col width="14" customWidth="1" min="7" max="7"/>
    <col width="16" customWidth="1" min="8" max="8"/>
    <col width="16" customWidth="1" min="9" max="9"/>
    <col width="13" customWidth="1" min="10" max="10"/>
    <col width="55" customWidth="1" min="11" max="11"/>
  </cols>
  <sheetData>
    <row r="1" ht="36" customHeight="1">
      <c r="A1" s="1" t="inlineStr">
        <is>
          <t>HS kód</t>
        </is>
      </c>
      <c r="B1" s="1" t="inlineStr">
        <is>
          <t>Popis zboží (CZ)</t>
        </is>
      </c>
      <c r="C1" s="1" t="inlineStr">
        <is>
          <t>Země původu (COO)</t>
        </is>
      </c>
      <c r="D1" s="1" t="inlineStr">
        <is>
          <t>Incoterm</t>
        </is>
      </c>
      <c r="E1" s="1" t="inlineStr">
        <is>
          <t>Celkové množství (ks)</t>
        </is>
      </c>
      <c r="F1" s="1" t="inlineStr">
        <is>
          <t>Čistá hmotnost (kg)</t>
        </is>
      </c>
      <c r="G1" s="1" t="inlineStr">
        <is>
          <t>Hrubá hmotnost (kg)</t>
        </is>
      </c>
      <c r="H1" s="1" t="inlineStr">
        <is>
          <t>Hodnota USD – po slevě</t>
        </is>
      </c>
      <c r="I1" s="1" t="inlineStr">
        <is>
          <t>Hodnota USD – před slevou</t>
        </is>
      </c>
      <c r="J1" s="1" t="inlineStr">
        <is>
          <t>Příznak</t>
        </is>
      </c>
      <c r="K1" s="1" t="inlineStr">
        <is>
          <t>TARIC / poznámka / CBAM / Antidumping</t>
        </is>
      </c>
    </row>
    <row r="2">
      <c r="A2" s="2" t="inlineStr">
        <is>
          <t>3926909989</t>
        </is>
      </c>
      <c r="B2" s="2" t="inlineStr">
        <is>
          <t>Ostatní výrobky z plastů (erotické pomůcky)</t>
        </is>
      </c>
      <c r="C2" s="2" t="inlineStr">
        <is>
          <t>CN</t>
        </is>
      </c>
      <c r="D2" s="2" t="inlineStr">
        <is>
          <t>FOB (nepotvrzeno)</t>
        </is>
      </c>
      <c r="E2" s="2" t="n">
        <v>2411</v>
      </c>
      <c r="F2" s="2" t="n">
        <v>792.3920000000001</v>
      </c>
      <c r="G2" s="2" t="n">
        <v>887.415</v>
      </c>
      <c r="H2" s="2" t="n">
        <v>29714.77</v>
      </c>
      <c r="I2" s="2" t="n">
        <v>33649.98</v>
      </c>
      <c r="J2" s="2" t="inlineStr"/>
      <c r="K2" s="2" t="inlineStr"/>
    </row>
    <row r="3">
      <c r="A3" s="3" t="inlineStr">
        <is>
          <t>9019102010</t>
        </is>
      </c>
      <c r="B3" s="3" t="inlineStr">
        <is>
          <t>Masážní přístroje (vibrátory)</t>
        </is>
      </c>
      <c r="C3" s="3" t="inlineStr">
        <is>
          <t>CN</t>
        </is>
      </c>
      <c r="D3" s="3" t="inlineStr">
        <is>
          <t>FOB (nepotvrzeno)</t>
        </is>
      </c>
      <c r="E3" s="3" t="n">
        <v>1174</v>
      </c>
      <c r="F3" s="3" t="n">
        <v>385.929</v>
      </c>
      <c r="G3" s="3" t="n">
        <v>432.209</v>
      </c>
      <c r="H3" s="3" t="n">
        <v>24561.75</v>
      </c>
      <c r="I3" s="3" t="n">
        <v>27814.53</v>
      </c>
      <c r="J3" s="3" t="inlineStr"/>
      <c r="K3" s="3" t="inlineStr"/>
    </row>
    <row r="4">
      <c r="A4" s="2" t="inlineStr">
        <is>
          <t>9019102035</t>
        </is>
      </c>
      <c r="B4" s="2" t="inlineStr">
        <is>
          <t>Masážní přístroje – sety s nábytkem</t>
        </is>
      </c>
      <c r="C4" s="2" t="inlineStr">
        <is>
          <t>CN</t>
        </is>
      </c>
      <c r="D4" s="2" t="inlineStr">
        <is>
          <t>FOB (nepotvrzeno)</t>
        </is>
      </c>
      <c r="E4" s="2" t="n">
        <v>16</v>
      </c>
      <c r="F4" s="2" t="n">
        <v>741.196</v>
      </c>
      <c r="G4" s="2" t="n">
        <v>830.08</v>
      </c>
      <c r="H4" s="2" t="n">
        <v>8568.309999999999</v>
      </c>
      <c r="I4" s="2" t="n">
        <v>9703.040000000001</v>
      </c>
      <c r="J4" s="2" t="inlineStr"/>
      <c r="K4" s="2" t="inlineStr"/>
    </row>
    <row r="5">
      <c r="A5" s="3" t="inlineStr">
        <is>
          <t>6307909891</t>
        </is>
      </c>
      <c r="B5" s="3" t="inlineStr">
        <is>
          <t>Textilní doplňky (postroje)</t>
        </is>
      </c>
      <c r="C5" s="3" t="inlineStr">
        <is>
          <t>CN</t>
        </is>
      </c>
      <c r="D5" s="3" t="inlineStr">
        <is>
          <t>FOB (nepotvrzeno)</t>
        </is>
      </c>
      <c r="E5" s="3" t="n">
        <v>283</v>
      </c>
      <c r="F5" s="3" t="n">
        <v>337.083</v>
      </c>
      <c r="G5" s="3" t="n">
        <v>377.506</v>
      </c>
      <c r="H5" s="3" t="n">
        <v>6376.8</v>
      </c>
      <c r="I5" s="3" t="n">
        <v>7221.3</v>
      </c>
      <c r="J5" s="3" t="inlineStr"/>
      <c r="K5" s="3" t="inlineStr"/>
    </row>
    <row r="6">
      <c r="A6" s="2" t="inlineStr">
        <is>
          <t>9401710011</t>
        </is>
      </c>
      <c r="B6" s="2" t="inlineStr">
        <is>
          <t>Čalouněný sedací nábytek (kovová kostra)</t>
        </is>
      </c>
      <c r="C6" s="2" t="inlineStr">
        <is>
          <t>CN</t>
        </is>
      </c>
      <c r="D6" s="2" t="inlineStr">
        <is>
          <t>FOB (nepotvrzeno)</t>
        </is>
      </c>
      <c r="E6" s="2" t="n">
        <v>14</v>
      </c>
      <c r="F6" s="2" t="n">
        <v>387.365</v>
      </c>
      <c r="G6" s="2" t="n">
        <v>433.818</v>
      </c>
      <c r="H6" s="2" t="n">
        <v>5196.78</v>
      </c>
      <c r="I6" s="2" t="n">
        <v>5885</v>
      </c>
      <c r="J6" s="2" t="inlineStr"/>
      <c r="K6" s="2" t="inlineStr"/>
    </row>
    <row r="7">
      <c r="A7" s="3" t="inlineStr">
        <is>
          <t>3926902100</t>
        </is>
      </c>
      <c r="B7" s="3" t="inlineStr">
        <is>
          <t>Plastové hygienické potřeby (klystýry)</t>
        </is>
      </c>
      <c r="C7" s="3" t="inlineStr">
        <is>
          <t>CN</t>
        </is>
      </c>
      <c r="D7" s="3" t="inlineStr">
        <is>
          <t>FOB (nepotvrzeno)</t>
        </is>
      </c>
      <c r="E7" s="3" t="n">
        <v>512</v>
      </c>
      <c r="F7" s="3" t="n">
        <v>97.72799999999999</v>
      </c>
      <c r="G7" s="3" t="n">
        <v>109.447</v>
      </c>
      <c r="H7" s="3" t="n">
        <v>5033.45</v>
      </c>
      <c r="I7" s="3" t="n">
        <v>5700.04</v>
      </c>
      <c r="J7" s="3" t="inlineStr"/>
      <c r="K7" s="3" t="inlineStr"/>
    </row>
    <row r="8">
      <c r="A8" s="4" t="inlineStr">
        <is>
          <t>7326908688</t>
        </is>
      </c>
      <c r="B8" s="4" t="inlineStr">
        <is>
          <t>Kovové výrobky z oceli (anální nástroje)</t>
        </is>
      </c>
      <c r="C8" s="4" t="inlineStr">
        <is>
          <t>CN</t>
        </is>
      </c>
      <c r="D8" s="4" t="inlineStr">
        <is>
          <t>FOB (nepotvrzeno)</t>
        </is>
      </c>
      <c r="E8" s="4" t="n">
        <v>180</v>
      </c>
      <c r="F8" s="4" t="n">
        <v>59.592</v>
      </c>
      <c r="G8" s="4" t="n">
        <v>66.738</v>
      </c>
      <c r="H8" s="4" t="n">
        <v>3735.22</v>
      </c>
      <c r="I8" s="4" t="n">
        <v>4229.88</v>
      </c>
      <c r="J8" s="4" t="inlineStr">
        <is>
          <t>CBAM</t>
        </is>
      </c>
      <c r="K8" s="4" t="inlineStr">
        <is>
          <t>CBAM zboží (železo/ocel). Zákazník uplatňuje výjimku de minimis (kód Y137) – dovoz v řádu desítek kg, pod limitem 50 t/rok.</t>
        </is>
      </c>
    </row>
    <row r="9">
      <c r="A9" s="3" t="inlineStr">
        <is>
          <t>6301900030</t>
        </is>
      </c>
      <c r="B9" s="3" t="inlineStr">
        <is>
          <t>Přikrývky (deky)</t>
        </is>
      </c>
      <c r="C9" s="3" t="inlineStr">
        <is>
          <t>CN</t>
        </is>
      </c>
      <c r="D9" s="3" t="inlineStr">
        <is>
          <t>FOB (nepotvrzeno)</t>
        </is>
      </c>
      <c r="E9" s="3" t="n">
        <v>96</v>
      </c>
      <c r="F9" s="3" t="n">
        <v>211.008</v>
      </c>
      <c r="G9" s="3" t="n">
        <v>236.312</v>
      </c>
      <c r="H9" s="3" t="n">
        <v>3448.58</v>
      </c>
      <c r="I9" s="3" t="n">
        <v>3905.28</v>
      </c>
      <c r="J9" s="3" t="inlineStr"/>
      <c r="K9" s="3" t="inlineStr"/>
    </row>
    <row r="10">
      <c r="A10" s="2" t="inlineStr">
        <is>
          <t>8414100000</t>
        </is>
      </c>
      <c r="B10" s="2" t="inlineStr">
        <is>
          <t>Vývěvy (penis pumpy)</t>
        </is>
      </c>
      <c r="C10" s="2" t="inlineStr">
        <is>
          <t>CN</t>
        </is>
      </c>
      <c r="D10" s="2" t="inlineStr">
        <is>
          <t>FOB (nepotvrzeno)</t>
        </is>
      </c>
      <c r="E10" s="2" t="n">
        <v>60</v>
      </c>
      <c r="F10" s="2" t="n">
        <v>41.976</v>
      </c>
      <c r="G10" s="2" t="n">
        <v>47.01</v>
      </c>
      <c r="H10" s="2" t="n">
        <v>2231.87</v>
      </c>
      <c r="I10" s="2" t="n">
        <v>2527.44</v>
      </c>
      <c r="J10" s="2" t="inlineStr"/>
      <c r="K10" s="2" t="inlineStr"/>
    </row>
    <row r="11">
      <c r="A11" s="3" t="inlineStr">
        <is>
          <t>7907006000</t>
        </is>
      </c>
      <c r="B11" s="3" t="inlineStr">
        <is>
          <t>Výrobky ze zinku (popruhy)</t>
        </is>
      </c>
      <c r="C11" s="3" t="inlineStr">
        <is>
          <t>CN</t>
        </is>
      </c>
      <c r="D11" s="3" t="inlineStr">
        <is>
          <t>FOB (nepotvrzeno)</t>
        </is>
      </c>
      <c r="E11" s="3" t="n">
        <v>240</v>
      </c>
      <c r="F11" s="3" t="n">
        <v>29.04</v>
      </c>
      <c r="G11" s="3" t="n">
        <v>32.522</v>
      </c>
      <c r="H11" s="3" t="n">
        <v>1990.05</v>
      </c>
      <c r="I11" s="3" t="n">
        <v>2253.6</v>
      </c>
      <c r="J11" s="3" t="inlineStr"/>
      <c r="K11" s="3" t="inlineStr"/>
    </row>
    <row r="12">
      <c r="A12" s="2" t="inlineStr">
        <is>
          <t>3304995000</t>
        </is>
      </c>
      <c r="B12" s="2" t="inlineStr">
        <is>
          <t>Kosmetické přípravky (lubrikant)</t>
        </is>
      </c>
      <c r="C12" s="2" t="inlineStr">
        <is>
          <t>US</t>
        </is>
      </c>
      <c r="D12" s="2" t="inlineStr">
        <is>
          <t>FOB (nepotvrzeno)</t>
        </is>
      </c>
      <c r="E12" s="2" t="n">
        <v>120</v>
      </c>
      <c r="F12" s="2" t="n">
        <v>90.536</v>
      </c>
      <c r="G12" s="2" t="n">
        <v>101.393</v>
      </c>
      <c r="H12" s="2" t="n">
        <v>1560.89</v>
      </c>
      <c r="I12" s="2" t="n">
        <v>1767.6</v>
      </c>
      <c r="J12" s="2" t="inlineStr"/>
      <c r="K12" s="2" t="inlineStr"/>
    </row>
    <row r="13">
      <c r="A13" s="3" t="inlineStr">
        <is>
          <t>9506996080</t>
        </is>
      </c>
      <c r="B13" s="3" t="inlineStr">
        <is>
          <t>Sportovní potřeby (sex stoličky)</t>
        </is>
      </c>
      <c r="C13" s="3" t="inlineStr">
        <is>
          <t>CN</t>
        </is>
      </c>
      <c r="D13" s="3" t="inlineStr">
        <is>
          <t>FOB (nepotvrzeno)</t>
        </is>
      </c>
      <c r="E13" s="3" t="n">
        <v>16</v>
      </c>
      <c r="F13" s="3" t="n">
        <v>67.542</v>
      </c>
      <c r="G13" s="3" t="n">
        <v>75.642</v>
      </c>
      <c r="H13" s="3" t="n">
        <v>1110.74</v>
      </c>
      <c r="I13" s="3" t="n">
        <v>1257.84</v>
      </c>
      <c r="J13" s="3" t="inlineStr"/>
      <c r="K13" s="3" t="inlineStr"/>
    </row>
    <row r="14">
      <c r="A14" s="2" t="inlineStr">
        <is>
          <t>7020006000</t>
        </is>
      </c>
      <c r="B14" s="2" t="inlineStr">
        <is>
          <t>Skleněné výrobky (dilda)</t>
        </is>
      </c>
      <c r="C14" s="2" t="inlineStr">
        <is>
          <t>CN</t>
        </is>
      </c>
      <c r="D14" s="2" t="inlineStr">
        <is>
          <t>FOB (nepotvrzeno)</t>
        </is>
      </c>
      <c r="E14" s="2" t="n">
        <v>92</v>
      </c>
      <c r="F14" s="2" t="n">
        <v>21.232</v>
      </c>
      <c r="G14" s="2" t="n">
        <v>23.778</v>
      </c>
      <c r="H14" s="2" t="n">
        <v>867.9</v>
      </c>
      <c r="I14" s="2" t="n">
        <v>982.84</v>
      </c>
      <c r="J14" s="2" t="inlineStr"/>
      <c r="K14" s="2" t="inlineStr"/>
    </row>
    <row r="15">
      <c r="A15" s="3" t="inlineStr">
        <is>
          <t>9403509080</t>
        </is>
      </c>
      <c r="B15" s="3" t="inlineStr">
        <is>
          <t>Dřevěný nábytek (bondage stůl)</t>
        </is>
      </c>
      <c r="C15" s="3" t="inlineStr">
        <is>
          <t>CN</t>
        </is>
      </c>
      <c r="D15" s="3" t="inlineStr">
        <is>
          <t>FOB (nepotvrzeno)</t>
        </is>
      </c>
      <c r="E15" s="3" t="n">
        <v>4</v>
      </c>
      <c r="F15" s="3" t="n">
        <v>53.977</v>
      </c>
      <c r="G15" s="3" t="n">
        <v>60.45</v>
      </c>
      <c r="H15" s="3" t="n">
        <v>752.9299999999999</v>
      </c>
      <c r="I15" s="3" t="n">
        <v>852.64</v>
      </c>
      <c r="J15" s="3" t="inlineStr"/>
      <c r="K15" s="3" t="inlineStr"/>
    </row>
    <row r="16">
      <c r="A16" s="2" t="inlineStr">
        <is>
          <t>9401616011</t>
        </is>
      </c>
      <c r="B16" s="2" t="inlineStr">
        <is>
          <t>Čalouněná sedadla s dřevěnou kostrou</t>
        </is>
      </c>
      <c r="C16" s="2" t="inlineStr">
        <is>
          <t>CN</t>
        </is>
      </c>
      <c r="D16" s="2" t="inlineStr">
        <is>
          <t>FOB (nepotvrzeno)</t>
        </is>
      </c>
      <c r="E16" s="2" t="n">
        <v>2</v>
      </c>
      <c r="F16" s="2" t="n">
        <v>56.3</v>
      </c>
      <c r="G16" s="2" t="n">
        <v>63.051</v>
      </c>
      <c r="H16" s="2" t="n">
        <v>707.52</v>
      </c>
      <c r="I16" s="2" t="n">
        <v>801.22</v>
      </c>
      <c r="J16" s="2" t="inlineStr"/>
      <c r="K16" s="2" t="inlineStr"/>
    </row>
    <row r="17">
      <c r="A17" s="3" t="inlineStr">
        <is>
          <t>6505009089</t>
        </is>
      </c>
      <c r="B17" s="3" t="inlineStr">
        <is>
          <t>Pokrývky hlavy (masky)</t>
        </is>
      </c>
      <c r="C17" s="3" t="inlineStr">
        <is>
          <t>CN</t>
        </is>
      </c>
      <c r="D17" s="3" t="inlineStr">
        <is>
          <t>FOB (nepotvrzeno)</t>
        </is>
      </c>
      <c r="E17" s="3" t="n">
        <v>72</v>
      </c>
      <c r="F17" s="3" t="n">
        <v>3.216</v>
      </c>
      <c r="G17" s="3" t="n">
        <v>3.602</v>
      </c>
      <c r="H17" s="3" t="n">
        <v>551.45</v>
      </c>
      <c r="I17" s="3" t="n">
        <v>624.48</v>
      </c>
      <c r="J17" s="3" t="inlineStr"/>
      <c r="K17" s="3" t="inlineStr"/>
    </row>
    <row r="18">
      <c r="A18" s="2" t="inlineStr">
        <is>
          <t>8205700060</t>
        </is>
      </c>
      <c r="B18" s="2" t="inlineStr">
        <is>
          <t>Ruční nástroje (klipy na bradavky)</t>
        </is>
      </c>
      <c r="C18" s="2" t="inlineStr">
        <is>
          <t>CN</t>
        </is>
      </c>
      <c r="D18" s="2" t="inlineStr">
        <is>
          <t>FOB (nepotvrzeno)</t>
        </is>
      </c>
      <c r="E18" s="2" t="n">
        <v>84</v>
      </c>
      <c r="F18" s="2" t="n">
        <v>5.4</v>
      </c>
      <c r="G18" s="2" t="n">
        <v>6.048</v>
      </c>
      <c r="H18" s="2" t="n">
        <v>533.33</v>
      </c>
      <c r="I18" s="2" t="n">
        <v>603.96</v>
      </c>
      <c r="J18" s="2" t="inlineStr"/>
      <c r="K18" s="2" t="inlineStr"/>
    </row>
    <row r="19">
      <c r="A19" s="5" t="inlineStr">
        <is>
          <t>3406000000</t>
        </is>
      </c>
      <c r="B19" s="5" t="inlineStr">
        <is>
          <t>Svíčky</t>
        </is>
      </c>
      <c r="C19" s="5" t="inlineStr">
        <is>
          <t>CN</t>
        </is>
      </c>
      <c r="D19" s="5" t="inlineStr">
        <is>
          <t>FOB (nepotvrzeno)</t>
        </is>
      </c>
      <c r="E19" s="5" t="n">
        <v>120</v>
      </c>
      <c r="F19" s="5" t="n">
        <v>15.54</v>
      </c>
      <c r="G19" s="5" t="n">
        <v>17.404</v>
      </c>
      <c r="H19" s="5" t="n">
        <v>505.04</v>
      </c>
      <c r="I19" s="5" t="n">
        <v>571.92</v>
      </c>
      <c r="J19" s="5" t="inlineStr">
        <is>
          <t>ANTIDUMPING</t>
        </is>
      </c>
      <c r="K19" s="5" t="inlineStr">
        <is>
          <t>Antidumpingové clo z CN! Základ A00: 11 990 CZK @ 60,3% = 7 230 CZK + základ 19 220 CZK @ 21% = 2 518 CZK. Ověřit výši při podání JSD.</t>
        </is>
      </c>
    </row>
    <row r="20">
      <c r="A20" s="2" t="inlineStr">
        <is>
          <t>6602000000</t>
        </is>
      </c>
      <c r="B20" s="2" t="inlineStr">
        <is>
          <t>Biče a švihadla</t>
        </is>
      </c>
      <c r="C20" s="2" t="inlineStr">
        <is>
          <t>CN</t>
        </is>
      </c>
      <c r="D20" s="2" t="inlineStr">
        <is>
          <t>FOB (nepotvrzeno)</t>
        </is>
      </c>
      <c r="E20" s="2" t="n">
        <v>24</v>
      </c>
      <c r="F20" s="2" t="n">
        <v>7.656</v>
      </c>
      <c r="G20" s="2" t="n">
        <v>8.574</v>
      </c>
      <c r="H20" s="2" t="n">
        <v>462.44</v>
      </c>
      <c r="I20" s="2" t="n">
        <v>523.6799999999999</v>
      </c>
      <c r="J20" s="2" t="inlineStr"/>
      <c r="K20" s="2" t="inlineStr"/>
    </row>
    <row r="21">
      <c r="A21" s="3" t="inlineStr">
        <is>
          <t>9020006000</t>
        </is>
      </c>
      <c r="B21" s="3" t="inlineStr">
        <is>
          <t>Dýchací přístroje (masky)</t>
        </is>
      </c>
      <c r="C21" s="3" t="inlineStr">
        <is>
          <t>CN</t>
        </is>
      </c>
      <c r="D21" s="3" t="inlineStr">
        <is>
          <t>FOB (nepotvrzeno)</t>
        </is>
      </c>
      <c r="E21" s="3" t="n">
        <v>18</v>
      </c>
      <c r="F21" s="3" t="n">
        <v>12.924</v>
      </c>
      <c r="G21" s="3" t="n">
        <v>14.474</v>
      </c>
      <c r="H21" s="3" t="n">
        <v>424.24</v>
      </c>
      <c r="I21" s="3" t="n">
        <v>480.42</v>
      </c>
      <c r="J21" s="3" t="inlineStr"/>
      <c r="K21" s="3" t="inlineStr"/>
    </row>
    <row r="22">
      <c r="A22" s="2" t="inlineStr">
        <is>
          <t>7325100080</t>
        </is>
      </c>
      <c r="B22" s="2" t="inlineStr">
        <is>
          <t>Odlitky z oceli (spekulum)</t>
        </is>
      </c>
      <c r="C22" s="2" t="inlineStr">
        <is>
          <t>PK</t>
        </is>
      </c>
      <c r="D22" s="2" t="inlineStr">
        <is>
          <t>FOB (nepotvrzeno)</t>
        </is>
      </c>
      <c r="E22" s="2" t="n">
        <v>15</v>
      </c>
      <c r="F22" s="2" t="n">
        <v>6.66</v>
      </c>
      <c r="G22" s="2" t="n">
        <v>7.459</v>
      </c>
      <c r="H22" s="2" t="n">
        <v>406.51</v>
      </c>
      <c r="I22" s="2" t="n">
        <v>460.35</v>
      </c>
      <c r="J22" s="2" t="inlineStr"/>
      <c r="K22" s="2" t="inlineStr"/>
    </row>
    <row r="23">
      <c r="A23" s="3" t="inlineStr">
        <is>
          <t>9404902090</t>
        </is>
      </c>
      <c r="B23" s="3" t="inlineStr">
        <is>
          <t>Lůžkoviny (polštáře)</t>
        </is>
      </c>
      <c r="C23" s="3" t="inlineStr">
        <is>
          <t>CN</t>
        </is>
      </c>
      <c r="D23" s="3" t="inlineStr">
        <is>
          <t>FOB (nepotvrzeno)</t>
        </is>
      </c>
      <c r="E23" s="3" t="n">
        <v>9</v>
      </c>
      <c r="F23" s="3" t="n">
        <v>8.1</v>
      </c>
      <c r="G23" s="3" t="n">
        <v>9.071</v>
      </c>
      <c r="H23" s="3" t="n">
        <v>382.35</v>
      </c>
      <c r="I23" s="3" t="n">
        <v>432.99</v>
      </c>
      <c r="J23" s="3" t="inlineStr"/>
      <c r="K23" s="3" t="inlineStr"/>
    </row>
    <row r="24">
      <c r="A24" s="4" t="inlineStr">
        <is>
          <t>7616995190</t>
        </is>
      </c>
      <c r="B24" s="4" t="inlineStr">
        <is>
          <t>Výrobky z hliníku (kolíky)</t>
        </is>
      </c>
      <c r="C24" s="4" t="inlineStr">
        <is>
          <t>CN</t>
        </is>
      </c>
      <c r="D24" s="4" t="inlineStr">
        <is>
          <t>FOB (nepotvrzeno)</t>
        </is>
      </c>
      <c r="E24" s="4" t="n">
        <v>56</v>
      </c>
      <c r="F24" s="4" t="n">
        <v>4.704</v>
      </c>
      <c r="G24" s="4" t="n">
        <v>5.268</v>
      </c>
      <c r="H24" s="4" t="n">
        <v>297.2</v>
      </c>
      <c r="I24" s="4" t="n">
        <v>336.56</v>
      </c>
      <c r="J24" s="4" t="inlineStr">
        <is>
          <t>CBAM</t>
        </is>
      </c>
      <c r="K24" s="4" t="inlineStr">
        <is>
          <t>CBAM zboží (hliník). Zákazník uplatňuje výjimku de minimis (kód Y137) – dovoz v řádu desítek kg, pod limitem 50 t/rok.</t>
        </is>
      </c>
    </row>
    <row r="25">
      <c r="A25" s="3" t="inlineStr">
        <is>
          <t>8543709860</t>
        </is>
      </c>
      <c r="B25" s="3" t="inlineStr">
        <is>
          <t>Elektrické přístroje (e-stim)</t>
        </is>
      </c>
      <c r="C25" s="3" t="inlineStr">
        <is>
          <t>CN</t>
        </is>
      </c>
      <c r="D25" s="3" t="inlineStr">
        <is>
          <t>FOB (nepotvrzeno)</t>
        </is>
      </c>
      <c r="E25" s="3" t="n">
        <v>12</v>
      </c>
      <c r="F25" s="3" t="n">
        <v>3</v>
      </c>
      <c r="G25" s="3" t="n">
        <v>3.36</v>
      </c>
      <c r="H25" s="3" t="n">
        <v>203.99</v>
      </c>
      <c r="I25" s="3" t="n">
        <v>231</v>
      </c>
      <c r="J25" s="3" t="inlineStr"/>
      <c r="K25" s="3" t="inlineStr"/>
    </row>
    <row r="26">
      <c r="A26" s="2" t="inlineStr">
        <is>
          <t>9503000090</t>
        </is>
      </c>
      <c r="B26" s="2" t="inlineStr">
        <is>
          <t>Hračky (plyšáci, pouta)</t>
        </is>
      </c>
      <c r="C26" s="2" t="inlineStr">
        <is>
          <t>CN</t>
        </is>
      </c>
      <c r="D26" s="2" t="inlineStr">
        <is>
          <t>FOB (nepotvrzeno)</t>
        </is>
      </c>
      <c r="E26" s="2" t="n">
        <v>30</v>
      </c>
      <c r="F26" s="2" t="n">
        <v>4.608</v>
      </c>
      <c r="G26" s="2" t="n">
        <v>5.161</v>
      </c>
      <c r="H26" s="2" t="n">
        <v>199.59</v>
      </c>
      <c r="I26" s="2" t="n">
        <v>226.02</v>
      </c>
      <c r="J26" s="2" t="inlineStr"/>
      <c r="K26" s="2" t="inlineStr"/>
    </row>
    <row r="27">
      <c r="A27" s="3" t="inlineStr">
        <is>
          <t>9401790050</t>
        </is>
      </c>
      <c r="B27" s="3" t="inlineStr">
        <is>
          <t>Ostatní sedadla</t>
        </is>
      </c>
      <c r="C27" s="3" t="inlineStr">
        <is>
          <t>CN</t>
        </is>
      </c>
      <c r="D27" s="3" t="inlineStr">
        <is>
          <t>FOB (nepotvrzeno)</t>
        </is>
      </c>
      <c r="E27" s="3" t="n">
        <v>1</v>
      </c>
      <c r="F27" s="3" t="n">
        <v>6.237</v>
      </c>
      <c r="G27" s="3" t="n">
        <v>6.985</v>
      </c>
      <c r="H27" s="3" t="n">
        <v>176.87</v>
      </c>
      <c r="I27" s="3" t="n">
        <v>200.29</v>
      </c>
      <c r="J27" s="3" t="inlineStr"/>
      <c r="K27" s="3" t="inlineStr"/>
    </row>
    <row r="28">
      <c r="A28" s="2" t="inlineStr">
        <is>
          <t>8505110090</t>
        </is>
      </c>
      <c r="B28" s="2" t="inlineStr">
        <is>
          <t>Magnety (magnetické kuličky)</t>
        </is>
      </c>
      <c r="C28" s="2" t="inlineStr">
        <is>
          <t>CN</t>
        </is>
      </c>
      <c r="D28" s="2" t="inlineStr">
        <is>
          <t>FOB (nepotvrzeno)</t>
        </is>
      </c>
      <c r="E28" s="2" t="n">
        <v>30</v>
      </c>
      <c r="F28" s="2" t="n">
        <v>0.84</v>
      </c>
      <c r="G28" s="2" t="n">
        <v>0.9409999999999999</v>
      </c>
      <c r="H28" s="2" t="n">
        <v>172.46</v>
      </c>
      <c r="I28" s="2" t="n">
        <v>195.3</v>
      </c>
      <c r="J28" s="2" t="inlineStr"/>
      <c r="K28" s="2" t="inlineStr"/>
    </row>
    <row r="29">
      <c r="A29" s="3" t="inlineStr">
        <is>
          <t>3401115000</t>
        </is>
      </c>
      <c r="B29" s="3" t="inlineStr">
        <is>
          <t>Mýdlo</t>
        </is>
      </c>
      <c r="C29" s="3" t="inlineStr">
        <is>
          <t>CN</t>
        </is>
      </c>
      <c r="D29" s="3" t="inlineStr">
        <is>
          <t>FOB (nepotvrzeno)</t>
        </is>
      </c>
      <c r="E29" s="3" t="n">
        <v>12</v>
      </c>
      <c r="F29" s="3" t="n">
        <v>3.864</v>
      </c>
      <c r="G29" s="3" t="n">
        <v>4.327</v>
      </c>
      <c r="H29" s="3" t="n">
        <v>56.37</v>
      </c>
      <c r="I29" s="3" t="n">
        <v>63.84</v>
      </c>
      <c r="J29" s="3" t="inlineStr"/>
      <c r="K29" s="3" t="inlineStr"/>
    </row>
    <row r="30">
      <c r="A30" s="6" t="inlineStr">
        <is>
          <t>CELKEM</t>
        </is>
      </c>
      <c r="B30" s="6" t="n"/>
      <c r="C30" s="6" t="n"/>
      <c r="D30" s="6" t="n"/>
      <c r="E30" s="6" t="n">
        <v>5703</v>
      </c>
      <c r="F30" s="6" t="n">
        <v>3455.646</v>
      </c>
      <c r="G30" s="6" t="n">
        <v>3870.045</v>
      </c>
      <c r="H30" s="6" t="n">
        <v>100229.39</v>
      </c>
      <c r="I30" s="6" t="n">
        <v>113503.04</v>
      </c>
      <c r="J30" s="6" t="n"/>
      <c r="K30" s="6" t="n"/>
    </row>
    <row r="32">
      <c r="A32" s="7" t="inlineStr">
        <is>
          <t>Legenda:</t>
        </is>
      </c>
    </row>
    <row r="33">
      <c r="A33" s="8" t="inlineStr">
        <is>
          <t>🟡 ORANŽOVÁ</t>
        </is>
      </c>
      <c r="B33" s="9" t="inlineStr">
        <is>
          <t>CBAM zboží – nutno uvést kód Y137 (de minimis výjimka) v JSD</t>
        </is>
      </c>
    </row>
    <row r="34">
      <c r="A34" s="8" t="inlineStr">
        <is>
          <t>🔴 ČERVENÁ</t>
        </is>
      </c>
      <c r="B34" s="9" t="inlineStr">
        <is>
          <t>Antidumpingové clo – nutno zkontrolovat a uvést v JSD</t>
        </is>
      </c>
    </row>
    <row r="35">
      <c r="A35" s="8" t="inlineStr">
        <is>
          <t>FOB (nepotvrzeno)</t>
        </is>
      </c>
      <c r="B35" s="9" t="inlineStr">
        <is>
          <t>Incoterm nebyl výslovně uveden v dokumentech – potvrdit s dodavatelem</t>
        </is>
      </c>
    </row>
    <row r="36">
      <c r="A36" s="8" t="inlineStr">
        <is>
          <t>Hrubá hmotnost</t>
        </is>
      </c>
      <c r="B36" s="9" t="inlineStr">
        <is>
          <t>Vypočtena proporcionálně: čistá hmotnost × 1.11992 (celková GW 3870.05 / celková NW 3455.65)</t>
        </is>
      </c>
    </row>
    <row r="37">
      <c r="A37" s="8" t="inlineStr">
        <is>
          <t>Sleva</t>
        </is>
      </c>
      <c r="B37" s="9" t="inlineStr">
        <is>
          <t>Obchodní sleva –$13 273,65 z faktury str. 7, faktor 0.883055</t>
        </is>
      </c>
    </row>
  </sheetData>
  <mergeCells count="5">
    <mergeCell ref="B35:K35"/>
    <mergeCell ref="B34:K34"/>
    <mergeCell ref="B33:K33"/>
    <mergeCell ref="B36:K36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>
        <f>== PŘIJATÉ DOKUMENTY (stav 22.6.2026) ===</f>
        <v/>
      </c>
    </row>
    <row r="2">
      <c r="A2" s="10" t="inlineStr">
        <is>
          <t>✓ Plná moc k přímému zastoupení – Czech Healthcare s.r.o. → Maurice Ward &amp; Co., podepsána 21.6.2026</t>
        </is>
      </c>
    </row>
    <row r="3">
      <c r="A3" s="10" t="inlineStr">
        <is>
          <t>✓ Plná moc k nepřímému zastoupení – Czech Healthcare s.r.o. → Maurice Ward &amp; Co., podepsána 21.6.2026</t>
        </is>
      </c>
    </row>
    <row r="4">
      <c r="A4" s="10" t="inlineStr">
        <is>
          <t>✓ Čestné prohlášení o obalech – Czech Healthcare deklaruje splnění §15a zák. o obalech (méně než 300 kg/rok, obrat pod 25 mil. Kč), nepodléhá registraci zpětného odběru. Podepsáno 21.6.2026.</t>
        </is>
      </c>
    </row>
    <row r="5">
      <c r="A5" t="inlineStr"/>
    </row>
    <row r="6">
      <c r="A6" s="7">
        <f>== CBAM ===</f>
        <v/>
      </c>
    </row>
    <row r="7">
      <c r="A7" t="inlineStr">
        <is>
          <t>Dotčené HS kódy: 7326908688 (železo/ocel, 59,592 kg NW) a 7616995190 (hliník, 4,704 kg NW).</t>
        </is>
      </c>
    </row>
    <row r="8">
      <c r="A8" t="inlineStr">
        <is>
          <t>Celková čistá hmotnost CBAM zboží v zásilce: cca 64,3 kg – VÝRAZNĚ pod limitem 50 t/rok.</t>
        </is>
      </c>
    </row>
    <row r="9">
      <c r="A9" t="inlineStr">
        <is>
          <t>Zákazník potvrdil: 'Uplatňujeme výjimku de minimis. Naše importy se pohybují v desítkách kg.'</t>
        </is>
      </c>
    </row>
    <row r="10">
      <c r="A10" t="inlineStr">
        <is>
          <t>→ Do JSD uvést kód Y137 (výjimka de minimis CBAM) u obou dotčených HS kódů.</t>
        </is>
      </c>
    </row>
    <row r="11">
      <c r="A11" t="inlineStr">
        <is>
          <t>Alternativy Y238 (žádost o schváleného deklaranta) a Y128 (přidělený status) NEPLATÍ – zákazník neuváděl.</t>
        </is>
      </c>
    </row>
    <row r="12">
      <c r="A12" t="inlineStr"/>
    </row>
    <row r="13">
      <c r="A13" s="7">
        <f>== ANTIDUMPING – 3406000000 (svíčky, CN) ===</f>
        <v/>
      </c>
    </row>
    <row r="14">
      <c r="A14" s="11" t="inlineStr">
        <is>
          <t>Platí antidumpingové clo na svíčky z ČLR.</t>
        </is>
      </c>
    </row>
    <row r="15">
      <c r="A15" t="inlineStr">
        <is>
          <t>Základ A00: 11 990 CZK @ sazba 60,3 % = 7 230 CZK</t>
        </is>
      </c>
    </row>
    <row r="16">
      <c r="A16" t="inlineStr">
        <is>
          <t>Základ: 19 220 CZK @ sazba 21 % = 2 518 CZK</t>
        </is>
      </c>
    </row>
    <row r="17">
      <c r="A17" t="inlineStr">
        <is>
          <t>Hodnota svíček v zásilce: $504,96 (po slevě). Ověřit základ cla při podání JSD.</t>
        </is>
      </c>
    </row>
    <row r="18">
      <c r="A18" t="inlineStr"/>
    </row>
    <row r="19">
      <c r="A19" s="7">
        <f>== INCOTERM ===</f>
        <v/>
      </c>
    </row>
    <row r="20">
      <c r="A20" t="inlineStr">
        <is>
          <t>Sloupec FOB existuje v packing listu jako záhlaví, ale hodnota není vyplněna.</t>
        </is>
      </c>
    </row>
    <row r="21">
      <c r="A21" t="inlineStr">
        <is>
          <t>Prodejce ani dopravce incoterm výslovně nepotvrdil. → Potvrdit s XR Brands / Maurice Ward před podáním.</t>
        </is>
      </c>
    </row>
    <row r="22">
      <c r="A22" t="inlineStr"/>
    </row>
    <row r="23">
      <c r="A23" s="7">
        <f>== HMOTNOSTI ===</f>
        <v/>
      </c>
    </row>
    <row r="24">
      <c r="A24" t="inlineStr">
        <is>
          <t>Čistá hmotnost celkem: 3455.65 kg (ověřeno z nového PL i BOL)</t>
        </is>
      </c>
    </row>
    <row r="25">
      <c r="A25" t="inlineStr">
        <is>
          <t>Hrubá hmotnost celkem: 3870.05 kg (BOL + nový PL, str. 31: packaging 15× 27,63 kg = 414,4 kg)</t>
        </is>
      </c>
    </row>
    <row r="26">
      <c r="A26" t="inlineStr">
        <is>
          <t>Hrubá hmotnost na úrovni HS kódu: proporcionální výpočet, faktor 1.11992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2026-06-25T12:01:50Z</dcterms:created>
  <dcterms:modified xsi:type="dcterms:W3CDTF">2026-06-25T12:01:50Z</dcterms:modified>
</cp:coreProperties>
</file>