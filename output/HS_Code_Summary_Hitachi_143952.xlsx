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color rgb="00C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vertical="top" wrapText="1"/>
    </xf>
    <xf numFmtId="4" fontId="4" fillId="0" borderId="1" pivotButton="0" quotePrefix="0" xfId="0"/>
    <xf numFmtId="0" fontId="5" fillId="3" borderId="1" pivotButton="0" quotePrefix="0" xfId="0"/>
    <xf numFmtId="164" fontId="5" fillId="3" borderId="1" pivotButton="0" quotePrefix="0" xfId="0"/>
    <xf numFmtId="4" fontId="5" fillId="3" borderId="1" pivotButton="0" quotePrefix="0" xfId="0"/>
    <xf numFmtId="0" fontId="5" fillId="0" borderId="1" pivotButton="0" quotePrefix="0" xfId="0"/>
    <xf numFmtId="164" fontId="5" fillId="0" borderId="1" pivotButton="0" quotePrefix="0" xfId="0"/>
    <xf numFmtId="4" fontId="5" fillId="0" borderId="1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55" customWidth="1" min="3" max="3"/>
    <col width="10" customWidth="1" min="4" max="4"/>
    <col width="10" customWidth="1" min="5" max="5"/>
    <col width="6" customWidth="1" min="6" max="6"/>
    <col width="12" customWidth="1" min="7" max="7"/>
    <col width="12" customWidth="1" min="8" max="8"/>
    <col width="14" customWidth="1" min="9" max="9"/>
    <col width="20" customWidth="1" min="10" max="10"/>
    <col width="40" customWidth="1" min="11" max="11"/>
  </cols>
  <sheetData>
    <row r="1">
      <c r="A1" s="1" t="inlineStr">
        <is>
          <t>HS Code Summary — Hitachi Energy Czech Republic s.r.o., zásilka 143952 (CSCH26001, export do NL / Eemshaven)</t>
        </is>
      </c>
    </row>
    <row r="2">
      <c r="A2" s="2" t="inlineStr">
        <is>
          <t>Odesílatel (oba balíčky): Hitachi Energy Czech Republic s.r.o., Průmyslová 137, 541 01 Trutnov | Příjemce: Wijnne Barends Logistics B.V., Eemshaven, NL | 2 balíčky = 2 VDD (P35, Q35) | Objednávka: 4501839901 | Reference: 143952-0-0-00-FRP</t>
        </is>
      </c>
    </row>
    <row r="4" ht="30" customHeight="1">
      <c r="A4" s="3" t="inlineStr">
        <is>
          <t>Balíček / VDD</t>
        </is>
      </c>
      <c r="B4" s="3" t="inlineStr">
        <is>
          <t>HS kód</t>
        </is>
      </c>
      <c r="C4" s="3" t="inlineStr">
        <is>
          <t>Popis (CZ)</t>
        </is>
      </c>
      <c r="D4" s="3" t="inlineStr">
        <is>
          <t>Země původu</t>
        </is>
      </c>
      <c r="E4" s="3" t="inlineStr">
        <is>
          <t>Množství</t>
        </is>
      </c>
      <c r="F4" s="3" t="inlineStr">
        <is>
          <t>MJ</t>
        </is>
      </c>
      <c r="G4" s="3" t="inlineStr">
        <is>
          <t>Čistá hmotnost (kg)</t>
        </is>
      </c>
      <c r="H4" s="3" t="inlineStr">
        <is>
          <t>Hrubá hmotnost (kg)</t>
        </is>
      </c>
      <c r="I4" s="3" t="inlineStr">
        <is>
          <t>Celní hodnota (EUR)</t>
        </is>
      </c>
      <c r="J4" s="3" t="inlineStr">
        <is>
          <t>CBAM</t>
        </is>
      </c>
      <c r="K4" s="3" t="inlineStr">
        <is>
          <t>Antidumping</t>
        </is>
      </c>
    </row>
    <row r="5">
      <c r="A5" s="4" t="inlineStr">
        <is>
          <t>P35</t>
        </is>
      </c>
      <c r="B5" s="4" t="inlineStr">
        <is>
          <t>73269098</t>
        </is>
      </c>
      <c r="C5" s="5" t="inlineStr">
        <is>
          <t>Ostatní výrobky ze železa nebo oceli, které nejsou nikde jinde specifikovány</t>
        </is>
      </c>
      <c r="D5" s="4" t="inlineStr">
        <is>
          <t>CZ</t>
        </is>
      </c>
      <c r="E5" s="4" t="n">
        <v>1</v>
      </c>
      <c r="F5" s="4" t="inlineStr">
        <is>
          <t>PC</t>
        </is>
      </c>
      <c r="G5" s="4" t="n"/>
      <c r="H5" s="4" t="n"/>
      <c r="I5" s="6" t="n">
        <v>10.89</v>
      </c>
      <c r="J5" s="4" t="inlineStr">
        <is>
          <t>Ano (příloha I CBAM)</t>
        </is>
      </c>
      <c r="K5" s="5" t="inlineStr"/>
    </row>
    <row r="6">
      <c r="A6" s="4" t="inlineStr">
        <is>
          <t>P35</t>
        </is>
      </c>
      <c r="B6" s="4" t="inlineStr">
        <is>
          <t>73181650</t>
        </is>
      </c>
      <c r="C6" s="5" t="inlineStr">
        <is>
          <t>Samosvorné matice</t>
        </is>
      </c>
      <c r="D6" s="4" t="inlineStr">
        <is>
          <t>CN</t>
        </is>
      </c>
      <c r="E6" s="4" t="n">
        <v>17</v>
      </c>
      <c r="F6" s="4" t="inlineStr">
        <is>
          <t>PC</t>
        </is>
      </c>
      <c r="G6" s="4" t="n"/>
      <c r="H6" s="4" t="n"/>
      <c r="I6" s="6" t="n">
        <v>0.52</v>
      </c>
      <c r="J6" s="4" t="inlineStr">
        <is>
          <t>Ano (příloha I CBAM)</t>
        </is>
      </c>
      <c r="K6" s="5" t="inlineStr">
        <is>
          <t>Spojovací materiál ze železa/oceli původem CN — dovoz do EU podléhá antidumpingu (nař. 2022/191)</t>
        </is>
      </c>
    </row>
    <row r="7">
      <c r="A7" s="4" t="inlineStr">
        <is>
          <t>P35</t>
        </is>
      </c>
      <c r="B7" s="4" t="inlineStr">
        <is>
          <t>74153300</t>
        </is>
      </c>
      <c r="C7" s="5" t="inlineStr">
        <is>
          <t>Šrouby, vruty, svorníky (maticové šrouby) a matice z mědi, případně ze železa nebo oceli s měděnou hlavou</t>
        </is>
      </c>
      <c r="D7" s="4" t="inlineStr">
        <is>
          <t>CN</t>
        </is>
      </c>
      <c r="E7" s="4" t="n">
        <v>16</v>
      </c>
      <c r="F7" s="4" t="inlineStr">
        <is>
          <t>PC</t>
        </is>
      </c>
      <c r="G7" s="4" t="n"/>
      <c r="H7" s="4" t="n"/>
      <c r="I7" s="6" t="n">
        <v>0.35</v>
      </c>
      <c r="J7" s="4" t="inlineStr">
        <is>
          <t>Ne</t>
        </is>
      </c>
      <c r="K7" s="5" t="inlineStr"/>
    </row>
    <row r="8">
      <c r="A8" s="4" t="inlineStr">
        <is>
          <t>P35</t>
        </is>
      </c>
      <c r="B8" s="4" t="inlineStr">
        <is>
          <t>39269097</t>
        </is>
      </c>
      <c r="C8" s="5" t="inlineStr">
        <is>
          <t>Ostatní výrobky z plastů, které nejsou jinde specifikovány</t>
        </is>
      </c>
      <c r="D8" s="4" t="inlineStr">
        <is>
          <t>CZ</t>
        </is>
      </c>
      <c r="E8" s="4" t="n">
        <v>1</v>
      </c>
      <c r="F8" s="4" t="inlineStr">
        <is>
          <t>PC</t>
        </is>
      </c>
      <c r="G8" s="4" t="n"/>
      <c r="H8" s="4" t="n"/>
      <c r="I8" s="6" t="n">
        <v>1002.9</v>
      </c>
      <c r="J8" s="4" t="inlineStr">
        <is>
          <t>Ne</t>
        </is>
      </c>
      <c r="K8" s="5" t="inlineStr"/>
    </row>
    <row r="9">
      <c r="A9" s="4" t="inlineStr">
        <is>
          <t>P35</t>
        </is>
      </c>
      <c r="B9" s="4" t="inlineStr">
        <is>
          <t>85381000</t>
        </is>
      </c>
      <c r="C9" s="5" t="inlineStr">
        <is>
          <t>Tabule, panely, ovládací stoly, pulty, skříně a jiné základny pro elektrické řízení nebo rozvod elektřiny, které nejsou vybaveny příslušnými přístroji</t>
        </is>
      </c>
      <c r="D9" s="4" t="inlineStr">
        <is>
          <t>CZ</t>
        </is>
      </c>
      <c r="E9" s="4" t="n">
        <v>1</v>
      </c>
      <c r="F9" s="4" t="inlineStr">
        <is>
          <t>PC</t>
        </is>
      </c>
      <c r="G9" s="4" t="n"/>
      <c r="H9" s="4" t="n"/>
      <c r="I9" s="6" t="n">
        <v>32.87</v>
      </c>
      <c r="J9" s="4" t="inlineStr">
        <is>
          <t>Ne</t>
        </is>
      </c>
      <c r="K9" s="5" t="inlineStr"/>
    </row>
    <row r="10">
      <c r="A10" s="4" t="inlineStr">
        <is>
          <t>P35</t>
        </is>
      </c>
      <c r="B10" s="4" t="inlineStr">
        <is>
          <t>40169300</t>
        </is>
      </c>
      <c r="C10" s="5" t="inlineStr">
        <is>
          <t>Plochá těsnění, podložky a jiná těsnění</t>
        </is>
      </c>
      <c r="D10" s="4" t="inlineStr">
        <is>
          <t>AT</t>
        </is>
      </c>
      <c r="E10" s="4" t="n">
        <v>1</v>
      </c>
      <c r="F10" s="4" t="inlineStr">
        <is>
          <t>M</t>
        </is>
      </c>
      <c r="G10" s="4" t="n"/>
      <c r="H10" s="4" t="n"/>
      <c r="I10" s="6" t="n">
        <v>1.9</v>
      </c>
      <c r="J10" s="4" t="inlineStr">
        <is>
          <t>Ne</t>
        </is>
      </c>
      <c r="K10" s="5" t="inlineStr"/>
    </row>
    <row r="11">
      <c r="A11" s="7" t="inlineStr">
        <is>
          <t>P35 celkem (faktura 810678973)</t>
        </is>
      </c>
      <c r="B11" s="7" t="n"/>
      <c r="C11" s="7" t="n"/>
      <c r="D11" s="7" t="n"/>
      <c r="E11" s="7">
        <f>SUM(E5:E10)</f>
        <v>37</v>
      </c>
      <c r="F11" s="7" t="n"/>
      <c r="G11" s="8" t="n">
        <v>2.5</v>
      </c>
      <c r="H11" s="8" t="n">
        <v>3</v>
      </c>
      <c r="I11" s="9">
        <f>SUM(I5:I10)</f>
        <v>1049.43</v>
      </c>
      <c r="J11" s="7" t="n"/>
      <c r="K11" s="7" t="n"/>
    </row>
    <row r="12">
      <c r="A12" s="4" t="inlineStr">
        <is>
          <t>Q35</t>
        </is>
      </c>
      <c r="B12" s="4" t="inlineStr">
        <is>
          <t>85381000</t>
        </is>
      </c>
      <c r="C12" s="5" t="inlineStr">
        <is>
          <t>Tabule, panely, ovládací stoly, pulty, skříně a jiné základny pro elektrické řízení nebo rozvod elektřiny, které nejsou vybaveny příslušnými přístroji</t>
        </is>
      </c>
      <c r="D12" s="4" t="inlineStr">
        <is>
          <t>CZ</t>
        </is>
      </c>
      <c r="E12" s="4" t="n">
        <v>4</v>
      </c>
      <c r="F12" s="4" t="inlineStr">
        <is>
          <t>PC</t>
        </is>
      </c>
      <c r="G12" s="4" t="n"/>
      <c r="H12" s="4" t="n"/>
      <c r="I12" s="6" t="n">
        <v>53.66</v>
      </c>
      <c r="J12" s="4" t="inlineStr">
        <is>
          <t>Ne</t>
        </is>
      </c>
      <c r="K12" s="5" t="inlineStr"/>
    </row>
    <row r="13">
      <c r="A13" s="4" t="inlineStr">
        <is>
          <t>Q35</t>
        </is>
      </c>
      <c r="B13" s="4" t="inlineStr">
        <is>
          <t>74153300</t>
        </is>
      </c>
      <c r="C13" s="5" t="inlineStr">
        <is>
          <t>Šrouby, vruty, svorníky (maticové šrouby) a matice z mědi, případně ze železa nebo oceli s měděnou hlavou</t>
        </is>
      </c>
      <c r="D13" s="4" t="inlineStr">
        <is>
          <t>CN</t>
        </is>
      </c>
      <c r="E13" s="4" t="n">
        <v>21</v>
      </c>
      <c r="F13" s="4" t="inlineStr">
        <is>
          <t>PC</t>
        </is>
      </c>
      <c r="G13" s="4" t="n"/>
      <c r="H13" s="4" t="n"/>
      <c r="I13" s="6" t="n">
        <v>0.64</v>
      </c>
      <c r="J13" s="4" t="inlineStr">
        <is>
          <t>Ne</t>
        </is>
      </c>
      <c r="K13" s="5" t="inlineStr"/>
    </row>
    <row r="14">
      <c r="A14" s="4" t="inlineStr">
        <is>
          <t>Q35</t>
        </is>
      </c>
      <c r="B14" s="4" t="inlineStr">
        <is>
          <t>40169300</t>
        </is>
      </c>
      <c r="C14" s="5" t="inlineStr">
        <is>
          <t>Plochá těsnění, podložky a jiná těsnění</t>
        </is>
      </c>
      <c r="D14" s="4" t="inlineStr">
        <is>
          <t>AT</t>
        </is>
      </c>
      <c r="E14" s="4" t="n">
        <v>1</v>
      </c>
      <c r="F14" s="4" t="inlineStr">
        <is>
          <t>M</t>
        </is>
      </c>
      <c r="G14" s="4" t="n"/>
      <c r="H14" s="4" t="n"/>
      <c r="I14" s="6" t="n">
        <v>1.9</v>
      </c>
      <c r="J14" s="4" t="inlineStr">
        <is>
          <t>Ne</t>
        </is>
      </c>
      <c r="K14" s="5" t="inlineStr"/>
    </row>
    <row r="15">
      <c r="A15" s="4" t="inlineStr">
        <is>
          <t>Q35</t>
        </is>
      </c>
      <c r="B15" s="4" t="inlineStr">
        <is>
          <t>73181650</t>
        </is>
      </c>
      <c r="C15" s="5" t="inlineStr">
        <is>
          <t>Samosvorné matice</t>
        </is>
      </c>
      <c r="D15" s="4" t="inlineStr">
        <is>
          <t>CN</t>
        </is>
      </c>
      <c r="E15" s="4" t="n">
        <v>8</v>
      </c>
      <c r="F15" s="4" t="inlineStr">
        <is>
          <t>PC</t>
        </is>
      </c>
      <c r="G15" s="4" t="n"/>
      <c r="H15" s="4" t="n"/>
      <c r="I15" s="6" t="n">
        <v>0.08</v>
      </c>
      <c r="J15" s="4" t="inlineStr">
        <is>
          <t>Ano (příloha I CBAM)</t>
        </is>
      </c>
      <c r="K15" s="5" t="inlineStr">
        <is>
          <t>Spojovací materiál ze železa/oceli původem CN — dovoz do EU podléhá antidumpingu (nař. 2022/191)</t>
        </is>
      </c>
    </row>
    <row r="16">
      <c r="A16" s="7" t="inlineStr">
        <is>
          <t>Q35 celkem (faktura 810678974)</t>
        </is>
      </c>
      <c r="B16" s="7" t="n"/>
      <c r="C16" s="7" t="n"/>
      <c r="D16" s="7" t="n"/>
      <c r="E16" s="7">
        <f>SUM(E12:E15)</f>
        <v>34</v>
      </c>
      <c r="F16" s="7" t="n"/>
      <c r="G16" s="8" t="n">
        <v>1.5</v>
      </c>
      <c r="H16" s="8" t="n">
        <v>2</v>
      </c>
      <c r="I16" s="9">
        <f>SUM(I12:I15)</f>
        <v>56.28</v>
      </c>
      <c r="J16" s="7" t="n"/>
      <c r="K16" s="7" t="n"/>
    </row>
    <row r="17">
      <c r="A17" s="10" t="inlineStr">
        <is>
          <t>Zásilka celkem</t>
        </is>
      </c>
      <c r="B17" s="10" t="n"/>
      <c r="C17" s="10" t="n"/>
      <c r="D17" s="10" t="n"/>
      <c r="E17" s="10" t="n"/>
      <c r="F17" s="10" t="n"/>
      <c r="G17" s="11">
        <f>G11+G16</f>
        <v>4</v>
      </c>
      <c r="H17" s="11">
        <f>H11+H16</f>
        <v>5</v>
      </c>
      <c r="I17" s="12">
        <f>I11+I16</f>
        <v>1105.71</v>
      </c>
      <c r="J17" s="10" t="n"/>
      <c r="K17" s="10" t="n"/>
    </row>
    <row r="19" ht="15" customHeight="1">
      <c r="A19" s="13" t="inlineStr">
        <is>
          <t>POZNÁMKY:</t>
        </is>
      </c>
    </row>
    <row r="20" ht="30" customHeight="1">
      <c r="A20" s="14" t="inlineStr">
        <is>
          <t>⚠ PREFERENČNÍ VĚTA: V dokladech (faktury 810678973/810678974, dodací listy) NENÍ uvedena žádná preferenční věta o původu. Zboží nemá deklarován preferenční původ.</t>
        </is>
      </c>
    </row>
    <row r="21" ht="30" customHeight="1">
      <c r="A21" s="14" t="inlineStr">
        <is>
          <t>⚠ HMOTNOSTI: Faktury uvádějí u všech položek 'Net Weight 0' — čistá/hrubá hmotnost na úrovni jednotlivých HS kódů NENÍ v podkladech k dispozici. Uvedeny jsou pouze hmotnosti za balíček (P35: NW 2,5 kg / GW 3 kg; Q35: NW 1,5 kg / GW 2 kg — zdroj: e-mail Hitachi + dodací listy). Sloupce ponechány dle pravidel.</t>
        </is>
      </c>
    </row>
    <row r="22" ht="30" customHeight="1">
      <c r="A22" s="15" t="inlineStr">
        <is>
          <t>• Hodnoty řádků odpovídají fakturám: P35 = 1 049,43 EUR (faktura 810678973), Q35 = 56,28 EUR (faktura 810678974). Kontrolní součty sedí na fakturované částky.</t>
        </is>
      </c>
    </row>
    <row r="23" ht="30" customHeight="1">
      <c r="A23" s="15" t="inlineStr">
        <is>
          <t>• CBAM: kódy 7318/7326 (železo/ocel) jsou v příloze I nařízení CBAM — relevantní při dovozu do EU; tato zásilka je vývoz z EU, CBAM se na ni tedy přímo nevztahuje.</t>
        </is>
      </c>
    </row>
    <row r="24" ht="30" customHeight="1">
      <c r="A24" s="15" t="inlineStr">
        <is>
          <t>• Antidumping: samosvorné matice (73181650) původem z Číny podléhají při dovozu do EU antidumpingovému clu na spojovací materiál (nař. 2022/191) — pro tento vývoz bez přímého dopadu, uvedeno pro úplnost.</t>
        </is>
      </c>
    </row>
    <row r="25" ht="15" customHeight="1">
      <c r="A25" s="15" t="inlineStr">
        <is>
          <t>• Popisy (CZ) dodány zákazníkem e-mailem (Iva Kolertová, Hitachi Energy, 20.07.2026).</t>
        </is>
      </c>
    </row>
    <row r="26" ht="15" customHeight="1">
      <c r="A26" s="15" t="inlineStr">
        <is>
          <t>• Bez obchodní slevy — žádná sleva na fakturách uvedena není.</t>
        </is>
      </c>
    </row>
    <row r="27" ht="15" customHeight="1">
      <c r="A27" s="15" t="inlineStr">
        <is>
          <t>• Incoterm CPT Eemshaven (dle pravidel neuveden jako sloupec). Projekt: offshore Nordsee 2 / Godewind.</t>
        </is>
      </c>
    </row>
  </sheetData>
  <mergeCells count="9">
    <mergeCell ref="A22:K22"/>
    <mergeCell ref="A20:K20"/>
    <mergeCell ref="A21:K21"/>
    <mergeCell ref="A26:K26"/>
    <mergeCell ref="A25:K25"/>
    <mergeCell ref="A24:K24"/>
    <mergeCell ref="A19:K19"/>
    <mergeCell ref="A23:K23"/>
    <mergeCell ref="A27:K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2026-07-20T08:50:04Z</dcterms:created>
  <dcterms:modified xsi:type="dcterms:W3CDTF">2026-07-20T08:50:04Z</dcterms:modified>
</cp:coreProperties>
</file>