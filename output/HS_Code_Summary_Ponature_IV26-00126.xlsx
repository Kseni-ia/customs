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Dokumenty a poznámk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699"/>
      </patternFill>
    </fill>
    <fill>
      <patternFill patternType="solid">
        <fgColor rgb="00E2EFDA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49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3" fontId="3" fillId="3" borderId="1" applyAlignment="1" pivotButton="0" quotePrefix="0" xfId="0">
      <alignment vertical="top"/>
    </xf>
    <xf numFmtId="164" fontId="3" fillId="3" borderId="1" applyAlignment="1" pivotButton="0" quotePrefix="0" xfId="0">
      <alignment vertical="top"/>
    </xf>
    <xf numFmtId="4" fontId="3" fillId="3" borderId="1" applyAlignment="1" pivotButton="0" quotePrefix="0" xfId="0">
      <alignment vertical="top"/>
    </xf>
    <xf numFmtId="0" fontId="3" fillId="4" borderId="1" applyAlignment="1" pivotButton="0" quotePrefix="0" xfId="0">
      <alignment vertical="top" wrapText="1"/>
    </xf>
    <xf numFmtId="49" fontId="3" fillId="4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3" fontId="3" fillId="4" borderId="1" applyAlignment="1" pivotButton="0" quotePrefix="0" xfId="0">
      <alignment vertical="top"/>
    </xf>
    <xf numFmtId="164" fontId="3" fillId="4" borderId="1" applyAlignment="1" pivotButton="0" quotePrefix="0" xfId="0">
      <alignment vertical="top"/>
    </xf>
    <xf numFmtId="4" fontId="3" fillId="4" borderId="1" applyAlignment="1" pivotButton="0" quotePrefix="0" xfId="0">
      <alignment vertical="top"/>
    </xf>
    <xf numFmtId="0" fontId="2" fillId="0" borderId="0" pivotButton="0" quotePrefix="0" xfId="0"/>
    <xf numFmtId="0" fontId="3" fillId="3" borderId="0" pivotButton="0" quotePrefix="0" xfId="0"/>
    <xf numFmtId="0" fontId="3" fillId="0" borderId="0" applyAlignment="1" pivotButton="0" quotePrefix="0" xfId="0">
      <alignment vertical="top" wrapText="1"/>
    </xf>
    <xf numFmtId="0" fontId="3" fillId="5" borderId="0" pivotButton="0" quotePrefix="0" xfId="0"/>
    <xf numFmtId="0" fontId="3" fillId="0" borderId="0" pivotButton="0" quotePrefix="0" xfId="0"/>
    <xf numFmtId="4" fontId="3" fillId="0" borderId="0" pivotButton="0" quotePrefix="0" xfId="0"/>
    <xf numFmtId="164" fontId="3" fillId="0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44" customWidth="1" min="3" max="3"/>
    <col width="16" customWidth="1" min="4" max="4"/>
    <col width="12" customWidth="1" min="5" max="5"/>
    <col width="16" customWidth="1" min="6" max="6"/>
    <col width="16" customWidth="1" min="7" max="7"/>
    <col width="12" customWidth="1" min="8" max="8"/>
    <col width="18" customWidth="1" min="9" max="9"/>
    <col width="14" customWidth="1" min="10" max="10"/>
    <col width="26" customWidth="1" min="11" max="11"/>
    <col width="12" customWidth="1" min="12" max="12"/>
    <col width="62" customWidth="1" min="13" max="13"/>
  </cols>
  <sheetData>
    <row r="1" ht="42" customHeight="1">
      <c r="A1" s="1" t="inlineStr">
        <is>
          <t>Odesílatel (sender)</t>
        </is>
      </c>
      <c r="B1" s="1" t="inlineStr">
        <is>
          <t>HS kód (CZ/TARIC 10)</t>
        </is>
      </c>
      <c r="C1" s="1" t="inlineStr">
        <is>
          <t>Popis zboží (CZ)</t>
        </is>
      </c>
      <c r="D1" s="1" t="inlineStr">
        <is>
          <t>Země původu (COO)</t>
        </is>
      </c>
      <c r="E1" s="1" t="inlineStr">
        <is>
          <t>Množství (ks)</t>
        </is>
      </c>
      <c r="F1" s="1" t="inlineStr">
        <is>
          <t>Čistá hmotnost (kg)</t>
        </is>
      </c>
      <c r="G1" s="1" t="inlineStr">
        <is>
          <t>Hrubá hmotnost (kg)</t>
        </is>
      </c>
      <c r="H1" s="1" t="inlineStr">
        <is>
          <t>Počet kartonů</t>
        </is>
      </c>
      <c r="I1" s="1" t="inlineStr">
        <is>
          <t>Celní hodnota USD (FOB)</t>
        </is>
      </c>
      <c r="J1" s="1" t="inlineStr">
        <is>
          <t>Incoterm 2020</t>
        </is>
      </c>
      <c r="K1" s="1" t="inlineStr">
        <is>
          <t>HS kód dle faktury / nákl. listu</t>
        </is>
      </c>
      <c r="L1" s="1" t="inlineStr">
        <is>
          <t>Příznak</t>
        </is>
      </c>
      <c r="M1" s="1" t="inlineStr">
        <is>
          <t>Poznámka (CBAM / antidumping / COO)</t>
        </is>
      </c>
    </row>
    <row r="2">
      <c r="A2" s="2" t="inlineStr">
        <is>
          <t>INSPORT GARMENTS MANUFACTORY CO. LTD., Hong Kong</t>
        </is>
      </c>
      <c r="B2" s="3" t="inlineStr">
        <is>
          <t>6201401090</t>
        </is>
      </c>
      <c r="C2" s="2" t="inlineStr">
        <is>
          <t>Pánská lyžařská bunda Kilpi TEEN-M (100% polyester, tkanina)</t>
        </is>
      </c>
      <c r="D2" s="4" t="inlineStr">
        <is>
          <t>CN (nedoloženo)</t>
        </is>
      </c>
      <c r="E2" s="5" t="n">
        <v>864</v>
      </c>
      <c r="F2" s="6" t="n">
        <v>1111.82</v>
      </c>
      <c r="G2" s="6" t="n">
        <v>1283.42</v>
      </c>
      <c r="H2" s="5" t="n">
        <v>132</v>
      </c>
      <c r="I2" s="7" t="n">
        <v>38880</v>
      </c>
      <c r="J2" s="4" t="inlineStr">
        <is>
          <t>FOB XIAMEN</t>
        </is>
      </c>
      <c r="K2" s="2" t="inlineStr">
        <is>
          <t>6210 40 / 6210400000</t>
        </is>
      </c>
      <c r="L2" s="4" t="inlineStr">
        <is>
          <t>K OVĚŘENÍ</t>
        </is>
      </c>
      <c r="M2" s="2" t="inlineStr">
        <is>
          <t>Rozpor v sazebním zařazení: faktura i nákladní list uvádějí 6210 40 (oděvy z povrstvených tkanin), klasifikační podklad klienta 6201401090. Ověřit před podáním JSD.</t>
        </is>
      </c>
    </row>
    <row r="3">
      <c r="A3" s="2" t="inlineStr">
        <is>
          <t>INSPORT GARMENTS MANUFACTORY CO. LTD., Hong Kong</t>
        </is>
      </c>
      <c r="B3" s="3" t="inlineStr">
        <is>
          <t>6202401091</t>
        </is>
      </c>
      <c r="C3" s="2" t="inlineStr">
        <is>
          <t>Dámský zateplený kabát Kilpi LEILA-W (100% polyamid, tkanina)</t>
        </is>
      </c>
      <c r="D3" s="4" t="inlineStr">
        <is>
          <t>CN (nedoloženo)</t>
        </is>
      </c>
      <c r="E3" s="5" t="n">
        <v>510</v>
      </c>
      <c r="F3" s="6" t="n">
        <v>292.6</v>
      </c>
      <c r="G3" s="6" t="n">
        <v>352.6</v>
      </c>
      <c r="H3" s="5" t="n">
        <v>60</v>
      </c>
      <c r="I3" s="7" t="n">
        <v>9414.6</v>
      </c>
      <c r="J3" s="4" t="inlineStr">
        <is>
          <t>FOB XIAMEN</t>
        </is>
      </c>
      <c r="K3" s="2" t="inlineStr">
        <is>
          <t>6210 50 / 6210500000</t>
        </is>
      </c>
      <c r="L3" s="4" t="inlineStr">
        <is>
          <t>K OVĚŘENÍ</t>
        </is>
      </c>
      <c r="M3" s="2" t="inlineStr">
        <is>
          <t>Rozpor v sazebním zařazení: faktura i nákladní list uvádějí 6210 50, klasifikační podklad klienta 6202401091. Ověřit před podáním JSD.</t>
        </is>
      </c>
    </row>
    <row r="4">
      <c r="A4" s="2" t="inlineStr">
        <is>
          <t>INSPORT GARMENTS MANUFACTORY CO. LTD., Hong Kong</t>
        </is>
      </c>
      <c r="B4" s="3" t="inlineStr">
        <is>
          <t>6203431900</t>
        </is>
      </c>
      <c r="C4" s="2" t="inlineStr">
        <is>
          <t>Pánské lyžařské kalhoty Kilpi MIMAS-M / MIMAS-Mx (100% polyester, tkanina)</t>
        </is>
      </c>
      <c r="D4" s="4" t="inlineStr">
        <is>
          <t>CN (nedoloženo)</t>
        </is>
      </c>
      <c r="E4" s="5" t="n">
        <v>2798</v>
      </c>
      <c r="F4" s="6" t="n">
        <v>2626.25</v>
      </c>
      <c r="G4" s="6" t="n">
        <v>3011.05</v>
      </c>
      <c r="H4" s="5" t="n">
        <v>296</v>
      </c>
      <c r="I4" s="7" t="n">
        <v>56867.5</v>
      </c>
      <c r="J4" s="4" t="inlineStr">
        <is>
          <t>FOB XIAMEN</t>
        </is>
      </c>
      <c r="K4" s="2" t="inlineStr">
        <is>
          <t>6210 40 / 6210400000</t>
        </is>
      </c>
      <c r="L4" s="4" t="inlineStr">
        <is>
          <t>K OVĚŘENÍ</t>
        </is>
      </c>
      <c r="M4" s="2" t="inlineStr">
        <is>
          <t>Rozpor v sazebním zařazení: faktura i nákladní list uvádějí 6210 40, klasifikační podklad klienta 6203431900. Ověřit před podáním JSD.</t>
        </is>
      </c>
    </row>
    <row r="5">
      <c r="A5" s="2" t="inlineStr">
        <is>
          <t>INSPORT GARMENTS MANUFACTORY CO. LTD., Hong Kong</t>
        </is>
      </c>
      <c r="B5" s="3" t="inlineStr">
        <is>
          <t>6204631890</t>
        </is>
      </c>
      <c r="C5" s="2" t="inlineStr">
        <is>
          <t>Dámské lyžařské kalhoty Kilpi ELARE-W / ELARE-Wx + Dětské lyžařské kalhoty Kilpi MIMAS-J (100% polyester, tkanina)</t>
        </is>
      </c>
      <c r="D5" s="4" t="inlineStr">
        <is>
          <t>CN (nedoloženo)</t>
        </is>
      </c>
      <c r="E5" s="5" t="n">
        <v>3227</v>
      </c>
      <c r="F5" s="6" t="n">
        <v>2468.665</v>
      </c>
      <c r="G5" s="6" t="n">
        <v>2827.465</v>
      </c>
      <c r="H5" s="5" t="n">
        <v>276</v>
      </c>
      <c r="I5" s="7" t="n">
        <v>59066.04</v>
      </c>
      <c r="J5" s="4" t="inlineStr">
        <is>
          <t>FOB XIAMEN</t>
        </is>
      </c>
      <c r="K5" s="2" t="inlineStr">
        <is>
          <t>6210 50 (PL) / 6210 40 (faktura u MIMAS-J)</t>
        </is>
      </c>
      <c r="L5" s="4" t="inlineStr">
        <is>
          <t>K OVĚŘENÍ</t>
        </is>
      </c>
      <c r="M5" s="2" t="inlineStr">
        <is>
          <t>Sloučeny dvě položky se shodným HS kódem (ELARE-W 1 793 ks / 34 831,44 USD + MIMAS-J 1 434 ks / 24 234,60 USD). POZOR: faktura zařazuje MIMAS-J jako „Boy's Pants“ pod 6210 40 (pánské/chlapecké), packing list i podklad klienta pod dámské/dívčí (6204631890). Ověřit.</t>
        </is>
      </c>
    </row>
    <row r="6">
      <c r="A6" s="8" t="inlineStr">
        <is>
          <t>CELKEM</t>
        </is>
      </c>
      <c r="B6" s="9" t="n"/>
      <c r="C6" s="8" t="n"/>
      <c r="D6" s="10" t="n"/>
      <c r="E6" s="11">
        <f>SUM(E2:E5)</f>
        <v/>
      </c>
      <c r="F6" s="12">
        <f>SUM(F2:F5)</f>
        <v/>
      </c>
      <c r="G6" s="12">
        <f>SUM(G2:G5)</f>
        <v/>
      </c>
      <c r="H6" s="11">
        <f>SUM(H2:H5)</f>
        <v/>
      </c>
      <c r="I6" s="13">
        <f>SUM(I2:I5)</f>
        <v/>
      </c>
      <c r="J6" s="10" t="n"/>
      <c r="K6" s="8" t="n"/>
      <c r="L6" s="10" t="n"/>
      <c r="M6" s="8" t="n"/>
    </row>
    <row r="8">
      <c r="A8" s="14" t="inlineStr">
        <is>
          <t>Legenda:</t>
        </is>
      </c>
    </row>
    <row r="9">
      <c r="A9" s="15" t="inlineStr">
        <is>
          <t>🟠 ORANŽOVÁ</t>
        </is>
      </c>
      <c r="C9" s="16" t="inlineStr">
        <is>
          <t>Rozpor v sazebním zařazení mezi fakturou / nákladním listem a klasifikačním podkladem klienta – ověřit před podáním JSD.</t>
        </is>
      </c>
    </row>
    <row r="10">
      <c r="A10" s="17" t="inlineStr">
        <is>
          <t>🔴 ČERVENÁ</t>
        </is>
      </c>
      <c r="C10" s="16" t="inlineStr">
        <is>
          <t>Kritické zjištění – viz list „Dokumenty a poznámky“ (chybějící preferenční věta a nedoložený původ).</t>
        </is>
      </c>
    </row>
    <row r="12">
      <c r="A12" s="14" t="inlineStr">
        <is>
          <t>Klasifikace</t>
        </is>
      </c>
      <c r="C12" s="16" t="inlineStr">
        <is>
          <t>Zásilka má jediného obchodního odesílatele (Insport Garments Manufactory Co. Ltd., HK), proto je každý HS kód uveden na jednom řádku.</t>
        </is>
      </c>
    </row>
    <row r="13">
      <c r="A13" s="14" t="inlineStr">
        <is>
          <t>Incoterm</t>
        </is>
      </c>
      <c r="C13" s="16" t="inlineStr">
        <is>
          <t>INCOTERMS 2020 FOB XIAMEN (dle faktury IV26-00126). Zboží ale fyzicky nakládáno vlakem v CHENGDU – ověřit, viz poznámky.</t>
        </is>
      </c>
    </row>
    <row r="14">
      <c r="A14" s="14" t="inlineStr">
        <is>
          <t>Sleva</t>
        </is>
      </c>
      <c r="C14" s="16" t="inlineStr">
        <is>
          <t>Žádná obchodní sleva na faktuře IV26-00126 – součet položek = 164 228,14 USD = deklarovaný celkový součet faktury. Proporcionální rozpuštění slevy se neuplatní.</t>
        </is>
      </c>
    </row>
    <row r="15">
      <c r="A15" s="14" t="inlineStr">
        <is>
          <t>CBAM</t>
        </is>
      </c>
      <c r="C15" s="16" t="inlineStr">
        <is>
          <t>Zásilka neobsahuje žádnou položku podléhající CBAM (pouze textilní oděvy kap. 62). Příjemce PONATURE s.r.o. NENÍ v registru reference/CBAM_receivers_CZ.xlsx – viz poznámky.</t>
        </is>
      </c>
    </row>
    <row r="16">
      <c r="A16" s="14" t="inlineStr">
        <is>
          <t>Antidumping</t>
        </is>
      </c>
      <c r="C16" s="16" t="inlineStr">
        <is>
          <t>U kódů 6201/6202/6203/6204 ani 6210 40/50 (CN) nejsou uplatněna antidumpingová cla. Ověřit v TARIC k datu propuštění.</t>
        </is>
      </c>
    </row>
    <row r="18">
      <c r="A18" s="14" t="inlineStr">
        <is>
          <t>Kontrolní součty:</t>
        </is>
      </c>
    </row>
    <row r="19">
      <c r="A19" s="18" t="inlineStr">
        <is>
          <t>Množství (ks)</t>
        </is>
      </c>
      <c r="C19" s="18">
        <f>E6</f>
        <v/>
      </c>
      <c r="D19" s="18" t="inlineStr">
        <is>
          <t>faktura IV26-00126 uvádí 7 399 ks</t>
        </is>
      </c>
    </row>
    <row r="20">
      <c r="A20" s="18" t="inlineStr">
        <is>
          <t>Celní hodnota (USD)</t>
        </is>
      </c>
      <c r="C20" s="19">
        <f>I6</f>
        <v/>
      </c>
      <c r="D20" s="18" t="inlineStr">
        <is>
          <t>faktura IV26-00126 uvádí 164 228,14 USD</t>
        </is>
      </c>
    </row>
    <row r="21">
      <c r="A21" s="18" t="inlineStr">
        <is>
          <t>Hrubá hmotnost (kg)</t>
        </is>
      </c>
      <c r="C21" s="20">
        <f>G6</f>
        <v/>
      </c>
      <c r="D21" s="18" t="inlineStr">
        <is>
          <t>nákladní list EURFFD2680033MAA uvádí 7 475,000 kg</t>
        </is>
      </c>
    </row>
    <row r="22">
      <c r="A22" s="18" t="inlineStr">
        <is>
          <t>Počet kartonů</t>
        </is>
      </c>
      <c r="C22" s="18">
        <f>H6</f>
        <v/>
      </c>
      <c r="D22" s="18" t="inlineStr">
        <is>
          <t>nákladní list uvádí 764 CTNS</t>
        </is>
      </c>
    </row>
    <row r="23">
      <c r="A23" s="18" t="inlineStr">
        <is>
          <t>Zdroj dat</t>
        </is>
      </c>
      <c r="C23" s="16" t="inlineStr">
        <is>
          <t>Hmotnosti a kartony: packing list IV26-00126 (souhrny skupin). Množství, ceny, HS kódy a CZ popisy: faktura IV26-00126, list „OBV PUV 162“. Incoterm, kontejner, hrubá hmotnost: faktura + nákladní list EURFFD2680033MAA + SMGS nákladní list 38178510.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21">
        <f>== ZÁSILKA ===</f>
        <v/>
      </c>
    </row>
    <row r="2">
      <c r="A2" s="18" t="inlineStr">
        <is>
          <t>Faktura: IV26-00126 ze dne 21.8.2026 | Booking BK26-00078 | ETD 28.8.2026 | Splatnost 27.9.2026</t>
        </is>
      </c>
    </row>
    <row r="3">
      <c r="A3" s="18" t="inlineStr">
        <is>
          <t>Odesílatel (prodávající): INSPORT GARMENTS MANUFACTORY COMPANY LIMITED, Kowloon Bay, Hong Kong</t>
        </is>
      </c>
    </row>
    <row r="4">
      <c r="A4" s="18" t="inlineStr">
        <is>
          <t>Příjemce (CZ): PONATURE, s. r. o., U Hrubku 251/119, 709 00 Ostrava – Nová Ves | IČO 24851779, DIČ CZ24851779</t>
        </is>
      </c>
    </row>
    <row r="5">
      <c r="A5" s="18" t="inlineStr">
        <is>
          <t>Notify / sklad: SKLADON – SKLAD KILPI, Průmyslová 377, 742 51 Mošnov | kontakt Pavel Šťastný, +420 604 917 259</t>
        </is>
      </c>
    </row>
    <row r="6">
      <c r="A6" s="18" t="inlineStr">
        <is>
          <t>Zástupce: Maurice Ward &amp; Co., s.r.o., Airport Logistics Park, Kněževes 185, 252 68 Středokluky</t>
        </is>
      </c>
    </row>
    <row r="7">
      <c r="A7" s="18" t="inlineStr">
        <is>
          <t>Přeprava: vlak (FCL), kontejner CIMU3115165 / 40'HC, plomba 833371, 764 kartonů, 64,000 CBM</t>
        </is>
      </c>
    </row>
    <row r="8">
      <c r="A8" s="18" t="inlineStr">
        <is>
          <t>Trasa: Chengdu (Chengxiang) → Dostyk → Malaszewicze → Mošnov, CZ | Train No. WE391M-2026 | FREIGHT COLLECT</t>
        </is>
      </c>
    </row>
    <row r="9">
      <c r="A9" s="18" t="inlineStr"/>
    </row>
    <row r="10">
      <c r="A10" s="22">
        <f>== 🔴 KRITICKÉ: PREFERENČNÍ VĚTA (COO) – NENALEZENA ===</f>
        <v/>
      </c>
    </row>
    <row r="11">
      <c r="A11" s="18" t="inlineStr">
        <is>
          <t>V žádném z dodaných dokladů (faktura IV26-00126, packing list, nákladní list EURFFD2680033MAA, SMGS 38178510)</t>
        </is>
      </c>
    </row>
    <row r="12">
      <c r="A12" s="18" t="inlineStr">
        <is>
          <t>NENÍ uvedena preferenční věta (prohlášení o preferenčním původu). Pole „Country of origin / 原产国“ na nákladním</t>
        </is>
      </c>
    </row>
    <row r="13">
      <c r="A13" s="18" t="inlineStr">
        <is>
          <t>listu je PRÁZDNÉ. Faktura neuvádí zemi původu ani číslo celního povolení vývozce.</t>
        </is>
      </c>
    </row>
    <row r="14">
      <c r="A14" s="18" t="inlineStr">
        <is>
          <t>→ DŮSLEDEK: bez preferenčního prohlášení se uplatní plné třetizemní clo (erga omnes) – u oděvů kap. 62 z ČLR</t>
        </is>
      </c>
    </row>
    <row r="15">
      <c r="A15" s="18" t="inlineStr">
        <is>
          <t xml:space="preserve">   typicky 12 %. Preferenční sazba není k dispozici (ČR/EU nemá s ČLR ani Hongkongem preferenční dohodu),</t>
        </is>
      </c>
    </row>
    <row r="16">
      <c r="A16" s="18" t="inlineStr">
        <is>
          <t xml:space="preserve">   takže preferenční věta by zde ani nepomohla – ale ZEMI PŮVODU je nutné doložit.</t>
        </is>
      </c>
    </row>
    <row r="17">
      <c r="A17" s="18" t="inlineStr">
        <is>
          <t>→ AKCE: vyžádat od odesílatele písemné prohlášení o původu / Certificate of Origin. Zboží je vyrobeno v ČLR</t>
        </is>
      </c>
    </row>
    <row r="18">
      <c r="A18" s="18" t="inlineStr">
        <is>
          <t xml:space="preserve">   (nakládka Chengdu / Xiamen), prodávající je však hongkongská společnost – původ NENÍ v dokladech deklarován.</t>
        </is>
      </c>
    </row>
    <row r="19">
      <c r="A19" s="18" t="inlineStr">
        <is>
          <t xml:space="preserve">   Sloupec „obv puv“ v podkladu klienta obsahuje interní kód 162, nikoli kód země – nelze použít jako doklad původu.</t>
        </is>
      </c>
    </row>
    <row r="20">
      <c r="A20" s="18" t="inlineStr"/>
    </row>
    <row r="21">
      <c r="A21" s="23">
        <f>== 🟠 ROZPOR V SAZEBNÍM ZAŘAZENÍ ===</f>
        <v/>
      </c>
    </row>
    <row r="22">
      <c r="A22" s="18" t="inlineStr">
        <is>
          <t>Doklady uvádějí DVĚ různé sady HS kódů pro totéž zboží:</t>
        </is>
      </c>
    </row>
    <row r="23">
      <c r="A23" s="18" t="inlineStr">
        <is>
          <t xml:space="preserve">  a) Faktura (list AR_Invoice), packing list a SMGS nákladní list: 6210 40 (pánské/chlapecké) a 6210 50 (dámské/dívčí)</t>
        </is>
      </c>
    </row>
    <row r="24">
      <c r="A24" s="18" t="inlineStr">
        <is>
          <t xml:space="preserve">     – tj. oděvy zhotovené z povrstvených / laminovaných tkanin čísel 5903, 5906, 5907.</t>
        </is>
      </c>
    </row>
    <row r="25">
      <c r="A25" s="18" t="inlineStr">
        <is>
          <t xml:space="preserve">  b) Klasifikační podklad klienta (faktura, list „OBV PUV 162“, sloupec „hs kody“): 6201401090, 6202401091,</t>
        </is>
      </c>
    </row>
    <row r="26">
      <c r="A26" s="18" t="inlineStr">
        <is>
          <t xml:space="preserve">     6203431900, 6204631890 – tj. běžné oděvy z chemických vláken.</t>
        </is>
      </c>
    </row>
    <row r="27">
      <c r="A27" s="18" t="inlineStr">
        <is>
          <t>Souhrn v tomto souboru je postaven na sadě b) – je desetimístná (TARIC), obsahuje české popisy a odpovídá</t>
        </is>
      </c>
    </row>
    <row r="28">
      <c r="A28" s="18" t="inlineStr">
        <is>
          <t>členění packing listu. Sada a) je uvedena v samostatném sloupci.</t>
        </is>
      </c>
    </row>
    <row r="29">
      <c r="A29" s="18" t="inlineStr">
        <is>
          <t>→ AKCE: rozhoduje složení tkaniny. Podklad uvádí pouze „100% POLYESTER / 100% POLYAMID, tkanina“ – bez údaje</t>
        </is>
      </c>
    </row>
    <row r="30">
      <c r="A30" s="18" t="inlineStr">
        <is>
          <t xml:space="preserve">   o membráně či povrstvení. Vyžádat od klienta materiálovou specifikaci (membrána / laminát ano-ne) a zařazení</t>
        </is>
      </c>
    </row>
    <row r="31">
      <c r="A31" s="18" t="inlineStr">
        <is>
          <t xml:space="preserve">   potvrdit před podáním JSD. Rozdíl mezi 6210 a 6201–6204 mění sazbu cla i případná textilní opatření.</t>
        </is>
      </c>
    </row>
    <row r="32">
      <c r="A32" s="18" t="inlineStr">
        <is>
          <t>DÍLČÍ ROZPOR: MIMAS-J (dětské lyžařské kalhoty, 1 434 ks) je na faktuře popsáno jako „Boy's Pants“ pod 6210 40</t>
        </is>
      </c>
    </row>
    <row r="33">
      <c r="A33" s="18" t="inlineStr">
        <is>
          <t>(pánské/chlapecké), zatímco packing list (list KID'S: HS 621050000) i podklad klienta (6204631890) je řadí mezi</t>
        </is>
      </c>
    </row>
    <row r="34">
      <c r="A34" s="18" t="inlineStr">
        <is>
          <t>dámské/dívčí. V souhrnu je sloučeno pod 6204631890 se zbožím ELARE-W. Ověřit pohlavní určení výrobku.</t>
        </is>
      </c>
    </row>
    <row r="35">
      <c r="A35" s="18" t="inlineStr"/>
    </row>
    <row r="36">
      <c r="A36" s="23">
        <f>== 🟠 INCOTERM ===</f>
        <v/>
      </c>
    </row>
    <row r="37">
      <c r="A37" s="18" t="inlineStr">
        <is>
          <t>Faktura uvádí: INCOTERMS 2020 (FOB XIAMEN) – termín i město jsou na faktuře uvedeny.</t>
        </is>
      </c>
    </row>
    <row r="38">
      <c r="A38" s="18" t="inlineStr">
        <is>
          <t>Nesrovnalost: zásilka jde železnicí, nakládka CHENGDU (stanice Chengxiang), nákladní list uvádí „Place of taking</t>
        </is>
      </c>
    </row>
    <row r="39">
      <c r="A39" s="18" t="inlineStr">
        <is>
          <t>over cargo: XIAMEN“ a „Load station: CHENGDU“. FOB je námořní doložka – pro železniční přepravu se běžně</t>
        </is>
      </c>
    </row>
    <row r="40">
      <c r="A40" s="18" t="inlineStr">
        <is>
          <t>používá FCA. Přepravné je FREIGHT COLLECT (hradí příjemce), tedy není zahrnuto v ceně zboží.</t>
        </is>
      </c>
    </row>
    <row r="41">
      <c r="A41" s="18" t="inlineStr">
        <is>
          <t>→ DŮSLEDEK PRO CELNÍ HODNOTU: k fakturované hodnotě FOB 164 228,14 USD je nutné PŘIČÍST náklady dopravy</t>
        </is>
      </c>
    </row>
    <row r="42">
      <c r="A42" s="18" t="inlineStr">
        <is>
          <t xml:space="preserve">   a pojištění až na hranici EU (čl. 71 UCC). Částka přepravného není v dodaných dokladech uvedena.</t>
        </is>
      </c>
    </row>
    <row r="43">
      <c r="A43" s="18" t="inlineStr">
        <is>
          <t>→ AKCE: vyžádat fakturu za přepravu / rozpad nákladů do vstupu na území EU a potvrdit skutečnou doložku.</t>
        </is>
      </c>
    </row>
    <row r="44">
      <c r="A44" s="18" t="inlineStr"/>
    </row>
    <row r="45">
      <c r="A45" s="21">
        <f>== CBAM ===</f>
        <v/>
      </c>
    </row>
    <row r="46">
      <c r="A46" s="18" t="inlineStr">
        <is>
          <t>Zásilka NEOBSAHUJE žádné zboží podléhající CBAM. Všechny položky jsou textilní oděvy kapitoly 62</t>
        </is>
      </c>
    </row>
    <row r="47">
      <c r="A47" s="18" t="inlineStr">
        <is>
          <t>(6201/6202/6203/6204, resp. 6210). CBAM se vztahuje na cement, železo a ocel, hliník, hnojiva, elektřinu a vodík.</t>
        </is>
      </c>
    </row>
    <row r="48">
      <c r="A48" s="18" t="inlineStr">
        <is>
          <t>→ Vyhledání příjemce v registru tedy není povinné; pro jistotu provedeno:</t>
        </is>
      </c>
    </row>
    <row r="49">
      <c r="A49" s="18" t="inlineStr">
        <is>
          <t xml:space="preserve">   PONATURE s.r.o. (IČO 24851779, DIČ CZ24851779) NENÍ uvedena v reference/CBAM_receivers_CZ.xlsx, list List1</t>
        </is>
      </c>
    </row>
    <row r="50">
      <c r="A50" s="18" t="inlineStr">
        <is>
          <t xml:space="preserve">   – ani ve sloupci „Firma“, ani podle EORI, ani mezi společnostmi mimo EU používajícími sdílený účet</t>
        </is>
      </c>
    </row>
    <row r="51">
      <c r="A51" s="18" t="inlineStr">
        <is>
          <t xml:space="preserve">   CBAM-CZ-2025-QGM67089385721.</t>
        </is>
      </c>
    </row>
    <row r="52">
      <c r="A52" s="18" t="inlineStr">
        <is>
          <t>→ Pro tuto zásilku to nemá dopad (žádné CBAM zboží). Pokud bude PONATURE někdy dovážet CBAM zboží, je nutné</t>
        </is>
      </c>
    </row>
    <row r="53">
      <c r="A53" s="18" t="inlineStr">
        <is>
          <t xml:space="preserve">   firmu do registru doplnit a zjistit její Y kód (Y128 / Y238 / Y137). Nyní žádný Y kód neuvádět.</t>
        </is>
      </c>
    </row>
    <row r="54">
      <c r="A54" s="18" t="inlineStr"/>
    </row>
    <row r="55">
      <c r="A55" s="21">
        <f>== ANTIDUMPING ===</f>
        <v/>
      </c>
    </row>
    <row r="56">
      <c r="A56" s="18" t="inlineStr">
        <is>
          <t>U dotčených kódů (6201 40, 6202 40, 6203 43, 6204 63, resp. 6210 40 / 6210 50) s původem v ČLR nejsou</t>
        </is>
      </c>
    </row>
    <row r="57">
      <c r="A57" s="18" t="inlineStr">
        <is>
          <t>uplatněna antidumpingová ani vyrovnávací cla. Ověřit v TARIC k datu propuštění do volného oběhu.</t>
        </is>
      </c>
    </row>
    <row r="58">
      <c r="A58" s="18" t="inlineStr"/>
    </row>
    <row r="59">
      <c r="A59" s="21">
        <f>== ODESÍLATEL ===</f>
        <v/>
      </c>
    </row>
    <row r="60">
      <c r="A60" s="18" t="inlineStr">
        <is>
          <t>V dokladech vystupují tři různé subjekty na straně odesílatele – pro zařazení je rozhodující obchodní prodávající:</t>
        </is>
      </c>
    </row>
    <row r="61">
      <c r="A61" s="18" t="inlineStr">
        <is>
          <t xml:space="preserve">  • Obchodní odesílatel / prodávající (faktura, packing list): INSPORT GARMENTS MANUFACTORY CO. LTD., Hong Kong</t>
        </is>
      </c>
    </row>
    <row r="62">
      <c r="A62" s="18" t="inlineStr">
        <is>
          <t xml:space="preserve">  • Consignor na nákladním listu FFD: Xiamen Join-Profit Trade Co., Ltd., Xiamen, ČLR</t>
        </is>
      </c>
    </row>
    <row r="63">
      <c r="A63" s="18" t="inlineStr">
        <is>
          <t xml:space="preserve">  • Consignor na SMGS nákladním listu 38178510: Cheng International Transportation Service Co., Ltd. – pobočka Chengdu</t>
        </is>
      </c>
    </row>
    <row r="64">
      <c r="A64" s="18" t="inlineStr">
        <is>
          <t>Poslední dva jsou zasílatelé / dopravní odesílatelé, nikoli prodávající. Zásilka má tedy JEDNOHO obchodního</t>
        </is>
      </c>
    </row>
    <row r="65">
      <c r="A65" s="18" t="inlineStr">
        <is>
          <t>odesílatele → HS kódy jsou sloučeny do jediné sady řádků.</t>
        </is>
      </c>
    </row>
    <row r="66">
      <c r="A66" s="18" t="inlineStr"/>
    </row>
    <row r="67">
      <c r="A67" s="21">
        <f>== HMOTNOSTI A MNOŽSTVÍ – OVĚŘENO ===</f>
        <v/>
      </c>
    </row>
    <row r="68">
      <c r="A68" s="18" t="inlineStr">
        <is>
          <t>Množství celkem:      7 399 ks – souhlasí: faktura (součet položek i deklarovaný součet) = packing list</t>
        </is>
      </c>
    </row>
    <row r="69">
      <c r="A69" s="18" t="inlineStr">
        <is>
          <t>Celní hodnota celkem: 164 228,14 USD – souhlasí: součet položek = deklarovaný součet faktury (bez slevy)</t>
        </is>
      </c>
    </row>
    <row r="70">
      <c r="A70" s="18" t="inlineStr">
        <is>
          <t>Čistá hmotnost:       6 499,335 kg (součet souhrnů skupin packing listu)</t>
        </is>
      </c>
    </row>
    <row r="71">
      <c r="A71" s="18" t="inlineStr">
        <is>
          <t>Hrubá hmotnost:       7 474,535 kg – nákladní list uvádí zaokrouhleně 7 475,000 kg (rozdíl 0,465 kg)</t>
        </is>
      </c>
    </row>
    <row r="72">
      <c r="A72" s="18" t="inlineStr">
        <is>
          <t>Počet kartonů:        764 – souhlasí: packing list = nákladní list = SMGS</t>
        </is>
      </c>
    </row>
    <row r="73">
      <c r="A73" s="18" t="inlineStr">
        <is>
          <t>Hmotnosti jsou převzaty přímo ze souhrnů skupin packing listu (nikoli dopočteny), proto odpovídají 1:1 HS kódům.</t>
        </is>
      </c>
    </row>
    <row r="74">
      <c r="A74" s="18" t="inlineStr">
        <is>
          <t>Rozdělení kódu 6204631890: ELARE-W/Wx 159 kt / 1 793 ks / NW 1 481,335 / GW 1 688,035 / 34 831,44 USD</t>
        </is>
      </c>
    </row>
    <row r="75">
      <c r="A75" s="18" t="inlineStr">
        <is>
          <t xml:space="preserve">                          + MIMAS-J     117 kt / 1 434 ks / NW   987,330 / GW 1 139,430 / 24 234,60 USD</t>
        </is>
      </c>
    </row>
    <row r="76">
      <c r="A76" s="18" t="inlineStr"/>
    </row>
    <row r="77">
      <c r="A77" s="21">
        <f>== MĚNA ===</f>
        <v/>
      </c>
    </row>
    <row r="78">
      <c r="A78" s="18" t="inlineStr">
        <is>
          <t>Faktura je v USD. Pro JSD přepočíst celním kurzem platným pro měsíc propuštění do volného oběhu.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2026-09-09T07:55:15Z</dcterms:created>
  <dcterms:modified xsi:type="dcterms:W3CDTF">2026-09-09T07:55:15Z</dcterms:modified>
</cp:coreProperties>
</file>