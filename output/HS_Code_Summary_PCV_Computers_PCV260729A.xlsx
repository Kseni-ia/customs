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 HS kódů" sheetId="1" state="visible" r:id="rId1"/>
    <sheet xmlns:r="http://schemas.openxmlformats.org/officeDocument/2006/relationships" name="Položky" sheetId="2" state="visible" r:id="rId2"/>
    <sheet xmlns:r="http://schemas.openxmlformats.org/officeDocument/2006/relationships" name="Poznámk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i val="1"/>
      <sz val="9"/>
    </font>
    <font>
      <name val="Arial"/>
      <b val="1"/>
      <color rgb="00C00000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4" fontId="3" fillId="0" borderId="1" applyAlignment="1" pivotButton="0" quotePrefix="0" xfId="0">
      <alignment vertical="top"/>
    </xf>
    <xf numFmtId="3" fontId="3" fillId="0" borderId="1" applyAlignment="1" pivotButton="0" quotePrefix="0" xfId="0">
      <alignment vertical="top"/>
    </xf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/>
    </xf>
    <xf numFmtId="4" fontId="3" fillId="3" borderId="1" applyAlignment="1" pivotButton="0" quotePrefix="0" xfId="0">
      <alignment vertical="top"/>
    </xf>
    <xf numFmtId="3" fontId="3" fillId="3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/>
    </xf>
    <xf numFmtId="4" fontId="2" fillId="4" borderId="1" applyAlignment="1" pivotButton="0" quotePrefix="0" xfId="0">
      <alignment vertical="top"/>
    </xf>
    <xf numFmtId="3" fontId="2" fillId="4" borderId="1" applyAlignment="1" pivotButton="0" quotePrefix="0" xfId="0">
      <alignment vertical="top"/>
    </xf>
    <xf numFmtId="0" fontId="5" fillId="0" borderId="0" pivotButton="0" quotePrefix="0" xfId="0"/>
    <xf numFmtId="0" fontId="6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46" customWidth="1" min="3" max="3"/>
    <col width="13" customWidth="1" min="4" max="4"/>
    <col width="13" customWidth="1" min="5" max="5"/>
    <col width="11" customWidth="1" min="6" max="6"/>
    <col width="16" customWidth="1" min="7" max="7"/>
    <col width="22" customWidth="1" min="8" max="8"/>
    <col width="10" customWidth="1" min="9" max="9"/>
    <col width="16" customWidth="1" min="10" max="10"/>
    <col width="52" customWidth="1" min="11" max="11"/>
  </cols>
  <sheetData>
    <row r="1">
      <c r="A1" s="1" t="inlineStr">
        <is>
          <t>SOUHRN HS KÓDŮ – PCV Computers, s.r.o.</t>
        </is>
      </c>
    </row>
    <row r="3">
      <c r="A3" s="2" t="inlineStr">
        <is>
          <t>Odesílatel (sender):</t>
        </is>
      </c>
      <c r="B3" s="3" t="inlineStr">
        <is>
          <t>YEALINK (XIAMEN) NETWORK TECHNOLOGY CO., LTD, Xiamen, China</t>
        </is>
      </c>
    </row>
    <row r="4">
      <c r="A4" s="2" t="inlineStr">
        <is>
          <t>Příjemce (CZ receiver):</t>
        </is>
      </c>
      <c r="B4" s="3" t="inlineStr">
        <is>
          <t>PCV COMPUTERS, S.R.O., Rybná 682/14, 110 01 Praha – DIČ/TAX CZ26084121</t>
        </is>
      </c>
    </row>
    <row r="5">
      <c r="A5" s="2" t="inlineStr">
        <is>
          <t>Faktura / PI / PO:</t>
        </is>
      </c>
      <c r="B5" s="3" t="inlineStr">
        <is>
          <t>INVPCV-260729A1 ze dne 30.07.2026  |  PI PCV-260729A  |  PO OBN2602528</t>
        </is>
      </c>
    </row>
    <row r="6">
      <c r="A6" s="2" t="inlineStr">
        <is>
          <t>B/L:</t>
        </is>
      </c>
      <c r="B6" s="3" t="inlineStr">
        <is>
          <t>XMPR26080030 (J&amp;S Worldwide Logistics), COSCO AFRICA 104E, on board 11.08.2026</t>
        </is>
      </c>
    </row>
    <row r="7">
      <c r="A7" s="2" t="inlineStr">
        <is>
          <t>Trasa:</t>
        </is>
      </c>
      <c r="B7" s="3" t="inlineStr">
        <is>
          <t>Xiamen, Čína → Praha, Česká republika (LCL, 7 palet = 144 kartonů)</t>
        </is>
      </c>
    </row>
    <row r="8">
      <c r="A8" s="2" t="inlineStr">
        <is>
          <t>Incoterm:</t>
        </is>
      </c>
      <c r="B8" s="3" t="inlineStr">
        <is>
          <t>FOB Xiamen, China (Incoterms® 2020)</t>
        </is>
      </c>
    </row>
    <row r="9">
      <c r="A9" s="2" t="inlineStr">
        <is>
          <t>Země původu:</t>
        </is>
      </c>
      <c r="B9" s="3" t="inlineStr">
        <is>
          <t>ČÍNA (CN)</t>
        </is>
      </c>
    </row>
    <row r="10">
      <c r="A10" s="2" t="inlineStr">
        <is>
          <t>Měna:</t>
        </is>
      </c>
      <c r="B10" s="3" t="inlineStr">
        <is>
          <t>USD</t>
        </is>
      </c>
    </row>
    <row r="11">
      <c r="A11" s="2" t="inlineStr">
        <is>
          <t>Preferenční původ:</t>
        </is>
      </c>
      <c r="B11" s="3" t="inlineStr">
        <is>
          <t>NE – v dokladech NENÍ preferenční věta (viz list Poznámky)</t>
        </is>
      </c>
    </row>
    <row r="12">
      <c r="A12" s="2" t="inlineStr">
        <is>
          <t>CBAM – příjemce:</t>
        </is>
      </c>
      <c r="B12" s="3" t="inlineStr">
        <is>
          <t>PCV Computers, s.r.o. NENÍ v registru reference/CBAM_receivers_CZ.xlsx (viz list Poznámky)</t>
        </is>
      </c>
    </row>
    <row r="14" ht="34" customHeight="1">
      <c r="A14" s="4" t="inlineStr">
        <is>
          <t>Odesílatel</t>
        </is>
      </c>
      <c r="B14" s="4" t="inlineStr">
        <is>
          <t>HS kód</t>
        </is>
      </c>
      <c r="C14" s="4" t="inlineStr">
        <is>
          <t>Popis zboží (CZ)</t>
        </is>
      </c>
      <c r="D14" s="4" t="inlineStr">
        <is>
          <t>Čistá hmotnost (kg)</t>
        </is>
      </c>
      <c r="E14" s="4" t="inlineStr">
        <is>
          <t>Hrubá hmotnost (kg)</t>
        </is>
      </c>
      <c r="F14" s="4" t="inlineStr">
        <is>
          <t>Množství (ks)</t>
        </is>
      </c>
      <c r="G14" s="4" t="inlineStr">
        <is>
          <t>Cena / celní hodnota (USD)</t>
        </is>
      </c>
      <c r="H14" s="4" t="inlineStr">
        <is>
          <t>Incoterm</t>
        </is>
      </c>
      <c r="I14" s="4" t="inlineStr">
        <is>
          <t>CBAM</t>
        </is>
      </c>
      <c r="J14" s="4" t="inlineStr">
        <is>
          <t>Antidumping</t>
        </is>
      </c>
      <c r="K14" s="4" t="inlineStr">
        <is>
          <t>Poznámka</t>
        </is>
      </c>
    </row>
    <row r="15">
      <c r="A15" s="5" t="inlineStr">
        <is>
          <t>YEALINK (XIAMEN) NETWORK TECHNOLOGY CO., LTD, Xiamen, China</t>
        </is>
      </c>
      <c r="B15" s="6" t="inlineStr">
        <is>
          <t>85044060</t>
        </is>
      </c>
      <c r="C15" s="5" t="inlineStr">
        <is>
          <t>Statický měnič – ostatní (napájecí adaptér 5V 2A)</t>
        </is>
      </c>
      <c r="D15" s="7">
        <f>SUMIFS(Položky!$G$2:$G$38,Položky!$E$2:$E$38,$B15)</f>
        <v/>
      </c>
      <c r="E15" s="7">
        <f>SUMIFS(Položky!$H$2:$H$38,Položky!$E$2:$E$38,$B15)</f>
        <v/>
      </c>
      <c r="F15" s="8">
        <f>SUMIFS(Položky!$F$2:$F$38,Položky!$E$2:$E$38,$B15)</f>
        <v/>
      </c>
      <c r="G15" s="7">
        <f>SUMIFS(Položky!$I$2:$I$38,Položky!$E$2:$E$38,$B15)</f>
        <v/>
      </c>
      <c r="H15" s="5" t="inlineStr">
        <is>
          <t>FOB Xiamen, China (Incoterms® 2020)</t>
        </is>
      </c>
      <c r="I15" s="6" t="inlineStr">
        <is>
          <t>Ne</t>
        </is>
      </c>
      <c r="J15" s="6" t="inlineStr">
        <is>
          <t>Ne</t>
        </is>
      </c>
      <c r="K15" s="5" t="inlineStr"/>
    </row>
    <row r="16">
      <c r="A16" s="5" t="inlineStr">
        <is>
          <t>YEALINK (XIAMEN) NETWORK TECHNOLOGY CO., LTD, Xiamen, China</t>
        </is>
      </c>
      <c r="B16" s="6" t="inlineStr">
        <is>
          <t>85171800</t>
        </is>
      </c>
      <c r="C16" s="5" t="inlineStr">
        <is>
          <t>VoIP telefony (SIP stolní telefony, DECT ručky a základnové stanice, Wi-Fi a 4G IP telefony)</t>
        </is>
      </c>
      <c r="D16" s="7">
        <f>SUMIFS(Položky!$G$2:$G$38,Položky!$E$2:$E$38,$B16)</f>
        <v/>
      </c>
      <c r="E16" s="7">
        <f>SUMIFS(Položky!$H$2:$H$38,Položky!$E$2:$E$38,$B16)</f>
        <v/>
      </c>
      <c r="F16" s="8">
        <f>SUMIFS(Položky!$F$2:$F$38,Položky!$E$2:$E$38,$B16)</f>
        <v/>
      </c>
      <c r="G16" s="7">
        <f>SUMIFS(Položky!$I$2:$I$38,Položky!$E$2:$E$38,$B16)</f>
        <v/>
      </c>
      <c r="H16" s="5" t="inlineStr">
        <is>
          <t>FOB Xiamen, China (Incoterms® 2020)</t>
        </is>
      </c>
      <c r="I16" s="6" t="inlineStr">
        <is>
          <t>Ne</t>
        </is>
      </c>
      <c r="J16" s="6" t="inlineStr">
        <is>
          <t>Ne</t>
        </is>
      </c>
      <c r="K16" s="5" t="inlineStr">
        <is>
          <t>Yealink navrhoval 8517 1100 / 8517 6100 pro DECT a W90B; klient sjednotil na 8517 18 00.</t>
        </is>
      </c>
    </row>
    <row r="17">
      <c r="A17" s="5" t="inlineStr">
        <is>
          <t>YEALINK (XIAMEN) NETWORK TECHNOLOGY CO., LTD, Xiamen, China</t>
        </is>
      </c>
      <c r="B17" s="6" t="inlineStr">
        <is>
          <t>85176200</t>
        </is>
      </c>
      <c r="C17" s="5" t="inlineStr">
        <is>
          <t>Přepínací přístroje pro drátové sítě (All-in-one MeetingBar, WiFi dongle pro sdílení prezentace)</t>
        </is>
      </c>
      <c r="D17" s="7">
        <f>SUMIFS(Položky!$G$2:$G$38,Položky!$E$2:$E$38,$B17)</f>
        <v/>
      </c>
      <c r="E17" s="7">
        <f>SUMIFS(Položky!$H$2:$H$38,Položky!$E$2:$E$38,$B17)</f>
        <v/>
      </c>
      <c r="F17" s="8">
        <f>SUMIFS(Položky!$F$2:$F$38,Položky!$E$2:$E$38,$B17)</f>
        <v/>
      </c>
      <c r="G17" s="7">
        <f>SUMIFS(Položky!$I$2:$I$38,Položky!$E$2:$E$38,$B17)</f>
        <v/>
      </c>
      <c r="H17" s="5" t="inlineStr">
        <is>
          <t>FOB Xiamen, China (Incoterms® 2020)</t>
        </is>
      </c>
      <c r="I17" s="6" t="inlineStr">
        <is>
          <t>Ne</t>
        </is>
      </c>
      <c r="J17" s="6" t="inlineStr">
        <is>
          <t>Ne</t>
        </is>
      </c>
      <c r="K17" s="5" t="inlineStr"/>
    </row>
    <row r="18">
      <c r="A18" s="5" t="inlineStr">
        <is>
          <t>YEALINK (XIAMEN) NETWORK TECHNOLOGY CO., LTD, Xiamen, China</t>
        </is>
      </c>
      <c r="B18" s="6" t="inlineStr">
        <is>
          <t>85181030</t>
        </is>
      </c>
      <c r="C18" s="5" t="inlineStr">
        <is>
          <t>Mikrofony (videokonferenční stolní mikrofon)</t>
        </is>
      </c>
      <c r="D18" s="7">
        <f>SUMIFS(Položky!$G$2:$G$38,Položky!$E$2:$E$38,$B18)</f>
        <v/>
      </c>
      <c r="E18" s="7">
        <f>SUMIFS(Položky!$H$2:$H$38,Položky!$E$2:$E$38,$B18)</f>
        <v/>
      </c>
      <c r="F18" s="8">
        <f>SUMIFS(Položky!$F$2:$F$38,Položky!$E$2:$E$38,$B18)</f>
        <v/>
      </c>
      <c r="G18" s="7">
        <f>SUMIFS(Položky!$I$2:$I$38,Položky!$E$2:$E$38,$B18)</f>
        <v/>
      </c>
      <c r="H18" s="5" t="inlineStr">
        <is>
          <t>FOB Xiamen, China (Incoterms® 2020)</t>
        </is>
      </c>
      <c r="I18" s="6" t="inlineStr">
        <is>
          <t>Ne</t>
        </is>
      </c>
      <c r="J18" s="6" t="inlineStr">
        <is>
          <t>Ne</t>
        </is>
      </c>
      <c r="K18" s="5" t="inlineStr"/>
    </row>
    <row r="19">
      <c r="A19" s="5" t="inlineStr">
        <is>
          <t>YEALINK (XIAMEN) NETWORK TECHNOLOGY CO., LTD, Xiamen, China</t>
        </is>
      </c>
      <c r="B19" s="6" t="inlineStr">
        <is>
          <t>85182100</t>
        </is>
      </c>
      <c r="C19" s="5" t="inlineStr">
        <is>
          <t>Reproduktory jednoduché (videokonferenční a konferenční reproduktor)</t>
        </is>
      </c>
      <c r="D19" s="7">
        <f>SUMIFS(Položky!$G$2:$G$38,Položky!$E$2:$E$38,$B19)</f>
        <v/>
      </c>
      <c r="E19" s="7">
        <f>SUMIFS(Položky!$H$2:$H$38,Položky!$E$2:$E$38,$B19)</f>
        <v/>
      </c>
      <c r="F19" s="8">
        <f>SUMIFS(Položky!$F$2:$F$38,Položky!$E$2:$E$38,$B19)</f>
        <v/>
      </c>
      <c r="G19" s="7">
        <f>SUMIFS(Položky!$I$2:$I$38,Položky!$E$2:$E$38,$B19)</f>
        <v/>
      </c>
      <c r="H19" s="5" t="inlineStr">
        <is>
          <t>FOB Xiamen, China (Incoterms® 2020)</t>
        </is>
      </c>
      <c r="I19" s="6" t="inlineStr">
        <is>
          <t>Ne</t>
        </is>
      </c>
      <c r="J19" s="6" t="inlineStr">
        <is>
          <t>Ne</t>
        </is>
      </c>
      <c r="K19" s="5" t="inlineStr">
        <is>
          <t>Yealink navrhoval 8518 22 00 90 (vícenásobné reproduktory) pro MSpeaker Pro.</t>
        </is>
      </c>
    </row>
    <row r="20">
      <c r="A20" s="5" t="inlineStr">
        <is>
          <t>YEALINK (XIAMEN) NETWORK TECHNOLOGY CO., LTD, Xiamen, China</t>
        </is>
      </c>
      <c r="B20" s="6" t="inlineStr">
        <is>
          <t>85183000</t>
        </is>
      </c>
      <c r="C20" s="5" t="inlineStr">
        <is>
          <t>Sluchátka kombinovaná (náhlavní soupravy s QD-RJ9 konektory)</t>
        </is>
      </c>
      <c r="D20" s="7">
        <f>SUMIFS(Položky!$G$2:$G$38,Položky!$E$2:$E$38,$B20)</f>
        <v/>
      </c>
      <c r="E20" s="7">
        <f>SUMIFS(Položky!$H$2:$H$38,Položky!$E$2:$E$38,$B20)</f>
        <v/>
      </c>
      <c r="F20" s="8">
        <f>SUMIFS(Položky!$F$2:$F$38,Položky!$E$2:$E$38,$B20)</f>
        <v/>
      </c>
      <c r="G20" s="7">
        <f>SUMIFS(Položky!$I$2:$I$38,Položky!$E$2:$E$38,$B20)</f>
        <v/>
      </c>
      <c r="H20" s="5" t="inlineStr">
        <is>
          <t>FOB Xiamen, China (Incoterms® 2020)</t>
        </is>
      </c>
      <c r="I20" s="6" t="inlineStr">
        <is>
          <t>Ne</t>
        </is>
      </c>
      <c r="J20" s="6" t="inlineStr">
        <is>
          <t>Ne</t>
        </is>
      </c>
      <c r="K20" s="5" t="inlineStr">
        <is>
          <t>Ověřit členění vůči 8518 30 95 – viz list Poznámky.</t>
        </is>
      </c>
    </row>
    <row r="21">
      <c r="A21" s="5" t="inlineStr">
        <is>
          <t>YEALINK (XIAMEN) NETWORK TECHNOLOGY CO., LTD, Xiamen, China</t>
        </is>
      </c>
      <c r="B21" s="6" t="inlineStr">
        <is>
          <t>85183095</t>
        </is>
      </c>
      <c r="C21" s="5" t="inlineStr">
        <is>
          <t>Sluchátka ostatní (bluetooth náhlavní soupravy, kožený náušník, SIP DECT odolná ručka)</t>
        </is>
      </c>
      <c r="D21" s="7">
        <f>SUMIFS(Položky!$G$2:$G$38,Položky!$E$2:$E$38,$B21)</f>
        <v/>
      </c>
      <c r="E21" s="7">
        <f>SUMIFS(Položky!$H$2:$H$38,Položky!$E$2:$E$38,$B21)</f>
        <v/>
      </c>
      <c r="F21" s="8">
        <f>SUMIFS(Položky!$F$2:$F$38,Položky!$E$2:$E$38,$B21)</f>
        <v/>
      </c>
      <c r="G21" s="7">
        <f>SUMIFS(Položky!$I$2:$I$38,Položky!$E$2:$E$38,$B21)</f>
        <v/>
      </c>
      <c r="H21" s="5" t="inlineStr">
        <is>
          <t>FOB Xiamen, China (Incoterms® 2020)</t>
        </is>
      </c>
      <c r="I21" s="6" t="inlineStr">
        <is>
          <t>Ne</t>
        </is>
      </c>
      <c r="J21" s="6" t="inlineStr">
        <is>
          <t>Ne</t>
        </is>
      </c>
      <c r="K21" s="5" t="inlineStr">
        <is>
          <t>Ověřit členění vůči 8518 30 00 – viz list Poznámky. Zahrnuje náušník (Yealink: 8518 90 00) a W57R (Yealink: 8517 1100).</t>
        </is>
      </c>
    </row>
    <row r="22">
      <c r="A22" s="9" t="inlineStr">
        <is>
          <t>YEALINK (XIAMEN) NETWORK TECHNOLOGY CO., LTD, Xiamen, China</t>
        </is>
      </c>
      <c r="B22" s="10" t="inlineStr">
        <is>
          <t>94032080</t>
        </is>
      </c>
      <c r="C22" s="9" t="inlineStr">
        <is>
          <t>Kovový nábytek – rack (mobilní podlahový stojan pro MeetingBoard 65 Pro)</t>
        </is>
      </c>
      <c r="D22" s="11">
        <f>SUMIFS(Položky!$G$2:$G$38,Položky!$E$2:$E$38,$B22)</f>
        <v/>
      </c>
      <c r="E22" s="11">
        <f>SUMIFS(Položky!$H$2:$H$38,Položky!$E$2:$E$38,$B22)</f>
        <v/>
      </c>
      <c r="F22" s="12">
        <f>SUMIFS(Položky!$F$2:$F$38,Položky!$E$2:$E$38,$B22)</f>
        <v/>
      </c>
      <c r="G22" s="11">
        <f>SUMIFS(Položky!$I$2:$I$38,Položky!$E$2:$E$38,$B22)</f>
        <v/>
      </c>
      <c r="H22" s="9" t="inlineStr">
        <is>
          <t>FOB Xiamen, China (Incoterms® 2020)</t>
        </is>
      </c>
      <c r="I22" s="10" t="inlineStr">
        <is>
          <t>Ne – viz poznámka</t>
        </is>
      </c>
      <c r="J22" s="10" t="inlineStr">
        <is>
          <t>Ne – ověřit v TARIC při zařazení do kap. 73</t>
        </is>
      </c>
      <c r="K22" s="9" t="inlineStr">
        <is>
          <t>POZOR: Yealink navrhoval 7326 90 98 (ocel) = zboží podléhající CBAM. Při zařazení do 9403 20 80 CBAM neplatí. Jediná celně nenulová položka zásilky.</t>
        </is>
      </c>
    </row>
    <row r="23">
      <c r="A23" s="13" t="n"/>
      <c r="B23" s="14" t="n"/>
      <c r="C23" s="13" t="inlineStr">
        <is>
          <t>CELKEM</t>
        </is>
      </c>
      <c r="D23" s="15">
        <f>SUM(D15:D22)</f>
        <v/>
      </c>
      <c r="E23" s="15">
        <f>SUM(E15:E22)</f>
        <v/>
      </c>
      <c r="F23" s="16">
        <f>SUM(F15:F22)</f>
        <v/>
      </c>
      <c r="G23" s="15">
        <f>SUM(G15:G22)</f>
        <v/>
      </c>
      <c r="H23" s="13" t="n"/>
      <c r="I23" s="14" t="n"/>
      <c r="J23" s="14" t="n"/>
      <c r="K23" s="13" t="n"/>
    </row>
    <row r="25">
      <c r="A25" s="17" t="inlineStr">
        <is>
          <t>Zásilka má jediného odesílatele (Yealink Xiamen), proto je celý souhrn jedním blokem; HS kódy jsou sloučeny na unikátní řádky.</t>
        </is>
      </c>
    </row>
    <row r="26">
      <c r="A26" s="17" t="inlineStr">
        <is>
          <t>HS kódy a české popisy převzaty z dokumentu klienta „PCV Computers – HS kódy“ (J. Bestrejková, 17.08.2026); mají přednost před kódy navrženými na faktuře Yealink.</t>
        </is>
      </c>
    </row>
    <row r="27">
      <c r="A27" s="17" t="inlineStr">
        <is>
          <t>Hmotnosti sečteny z packing listu (jeden model může být na více paletách); hodnoty z faktury INVPCV-260729A1.</t>
        </is>
      </c>
    </row>
    <row r="28">
      <c r="A28" s="17" t="inlineStr">
        <is>
          <t>Fakturovaná hodnota je FOB Xiamen – pro celní hodnotu je nutné připočíst přepravné a pojištění k hranici EU (freight collect).</t>
        </is>
      </c>
    </row>
    <row r="29">
      <c r="A29" s="17" t="inlineStr">
        <is>
          <t>Žádná obchodní sleva není v dokladech uvedena – poměrné rozpuštění slevy se neuplatňuje.</t>
        </is>
      </c>
    </row>
  </sheetData>
  <mergeCells count="5">
    <mergeCell ref="A26:K26"/>
    <mergeCell ref="A29:K29"/>
    <mergeCell ref="A25:K25"/>
    <mergeCell ref="A28:K28"/>
    <mergeCell ref="A27:K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42" customWidth="1" min="4" max="4"/>
    <col width="15" customWidth="1" min="5" max="5"/>
    <col width="12" customWidth="1" min="6" max="6"/>
    <col width="15" customWidth="1" min="7" max="7"/>
    <col width="15" customWidth="1" min="8" max="8"/>
    <col width="13" customWidth="1" min="9" max="9"/>
    <col width="20" customWidth="1" min="10" max="10"/>
  </cols>
  <sheetData>
    <row r="1" ht="32" customHeight="1">
      <c r="A1" s="4" t="inlineStr">
        <is>
          <t>Part Number</t>
        </is>
      </c>
      <c r="B1" s="4" t="inlineStr">
        <is>
          <t>Model</t>
        </is>
      </c>
      <c r="C1" s="4" t="inlineStr">
        <is>
          <t>Popis (EN)</t>
        </is>
      </c>
      <c r="D1" s="4" t="inlineStr">
        <is>
          <t>Popis CN (CZ)</t>
        </is>
      </c>
      <c r="E1" s="4" t="inlineStr">
        <is>
          <t>HS kód (klient)</t>
        </is>
      </c>
      <c r="F1" s="4" t="inlineStr">
        <is>
          <t>Množství (ks)</t>
        </is>
      </c>
      <c r="G1" s="4" t="inlineStr">
        <is>
          <t>Čistá hmotnost (kg)</t>
        </is>
      </c>
      <c r="H1" s="4" t="inlineStr">
        <is>
          <t>Hrubá hmotnost (kg)</t>
        </is>
      </c>
      <c r="I1" s="4" t="inlineStr">
        <is>
          <t>Hodnota (USD)</t>
        </is>
      </c>
      <c r="J1" s="4" t="inlineStr">
        <is>
          <t>HS kód dle faktury Yealink</t>
        </is>
      </c>
    </row>
    <row r="2">
      <c r="A2" s="6" t="inlineStr">
        <is>
          <t>1206675</t>
        </is>
      </c>
      <c r="B2" s="6" t="inlineStr">
        <is>
          <t>A40-010</t>
        </is>
      </c>
      <c r="C2" s="6" t="inlineStr">
        <is>
          <t>Video conferencing system</t>
        </is>
      </c>
      <c r="D2" s="5" t="inlineStr">
        <is>
          <t>Přepínací přístroje pro drátové sítě (All-in-one MeetingBar, WiFi dongle pro sdílení prezentace)</t>
        </is>
      </c>
      <c r="E2" s="6" t="inlineStr">
        <is>
          <t>85176200</t>
        </is>
      </c>
      <c r="F2" s="8" t="n">
        <v>1</v>
      </c>
      <c r="G2" s="7" t="n">
        <v>4.86</v>
      </c>
      <c r="H2" s="7" t="n">
        <v>5.68</v>
      </c>
      <c r="I2" s="7" t="n">
        <v>980</v>
      </c>
      <c r="J2" s="6" t="inlineStr">
        <is>
          <t>8517 62 00</t>
        </is>
      </c>
    </row>
    <row r="3">
      <c r="A3" s="10" t="inlineStr">
        <is>
          <t>1301013</t>
        </is>
      </c>
      <c r="B3" s="10" t="inlineStr">
        <is>
          <t>AX83H</t>
        </is>
      </c>
      <c r="C3" s="10" t="inlineStr">
        <is>
          <t>Wi-Fi IP phone</t>
        </is>
      </c>
      <c r="D3" s="9" t="inlineStr">
        <is>
          <t>VoIP telefony (SIP stolní telefony, DECT ručky a základnové stanice, Wi-Fi a 4G IP telefony)</t>
        </is>
      </c>
      <c r="E3" s="10" t="inlineStr">
        <is>
          <t>85171800</t>
        </is>
      </c>
      <c r="F3" s="12" t="n">
        <v>16</v>
      </c>
      <c r="G3" s="11" t="n">
        <v>5.89</v>
      </c>
      <c r="H3" s="11" t="n">
        <v>7.13</v>
      </c>
      <c r="I3" s="11" t="n">
        <v>1176</v>
      </c>
      <c r="J3" s="10" t="inlineStr">
        <is>
          <t>8517 11 00 00</t>
        </is>
      </c>
    </row>
    <row r="4">
      <c r="A4" s="10" t="inlineStr">
        <is>
          <t>1208703</t>
        </is>
      </c>
      <c r="B4" s="10" t="inlineStr">
        <is>
          <t>BH70 Dual Teams USB-C/A</t>
        </is>
      </c>
      <c r="C4" s="10" t="inlineStr">
        <is>
          <t>Bluetooth headset</t>
        </is>
      </c>
      <c r="D4" s="9" t="inlineStr">
        <is>
          <t>Sluchátka ostatní (bluetooth náhlavní soupravy, kožený náušník, SIP DECT odolná ručka)</t>
        </is>
      </c>
      <c r="E4" s="10" t="inlineStr">
        <is>
          <t>85183095</t>
        </is>
      </c>
      <c r="F4" s="12" t="n">
        <v>10</v>
      </c>
      <c r="G4" s="11" t="n">
        <v>3.61</v>
      </c>
      <c r="H4" s="11" t="n">
        <v>4.32</v>
      </c>
      <c r="I4" s="11" t="n">
        <v>640</v>
      </c>
      <c r="J4" s="10" t="inlineStr">
        <is>
          <t>8518 30 00 90</t>
        </is>
      </c>
    </row>
    <row r="5">
      <c r="A5" s="10" t="inlineStr">
        <is>
          <t>1208709</t>
        </is>
      </c>
      <c r="B5" s="10" t="inlineStr">
        <is>
          <t>BH71 Pro USB-C/A</t>
        </is>
      </c>
      <c r="C5" s="10" t="inlineStr">
        <is>
          <t>Bluetooth headset</t>
        </is>
      </c>
      <c r="D5" s="9" t="inlineStr">
        <is>
          <t>Sluchátka ostatní (bluetooth náhlavní soupravy, kožený náušník, SIP DECT odolná ručka)</t>
        </is>
      </c>
      <c r="E5" s="10" t="inlineStr">
        <is>
          <t>85183095</t>
        </is>
      </c>
      <c r="F5" s="12" t="n">
        <v>10</v>
      </c>
      <c r="G5" s="11" t="n">
        <v>1.34</v>
      </c>
      <c r="H5" s="11" t="n">
        <v>1.53</v>
      </c>
      <c r="I5" s="11" t="n">
        <v>600</v>
      </c>
      <c r="J5" s="10" t="inlineStr">
        <is>
          <t>8518 30 00 90</t>
        </is>
      </c>
    </row>
    <row r="6">
      <c r="A6" s="10" t="inlineStr">
        <is>
          <t>3311059</t>
        </is>
      </c>
      <c r="B6" s="10" t="inlineStr">
        <is>
          <t>Leather Ear Cushion WH62/66</t>
        </is>
      </c>
      <c r="C6" s="10" t="inlineStr">
        <is>
          <t>Ear cushion</t>
        </is>
      </c>
      <c r="D6" s="9" t="inlineStr">
        <is>
          <t>Sluchátka ostatní (bluetooth náhlavní soupravy, kožený náušník, SIP DECT odolná ručka)</t>
        </is>
      </c>
      <c r="E6" s="10" t="inlineStr">
        <is>
          <t>85183095</t>
        </is>
      </c>
      <c r="F6" s="12" t="n">
        <v>50</v>
      </c>
      <c r="G6" s="11" t="n">
        <v>0.4</v>
      </c>
      <c r="H6" s="11" t="n">
        <v>0.54</v>
      </c>
      <c r="I6" s="11" t="n">
        <v>150</v>
      </c>
      <c r="J6" s="10" t="inlineStr">
        <is>
          <t>8518 90 00</t>
        </is>
      </c>
    </row>
    <row r="7">
      <c r="A7" s="10" t="inlineStr">
        <is>
          <t>3311083</t>
        </is>
      </c>
      <c r="B7" s="10" t="inlineStr">
        <is>
          <t>MB-FS-P650T</t>
        </is>
      </c>
      <c r="C7" s="10" t="inlineStr">
        <is>
          <t>Floor stand</t>
        </is>
      </c>
      <c r="D7" s="9" t="inlineStr">
        <is>
          <t>Kovový nábytek – rack (mobilní podlahový stojan pro MeetingBoard 65 Pro)</t>
        </is>
      </c>
      <c r="E7" s="10" t="inlineStr">
        <is>
          <t>94032080</t>
        </is>
      </c>
      <c r="F7" s="12" t="n">
        <v>2</v>
      </c>
      <c r="G7" s="11" t="n">
        <v>31.6</v>
      </c>
      <c r="H7" s="11" t="n">
        <v>42.71</v>
      </c>
      <c r="I7" s="11" t="n">
        <v>640</v>
      </c>
      <c r="J7" s="10" t="inlineStr">
        <is>
          <t>7326 90 98</t>
        </is>
      </c>
    </row>
    <row r="8">
      <c r="A8" s="10" t="inlineStr">
        <is>
          <t>1306038</t>
        </is>
      </c>
      <c r="B8" s="10" t="inlineStr">
        <is>
          <t>MSpeaker Pro</t>
        </is>
      </c>
      <c r="C8" s="10" t="inlineStr">
        <is>
          <t>Video conferencing soundbar</t>
        </is>
      </c>
      <c r="D8" s="9" t="inlineStr">
        <is>
          <t>Reproduktory jednoduché (videokonferenční a konferenční reproduktor)</t>
        </is>
      </c>
      <c r="E8" s="10" t="inlineStr">
        <is>
          <t>85182100</t>
        </is>
      </c>
      <c r="F8" s="12" t="n">
        <v>1</v>
      </c>
      <c r="G8" s="11" t="n">
        <v>3.01</v>
      </c>
      <c r="H8" s="11" t="n">
        <v>3.55</v>
      </c>
      <c r="I8" s="11" t="n">
        <v>200</v>
      </c>
      <c r="J8" s="10" t="inlineStr">
        <is>
          <t>8518 22 00 90</t>
        </is>
      </c>
    </row>
    <row r="9">
      <c r="A9" s="6" t="inlineStr">
        <is>
          <t>1303185</t>
        </is>
      </c>
      <c r="B9" s="6" t="inlineStr">
        <is>
          <t>PA20</t>
        </is>
      </c>
      <c r="C9" s="6" t="inlineStr">
        <is>
          <t>Presentation assistant</t>
        </is>
      </c>
      <c r="D9" s="5" t="inlineStr">
        <is>
          <t>Přepínací přístroje pro drátové sítě (All-in-one MeetingBar, WiFi dongle pro sdílení prezentace)</t>
        </is>
      </c>
      <c r="E9" s="6" t="inlineStr">
        <is>
          <t>85176200</t>
        </is>
      </c>
      <c r="F9" s="8" t="n">
        <v>20</v>
      </c>
      <c r="G9" s="7" t="n">
        <v>1.68</v>
      </c>
      <c r="H9" s="7" t="n">
        <v>1.81</v>
      </c>
      <c r="I9" s="7" t="n">
        <v>3000</v>
      </c>
      <c r="J9" s="6" t="inlineStr">
        <is>
          <t>8517 62 00 00</t>
        </is>
      </c>
    </row>
    <row r="10">
      <c r="A10" s="10" t="inlineStr">
        <is>
          <t>33150008</t>
        </is>
      </c>
      <c r="B10" s="10" t="inlineStr">
        <is>
          <t>PSU-5V/2A-DC5.5(1.8M)</t>
        </is>
      </c>
      <c r="C10" s="10" t="inlineStr">
        <is>
          <t>Power adapter</t>
        </is>
      </c>
      <c r="D10" s="9" t="inlineStr">
        <is>
          <t>Statický měnič – ostatní (napájecí adaptér 5V 2A)</t>
        </is>
      </c>
      <c r="E10" s="10" t="inlineStr">
        <is>
          <t>85044060</t>
        </is>
      </c>
      <c r="F10" s="12" t="n">
        <v>50</v>
      </c>
      <c r="G10" s="11" t="n">
        <v>4.7</v>
      </c>
      <c r="H10" s="11" t="n">
        <v>6.44</v>
      </c>
      <c r="I10" s="11" t="n">
        <v>300</v>
      </c>
      <c r="J10" s="10" t="inlineStr">
        <is>
          <t>8504 40 95 90</t>
        </is>
      </c>
    </row>
    <row r="11">
      <c r="A11" s="6" t="inlineStr">
        <is>
          <t>1301049</t>
        </is>
      </c>
      <c r="B11" s="6" t="inlineStr">
        <is>
          <t>SIP-T31</t>
        </is>
      </c>
      <c r="C11" s="6" t="inlineStr">
        <is>
          <t>Classic IP phone</t>
        </is>
      </c>
      <c r="D11" s="5" t="inlineStr">
        <is>
          <t>VoIP telefony (SIP stolní telefony, DECT ručky a základnové stanice, Wi-Fi a 4G IP telefony)</t>
        </is>
      </c>
      <c r="E11" s="6" t="inlineStr">
        <is>
          <t>85171800</t>
        </is>
      </c>
      <c r="F11" s="8" t="n">
        <v>101</v>
      </c>
      <c r="G11" s="7" t="n">
        <v>98.98</v>
      </c>
      <c r="H11" s="7" t="n">
        <v>119.28</v>
      </c>
      <c r="I11" s="7" t="n">
        <v>2300</v>
      </c>
      <c r="J11" s="6" t="inlineStr">
        <is>
          <t>8517 1800</t>
        </is>
      </c>
    </row>
    <row r="12">
      <c r="A12" s="6" t="inlineStr">
        <is>
          <t>1301044</t>
        </is>
      </c>
      <c r="B12" s="6" t="inlineStr">
        <is>
          <t>SIP-T31G</t>
        </is>
      </c>
      <c r="C12" s="6" t="inlineStr">
        <is>
          <t>Classic IP phone</t>
        </is>
      </c>
      <c r="D12" s="5" t="inlineStr">
        <is>
          <t>VoIP telefony (SIP stolní telefony, DECT ručky a základnové stanice, Wi-Fi a 4G IP telefony)</t>
        </is>
      </c>
      <c r="E12" s="6" t="inlineStr">
        <is>
          <t>85171800</t>
        </is>
      </c>
      <c r="F12" s="8" t="n">
        <v>202</v>
      </c>
      <c r="G12" s="7" t="n">
        <v>205.03</v>
      </c>
      <c r="H12" s="7" t="n">
        <v>249.07</v>
      </c>
      <c r="I12" s="7" t="n">
        <v>6200</v>
      </c>
      <c r="J12" s="6" t="inlineStr">
        <is>
          <t>8517 1800</t>
        </is>
      </c>
    </row>
    <row r="13">
      <c r="A13" s="6" t="inlineStr">
        <is>
          <t>1301043</t>
        </is>
      </c>
      <c r="B13" s="6" t="inlineStr">
        <is>
          <t>SIP-T31P</t>
        </is>
      </c>
      <c r="C13" s="6" t="inlineStr">
        <is>
          <t>Classic IP phone</t>
        </is>
      </c>
      <c r="D13" s="5" t="inlineStr">
        <is>
          <t>VoIP telefony (SIP stolní telefony, DECT ručky a základnové stanice, Wi-Fi a 4G IP telefony)</t>
        </is>
      </c>
      <c r="E13" s="6" t="inlineStr">
        <is>
          <t>85171800</t>
        </is>
      </c>
      <c r="F13" s="8" t="n">
        <v>202</v>
      </c>
      <c r="G13" s="7" t="n">
        <v>197.96</v>
      </c>
      <c r="H13" s="7" t="n">
        <v>238.97</v>
      </c>
      <c r="I13" s="7" t="n">
        <v>5400</v>
      </c>
      <c r="J13" s="6" t="inlineStr">
        <is>
          <t>8517 1800</t>
        </is>
      </c>
    </row>
    <row r="14">
      <c r="A14" s="6" t="inlineStr">
        <is>
          <t>1301046</t>
        </is>
      </c>
      <c r="B14" s="6" t="inlineStr">
        <is>
          <t>SIP-T33G</t>
        </is>
      </c>
      <c r="C14" s="6" t="inlineStr">
        <is>
          <t>Classic IP phone</t>
        </is>
      </c>
      <c r="D14" s="5" t="inlineStr">
        <is>
          <t>VoIP telefony (SIP stolní telefony, DECT ručky a základnové stanice, Wi-Fi a 4G IP telefony)</t>
        </is>
      </c>
      <c r="E14" s="6" t="inlineStr">
        <is>
          <t>85171800</t>
        </is>
      </c>
      <c r="F14" s="8" t="n">
        <v>151</v>
      </c>
      <c r="G14" s="7" t="n">
        <v>154.02</v>
      </c>
      <c r="H14" s="7" t="n">
        <v>187.19</v>
      </c>
      <c r="I14" s="7" t="n">
        <v>6000</v>
      </c>
      <c r="J14" s="6" t="inlineStr">
        <is>
          <t>8517 1800</t>
        </is>
      </c>
    </row>
    <row r="15">
      <c r="A15" s="6" t="inlineStr">
        <is>
          <t>1301012</t>
        </is>
      </c>
      <c r="B15" s="6" t="inlineStr">
        <is>
          <t>SIP-T73U</t>
        </is>
      </c>
      <c r="C15" s="6" t="inlineStr">
        <is>
          <t>Ultra business phone</t>
        </is>
      </c>
      <c r="D15" s="5" t="inlineStr">
        <is>
          <t>VoIP telefony (SIP stolní telefony, DECT ručky a základnové stanice, Wi-Fi a 4G IP telefony)</t>
        </is>
      </c>
      <c r="E15" s="6" t="inlineStr">
        <is>
          <t>85171800</t>
        </is>
      </c>
      <c r="F15" s="8" t="n">
        <v>50</v>
      </c>
      <c r="G15" s="7" t="n">
        <v>55.3</v>
      </c>
      <c r="H15" s="7" t="n">
        <v>65.29000000000001</v>
      </c>
      <c r="I15" s="7" t="n">
        <v>3150</v>
      </c>
      <c r="J15" s="6" t="inlineStr">
        <is>
          <t>8517 18 00 00</t>
        </is>
      </c>
    </row>
    <row r="16">
      <c r="A16" s="6" t="inlineStr">
        <is>
          <t>1301009</t>
        </is>
      </c>
      <c r="B16" s="6" t="inlineStr">
        <is>
          <t>SIP-T73W</t>
        </is>
      </c>
      <c r="C16" s="6" t="inlineStr">
        <is>
          <t>Ultra business phone</t>
        </is>
      </c>
      <c r="D16" s="5" t="inlineStr">
        <is>
          <t>VoIP telefony (SIP stolní telefony, DECT ručky a základnové stanice, Wi-Fi a 4G IP telefony)</t>
        </is>
      </c>
      <c r="E16" s="6" t="inlineStr">
        <is>
          <t>85171800</t>
        </is>
      </c>
      <c r="F16" s="8" t="n">
        <v>30</v>
      </c>
      <c r="G16" s="7" t="n">
        <v>33</v>
      </c>
      <c r="H16" s="7" t="n">
        <v>39.17</v>
      </c>
      <c r="I16" s="7" t="n">
        <v>2250</v>
      </c>
      <c r="J16" s="6" t="inlineStr">
        <is>
          <t>8517 18 00 00</t>
        </is>
      </c>
    </row>
    <row r="17">
      <c r="A17" s="6" t="inlineStr">
        <is>
          <t>1301222</t>
        </is>
      </c>
      <c r="B17" s="6" t="inlineStr">
        <is>
          <t>SIP-T74U</t>
        </is>
      </c>
      <c r="C17" s="6" t="inlineStr">
        <is>
          <t>Ultra business phone</t>
        </is>
      </c>
      <c r="D17" s="5" t="inlineStr">
        <is>
          <t>VoIP telefony (SIP stolní telefony, DECT ručky a základnové stanice, Wi-Fi a 4G IP telefony)</t>
        </is>
      </c>
      <c r="E17" s="6" t="inlineStr">
        <is>
          <t>85171800</t>
        </is>
      </c>
      <c r="F17" s="8" t="n">
        <v>50</v>
      </c>
      <c r="G17" s="7" t="n">
        <v>60.3</v>
      </c>
      <c r="H17" s="7" t="n">
        <v>68.39</v>
      </c>
      <c r="I17" s="7" t="n">
        <v>4550</v>
      </c>
      <c r="J17" s="6" t="inlineStr">
        <is>
          <t>8517 18 00 00</t>
        </is>
      </c>
    </row>
    <row r="18">
      <c r="A18" s="6" t="inlineStr">
        <is>
          <t>1301010</t>
        </is>
      </c>
      <c r="B18" s="6" t="inlineStr">
        <is>
          <t>SIP-T74W</t>
        </is>
      </c>
      <c r="C18" s="6" t="inlineStr">
        <is>
          <t>Ultra business phone</t>
        </is>
      </c>
      <c r="D18" s="5" t="inlineStr">
        <is>
          <t>VoIP telefony (SIP stolní telefony, DECT ručky a základnové stanice, Wi-Fi a 4G IP telefony)</t>
        </is>
      </c>
      <c r="E18" s="6" t="inlineStr">
        <is>
          <t>85171800</t>
        </is>
      </c>
      <c r="F18" s="8" t="n">
        <v>5</v>
      </c>
      <c r="G18" s="7" t="n">
        <v>6</v>
      </c>
      <c r="H18" s="7" t="n">
        <v>6.89</v>
      </c>
      <c r="I18" s="7" t="n">
        <v>510</v>
      </c>
      <c r="J18" s="6" t="inlineStr">
        <is>
          <t>8517 18 00 00</t>
        </is>
      </c>
    </row>
    <row r="19">
      <c r="A19" s="6" t="inlineStr">
        <is>
          <t>1301011</t>
        </is>
      </c>
      <c r="B19" s="6" t="inlineStr">
        <is>
          <t>SIP-T77U</t>
        </is>
      </c>
      <c r="C19" s="6" t="inlineStr">
        <is>
          <t>Ultra business phone</t>
        </is>
      </c>
      <c r="D19" s="5" t="inlineStr">
        <is>
          <t>VoIP telefony (SIP stolní telefony, DECT ručky a základnové stanice, Wi-Fi a 4G IP telefony)</t>
        </is>
      </c>
      <c r="E19" s="6" t="inlineStr">
        <is>
          <t>85171800</t>
        </is>
      </c>
      <c r="F19" s="8" t="n">
        <v>10</v>
      </c>
      <c r="G19" s="7" t="n">
        <v>14</v>
      </c>
      <c r="H19" s="7" t="n">
        <v>16.73</v>
      </c>
      <c r="I19" s="7" t="n">
        <v>1360</v>
      </c>
      <c r="J19" s="6" t="inlineStr">
        <is>
          <t>8517 18 00 00</t>
        </is>
      </c>
    </row>
    <row r="20">
      <c r="A20" s="6" t="inlineStr">
        <is>
          <t>1301230</t>
        </is>
      </c>
      <c r="B20" s="6" t="inlineStr">
        <is>
          <t>SIP-T88V Pro</t>
        </is>
      </c>
      <c r="C20" s="6" t="inlineStr">
        <is>
          <t>Ultra smart business phone</t>
        </is>
      </c>
      <c r="D20" s="5" t="inlineStr">
        <is>
          <t>VoIP telefony (SIP stolní telefony, DECT ručky a základnové stanice, Wi-Fi a 4G IP telefony)</t>
        </is>
      </c>
      <c r="E20" s="6" t="inlineStr">
        <is>
          <t>85171800</t>
        </is>
      </c>
      <c r="F20" s="8" t="n">
        <v>1</v>
      </c>
      <c r="G20" s="7" t="n">
        <v>1.61</v>
      </c>
      <c r="H20" s="7" t="n">
        <v>1.89</v>
      </c>
      <c r="I20" s="7" t="n">
        <v>265</v>
      </c>
      <c r="J20" s="6" t="inlineStr">
        <is>
          <t>8517 1800</t>
        </is>
      </c>
    </row>
    <row r="21">
      <c r="A21" s="6" t="inlineStr">
        <is>
          <t>1301226</t>
        </is>
      </c>
      <c r="B21" s="6" t="inlineStr">
        <is>
          <t>SIP-T88W</t>
        </is>
      </c>
      <c r="C21" s="6" t="inlineStr">
        <is>
          <t>Ultra smart business phone</t>
        </is>
      </c>
      <c r="D21" s="5" t="inlineStr">
        <is>
          <t>VoIP telefony (SIP stolní telefony, DECT ručky a základnové stanice, Wi-Fi a 4G IP telefony)</t>
        </is>
      </c>
      <c r="E21" s="6" t="inlineStr">
        <is>
          <t>85171800</t>
        </is>
      </c>
      <c r="F21" s="8" t="n">
        <v>10</v>
      </c>
      <c r="G21" s="7" t="n">
        <v>15.93</v>
      </c>
      <c r="H21" s="7" t="n">
        <v>18.77</v>
      </c>
      <c r="I21" s="7" t="n">
        <v>1950</v>
      </c>
      <c r="J21" s="6" t="inlineStr">
        <is>
          <t>8517 1800</t>
        </is>
      </c>
    </row>
    <row r="22">
      <c r="A22" s="6" t="inlineStr">
        <is>
          <t>1301228</t>
        </is>
      </c>
      <c r="B22" s="6" t="inlineStr">
        <is>
          <t>SIP-T88W Pro</t>
        </is>
      </c>
      <c r="C22" s="6" t="inlineStr">
        <is>
          <t>Ultra smart business phone</t>
        </is>
      </c>
      <c r="D22" s="5" t="inlineStr">
        <is>
          <t>VoIP telefony (SIP stolní telefony, DECT ručky a základnové stanice, Wi-Fi a 4G IP telefony)</t>
        </is>
      </c>
      <c r="E22" s="6" t="inlineStr">
        <is>
          <t>85171800</t>
        </is>
      </c>
      <c r="F22" s="8" t="n">
        <v>10</v>
      </c>
      <c r="G22" s="7" t="n">
        <v>16</v>
      </c>
      <c r="H22" s="7" t="n">
        <v>18.83</v>
      </c>
      <c r="I22" s="7" t="n">
        <v>2200</v>
      </c>
      <c r="J22" s="6" t="inlineStr">
        <is>
          <t>8517 1800</t>
        </is>
      </c>
    </row>
    <row r="23">
      <c r="A23" s="6" t="inlineStr">
        <is>
          <t>1308171</t>
        </is>
      </c>
      <c r="B23" s="6" t="inlineStr">
        <is>
          <t>SP96 USB-C/A</t>
        </is>
      </c>
      <c r="C23" s="6" t="inlineStr">
        <is>
          <t>USB speakerphone</t>
        </is>
      </c>
      <c r="D23" s="5" t="inlineStr">
        <is>
          <t>Reproduktory jednoduché (videokonferenční a konferenční reproduktor)</t>
        </is>
      </c>
      <c r="E23" s="6" t="inlineStr">
        <is>
          <t>85182100</t>
        </is>
      </c>
      <c r="F23" s="8" t="n">
        <v>3</v>
      </c>
      <c r="G23" s="7" t="n">
        <v>1.88</v>
      </c>
      <c r="H23" s="7" t="n">
        <v>2.11</v>
      </c>
      <c r="I23" s="7" t="n">
        <v>228</v>
      </c>
      <c r="J23" s="6" t="inlineStr">
        <is>
          <t>8518 2100</t>
        </is>
      </c>
    </row>
    <row r="24">
      <c r="A24" s="6" t="inlineStr">
        <is>
          <t>1301225</t>
        </is>
      </c>
      <c r="B24" s="6" t="inlineStr">
        <is>
          <t>T74LTE</t>
        </is>
      </c>
      <c r="C24" s="6" t="inlineStr">
        <is>
          <t>4G LTE desk phone</t>
        </is>
      </c>
      <c r="D24" s="5" t="inlineStr">
        <is>
          <t>VoIP telefony (SIP stolní telefony, DECT ručky a základnové stanice, Wi-Fi a 4G IP telefony)</t>
        </is>
      </c>
      <c r="E24" s="6" t="inlineStr">
        <is>
          <t>85171800</t>
        </is>
      </c>
      <c r="F24" s="8" t="n">
        <v>1</v>
      </c>
      <c r="G24" s="7" t="n">
        <v>1.2</v>
      </c>
      <c r="H24" s="7" t="n">
        <v>1.42</v>
      </c>
      <c r="I24" s="7" t="n">
        <v>120</v>
      </c>
      <c r="J24" s="6" t="inlineStr">
        <is>
          <t>8517 1800</t>
        </is>
      </c>
    </row>
    <row r="25">
      <c r="A25" s="10" t="inlineStr">
        <is>
          <t>1303322</t>
        </is>
      </c>
      <c r="B25" s="10" t="inlineStr">
        <is>
          <t>VCM35 Pro</t>
        </is>
      </c>
      <c r="C25" s="10" t="inlineStr">
        <is>
          <t>Video conf. microphone array</t>
        </is>
      </c>
      <c r="D25" s="9" t="inlineStr">
        <is>
          <t>Mikrofony (videokonferenční stolní mikrofon)</t>
        </is>
      </c>
      <c r="E25" s="10" t="inlineStr">
        <is>
          <t>85181030</t>
        </is>
      </c>
      <c r="F25" s="12" t="n">
        <v>3</v>
      </c>
      <c r="G25" s="11" t="n">
        <v>1.2</v>
      </c>
      <c r="H25" s="11" t="n">
        <v>1.35</v>
      </c>
      <c r="I25" s="11" t="n">
        <v>600</v>
      </c>
      <c r="J25" s="10" t="inlineStr">
        <is>
          <t>8518 1000 90</t>
        </is>
      </c>
    </row>
    <row r="26">
      <c r="A26" s="10" t="inlineStr">
        <is>
          <t>1303291</t>
        </is>
      </c>
      <c r="B26" s="10" t="inlineStr">
        <is>
          <t>VCM36-W Pro Package</t>
        </is>
      </c>
      <c r="C26" s="10" t="inlineStr">
        <is>
          <t>Wireless video conf. mic array</t>
        </is>
      </c>
      <c r="D26" s="9" t="inlineStr">
        <is>
          <t>Mikrofony (videokonferenční stolní mikrofon)</t>
        </is>
      </c>
      <c r="E26" s="10" t="inlineStr">
        <is>
          <t>85181030</t>
        </is>
      </c>
      <c r="F26" s="12" t="n">
        <v>3</v>
      </c>
      <c r="G26" s="11" t="n">
        <v>1.43</v>
      </c>
      <c r="H26" s="11" t="n">
        <v>1.58</v>
      </c>
      <c r="I26" s="11" t="n">
        <v>600</v>
      </c>
      <c r="J26" s="10" t="inlineStr">
        <is>
          <t>8518 1000 90</t>
        </is>
      </c>
    </row>
    <row r="27">
      <c r="A27" s="10" t="inlineStr">
        <is>
          <t>1302007</t>
        </is>
      </c>
      <c r="B27" s="10" t="inlineStr">
        <is>
          <t>W57R</t>
        </is>
      </c>
      <c r="C27" s="10" t="inlineStr">
        <is>
          <t>DECT IP phone (rugged handset)</t>
        </is>
      </c>
      <c r="D27" s="9" t="inlineStr">
        <is>
          <t>Sluchátka ostatní (bluetooth náhlavní soupravy, kožený náušník, SIP DECT odolná ručka)</t>
        </is>
      </c>
      <c r="E27" s="10" t="inlineStr">
        <is>
          <t>85183095</t>
        </is>
      </c>
      <c r="F27" s="12" t="n">
        <v>10</v>
      </c>
      <c r="G27" s="11" t="n">
        <v>4.42</v>
      </c>
      <c r="H27" s="11" t="n">
        <v>5.28</v>
      </c>
      <c r="I27" s="11" t="n">
        <v>700</v>
      </c>
      <c r="J27" s="10" t="inlineStr">
        <is>
          <t>8517 1100</t>
        </is>
      </c>
    </row>
    <row r="28">
      <c r="A28" s="10" t="inlineStr">
        <is>
          <t>1302028</t>
        </is>
      </c>
      <c r="B28" s="10" t="inlineStr">
        <is>
          <t>W71H</t>
        </is>
      </c>
      <c r="C28" s="10" t="inlineStr">
        <is>
          <t>DECT IP phone</t>
        </is>
      </c>
      <c r="D28" s="9" t="inlineStr">
        <is>
          <t>VoIP telefony (SIP stolní telefony, DECT ručky a základnové stanice, Wi-Fi a 4G IP telefony)</t>
        </is>
      </c>
      <c r="E28" s="10" t="inlineStr">
        <is>
          <t>85171800</t>
        </is>
      </c>
      <c r="F28" s="12" t="n">
        <v>20</v>
      </c>
      <c r="G28" s="11" t="n">
        <v>6.82</v>
      </c>
      <c r="H28" s="11" t="n">
        <v>23.7</v>
      </c>
      <c r="I28" s="11" t="n">
        <v>740</v>
      </c>
      <c r="J28" s="10" t="inlineStr">
        <is>
          <t>8517 1100</t>
        </is>
      </c>
    </row>
    <row r="29">
      <c r="A29" s="10" t="inlineStr">
        <is>
          <t>1302031</t>
        </is>
      </c>
      <c r="B29" s="10" t="inlineStr">
        <is>
          <t>W71P</t>
        </is>
      </c>
      <c r="C29" s="10" t="inlineStr">
        <is>
          <t>DECT IP phone</t>
        </is>
      </c>
      <c r="D29" s="9" t="inlineStr">
        <is>
          <t>VoIP telefony (SIP stolní telefony, DECT ručky a základnové stanice, Wi-Fi a 4G IP telefony)</t>
        </is>
      </c>
      <c r="E29" s="10" t="inlineStr">
        <is>
          <t>85171800</t>
        </is>
      </c>
      <c r="F29" s="12" t="n">
        <v>30</v>
      </c>
      <c r="G29" s="11" t="n">
        <v>19.95</v>
      </c>
      <c r="H29" s="11" t="n">
        <v>23.82</v>
      </c>
      <c r="I29" s="11" t="n">
        <v>1800</v>
      </c>
      <c r="J29" s="10" t="inlineStr">
        <is>
          <t>8517 1100</t>
        </is>
      </c>
    </row>
    <row r="30">
      <c r="A30" s="10" t="inlineStr">
        <is>
          <t>1302021</t>
        </is>
      </c>
      <c r="B30" s="10" t="inlineStr">
        <is>
          <t>W73H</t>
        </is>
      </c>
      <c r="C30" s="10" t="inlineStr">
        <is>
          <t>DECT IP phone</t>
        </is>
      </c>
      <c r="D30" s="9" t="inlineStr">
        <is>
          <t>VoIP telefony (SIP stolní telefony, DECT ručky a základnové stanice, Wi-Fi a 4G IP telefony)</t>
        </is>
      </c>
      <c r="E30" s="10" t="inlineStr">
        <is>
          <t>85171800</t>
        </is>
      </c>
      <c r="F30" s="12" t="n">
        <v>101</v>
      </c>
      <c r="G30" s="11" t="n">
        <v>34.34</v>
      </c>
      <c r="H30" s="11" t="n">
        <v>42.8</v>
      </c>
      <c r="I30" s="11" t="n">
        <v>4300</v>
      </c>
      <c r="J30" s="10" t="inlineStr">
        <is>
          <t>8517 1100</t>
        </is>
      </c>
    </row>
    <row r="31">
      <c r="A31" s="10" t="inlineStr">
        <is>
          <t>1302022</t>
        </is>
      </c>
      <c r="B31" s="10" t="inlineStr">
        <is>
          <t>W73P</t>
        </is>
      </c>
      <c r="C31" s="10" t="inlineStr">
        <is>
          <t>DECT IP phone</t>
        </is>
      </c>
      <c r="D31" s="9" t="inlineStr">
        <is>
          <t>VoIP telefony (SIP stolní telefony, DECT ručky a základnové stanice, Wi-Fi a 4G IP telefony)</t>
        </is>
      </c>
      <c r="E31" s="10" t="inlineStr">
        <is>
          <t>85171800</t>
        </is>
      </c>
      <c r="F31" s="12" t="n">
        <v>202</v>
      </c>
      <c r="G31" s="11" t="n">
        <v>138.37</v>
      </c>
      <c r="H31" s="11" t="n">
        <v>162.21</v>
      </c>
      <c r="I31" s="11" t="n">
        <v>14400</v>
      </c>
      <c r="J31" s="10" t="inlineStr">
        <is>
          <t>8517 1100</t>
        </is>
      </c>
    </row>
    <row r="32">
      <c r="A32" s="10" t="inlineStr">
        <is>
          <t>1302023</t>
        </is>
      </c>
      <c r="B32" s="10" t="inlineStr">
        <is>
          <t>W78H</t>
        </is>
      </c>
      <c r="C32" s="10" t="inlineStr">
        <is>
          <t>DECT IP phone</t>
        </is>
      </c>
      <c r="D32" s="9" t="inlineStr">
        <is>
          <t>VoIP telefony (SIP stolní telefony, DECT ručky a základnové stanice, Wi-Fi a 4G IP telefony)</t>
        </is>
      </c>
      <c r="E32" s="10" t="inlineStr">
        <is>
          <t>85171800</t>
        </is>
      </c>
      <c r="F32" s="12" t="n">
        <v>10</v>
      </c>
      <c r="G32" s="11" t="n">
        <v>3.45</v>
      </c>
      <c r="H32" s="11" t="n">
        <v>4.43</v>
      </c>
      <c r="I32" s="11" t="n">
        <v>650</v>
      </c>
      <c r="J32" s="10" t="inlineStr">
        <is>
          <t>8517 1100</t>
        </is>
      </c>
    </row>
    <row r="33">
      <c r="A33" s="10" t="inlineStr">
        <is>
          <t>1302026</t>
        </is>
      </c>
      <c r="B33" s="10" t="inlineStr">
        <is>
          <t>W78P</t>
        </is>
      </c>
      <c r="C33" s="10" t="inlineStr">
        <is>
          <t>DECT IP phone</t>
        </is>
      </c>
      <c r="D33" s="9" t="inlineStr">
        <is>
          <t>VoIP telefony (SIP stolní telefony, DECT ručky a základnové stanice, Wi-Fi a 4G IP telefony)</t>
        </is>
      </c>
      <c r="E33" s="10" t="inlineStr">
        <is>
          <t>85171800</t>
        </is>
      </c>
      <c r="F33" s="12" t="n">
        <v>10</v>
      </c>
      <c r="G33" s="11" t="n">
        <v>6.83</v>
      </c>
      <c r="H33" s="11" t="n">
        <v>8.039999999999999</v>
      </c>
      <c r="I33" s="11" t="n">
        <v>970</v>
      </c>
      <c r="J33" s="10" t="inlineStr">
        <is>
          <t>8517 1100</t>
        </is>
      </c>
    </row>
    <row r="34">
      <c r="A34" s="10" t="inlineStr">
        <is>
          <t>1302015</t>
        </is>
      </c>
      <c r="B34" s="10" t="inlineStr">
        <is>
          <t>W90B</t>
        </is>
      </c>
      <c r="C34" s="10" t="inlineStr">
        <is>
          <t>DECT IP multi-cell base station</t>
        </is>
      </c>
      <c r="D34" s="9" t="inlineStr">
        <is>
          <t>VoIP telefony (SIP stolní telefony, DECT ručky a základnové stanice, Wi-Fi a 4G IP telefony)</t>
        </is>
      </c>
      <c r="E34" s="10" t="inlineStr">
        <is>
          <t>85171800</t>
        </is>
      </c>
      <c r="F34" s="12" t="n">
        <v>1</v>
      </c>
      <c r="G34" s="11" t="n">
        <v>0.3</v>
      </c>
      <c r="H34" s="11" t="n">
        <v>0.37</v>
      </c>
      <c r="I34" s="11" t="n">
        <v>173</v>
      </c>
      <c r="J34" s="10" t="inlineStr">
        <is>
          <t>8517 6100</t>
        </is>
      </c>
    </row>
    <row r="35">
      <c r="A35" s="6" t="inlineStr">
        <is>
          <t>1308023</t>
        </is>
      </c>
      <c r="B35" s="6" t="inlineStr">
        <is>
          <t>YHS34 Dual</t>
        </is>
      </c>
      <c r="C35" s="6" t="inlineStr">
        <is>
          <t>Headset</t>
        </is>
      </c>
      <c r="D35" s="5" t="inlineStr">
        <is>
          <t>Sluchátka kombinovaná (náhlavní soupravy s QD-RJ9 konektory)</t>
        </is>
      </c>
      <c r="E35" s="6" t="inlineStr">
        <is>
          <t>85183000</t>
        </is>
      </c>
      <c r="F35" s="8" t="n">
        <v>10</v>
      </c>
      <c r="G35" s="7" t="n">
        <v>1.78</v>
      </c>
      <c r="H35" s="7" t="n">
        <v>2.42</v>
      </c>
      <c r="I35" s="7" t="n">
        <v>220</v>
      </c>
      <c r="J35" s="6" t="inlineStr">
        <is>
          <t>8518 30 00 90</t>
        </is>
      </c>
    </row>
    <row r="36">
      <c r="A36" s="6" t="inlineStr">
        <is>
          <t>1308022</t>
        </is>
      </c>
      <c r="B36" s="6" t="inlineStr">
        <is>
          <t>YHS34 Mono</t>
        </is>
      </c>
      <c r="C36" s="6" t="inlineStr">
        <is>
          <t>Headset</t>
        </is>
      </c>
      <c r="D36" s="5" t="inlineStr">
        <is>
          <t>Sluchátka kombinovaná (náhlavní soupravy s QD-RJ9 konektory)</t>
        </is>
      </c>
      <c r="E36" s="6" t="inlineStr">
        <is>
          <t>85183000</t>
        </is>
      </c>
      <c r="F36" s="8" t="n">
        <v>10</v>
      </c>
      <c r="G36" s="7" t="n">
        <v>1.57</v>
      </c>
      <c r="H36" s="7" t="n">
        <v>2.18</v>
      </c>
      <c r="I36" s="7" t="n">
        <v>160</v>
      </c>
      <c r="J36" s="6" t="inlineStr">
        <is>
          <t>8518 30 00 90</t>
        </is>
      </c>
    </row>
    <row r="37">
      <c r="A37" s="6" t="inlineStr">
        <is>
          <t>1308231</t>
        </is>
      </c>
      <c r="B37" s="6" t="inlineStr">
        <is>
          <t>YHS36 E2 Dual</t>
        </is>
      </c>
      <c r="C37" s="6" t="inlineStr">
        <is>
          <t>Analog wired headset</t>
        </is>
      </c>
      <c r="D37" s="5" t="inlineStr">
        <is>
          <t>Sluchátka kombinovaná (náhlavní soupravy s QD-RJ9 konektory)</t>
        </is>
      </c>
      <c r="E37" s="6" t="inlineStr">
        <is>
          <t>85183000</t>
        </is>
      </c>
      <c r="F37" s="8" t="n">
        <v>10</v>
      </c>
      <c r="G37" s="7" t="n">
        <v>2.33</v>
      </c>
      <c r="H37" s="7" t="n">
        <v>3.02</v>
      </c>
      <c r="I37" s="7" t="n">
        <v>220</v>
      </c>
      <c r="J37" s="6" t="inlineStr">
        <is>
          <t>8518 3000</t>
        </is>
      </c>
    </row>
    <row r="38">
      <c r="A38" s="6" t="inlineStr">
        <is>
          <t>1308232</t>
        </is>
      </c>
      <c r="B38" s="6" t="inlineStr">
        <is>
          <t>YHS36 E2 Mono</t>
        </is>
      </c>
      <c r="C38" s="6" t="inlineStr">
        <is>
          <t>Analog wired headset</t>
        </is>
      </c>
      <c r="D38" s="5" t="inlineStr">
        <is>
          <t>Sluchátka kombinovaná (náhlavní soupravy s QD-RJ9 konektory)</t>
        </is>
      </c>
      <c r="E38" s="6" t="inlineStr">
        <is>
          <t>85183000</t>
        </is>
      </c>
      <c r="F38" s="8" t="n">
        <v>10</v>
      </c>
      <c r="G38" s="7" t="n">
        <v>1.9</v>
      </c>
      <c r="H38" s="7" t="n">
        <v>2.58</v>
      </c>
      <c r="I38" s="7" t="n">
        <v>180</v>
      </c>
      <c r="J38" s="6" t="inlineStr">
        <is>
          <t>8518 3000</t>
        </is>
      </c>
    </row>
    <row r="39">
      <c r="A39" s="14" t="n"/>
      <c r="B39" s="14" t="n"/>
      <c r="C39" s="14" t="inlineStr">
        <is>
          <t>CELKEM</t>
        </is>
      </c>
      <c r="D39" s="13" t="n"/>
      <c r="E39" s="14" t="n"/>
      <c r="F39" s="16">
        <f>SUM(F2:F38)</f>
        <v/>
      </c>
      <c r="G39" s="15">
        <f>SUM(G2:G38)</f>
        <v/>
      </c>
      <c r="H39" s="15">
        <f>SUM(H2:H38)</f>
        <v/>
      </c>
      <c r="I39" s="15">
        <f>SUM(I2:I38)</f>
        <v/>
      </c>
      <c r="J39" s="14" t="n"/>
    </row>
    <row r="41">
      <c r="A41" s="17" t="inlineStr">
        <is>
          <t>Žlutě zvýrazněné řádky = HS kód klienta se liší od kódu navrženého na faktuře Yealink.</t>
        </is>
      </c>
    </row>
    <row r="42">
      <c r="A42" s="17" t="inlineStr">
        <is>
          <t>Zdroj: faktura INVPCV-260729A1 (množství, hodnota) + packing list PCV-260729A (hmotnosti, sečteno přes palety).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120" customWidth="1" min="1" max="1"/>
    <col width="3" customWidth="1" min="2" max="2"/>
    <col width="3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</cols>
  <sheetData>
    <row r="1">
      <c r="A1" s="1" t="inlineStr">
        <is>
          <t>DŮLEŽITÉ POZNÁMKY K ODBAVENÍ</t>
        </is>
      </c>
    </row>
    <row r="3">
      <c r="A3" s="18" t="inlineStr">
        <is>
          <t>1) PREFERENČNÍ PŮVOD (COO) – preferenční věta NENALEZENA</t>
        </is>
      </c>
    </row>
    <row r="4">
      <c r="A4" s="3" t="inlineStr">
        <is>
          <t>V dodaných dokladech (faktura INVPCV-260729A1, packing list, B/L XMPR26080030) NENÍ uvedena preferenční věta.</t>
        </is>
      </c>
    </row>
    <row r="5">
      <c r="A5" s="3" t="inlineStr">
        <is>
          <t>Země původu je ČÍNA. EU nemá s Čínou preferenční dohodu, preferenční sazební zacházení tedy není možné.</t>
        </is>
      </c>
    </row>
    <row r="6">
      <c r="A6" s="3" t="inlineStr">
        <is>
          <t>→ Uplatní se standardní celní sazba pro třetí země (erga omnes). Sazby ověřte v TARIC k datu propuštění.</t>
        </is>
      </c>
    </row>
    <row r="7">
      <c r="A7" s="3" t="inlineStr">
        <is>
          <t>Většina položek (kap. 8517 / 8518 / 8504) je v rámci ITA bezcelní; jedinou potenciálně clem zatíženou položkou je podlahový stojan.</t>
        </is>
      </c>
    </row>
    <row r="9">
      <c r="A9" s="18" t="inlineStr">
        <is>
          <t>2) CBAM – PŘÍJEMCE NENÍ V REGISTRU</t>
        </is>
      </c>
    </row>
    <row r="10">
      <c r="A10" s="3" t="inlineStr">
        <is>
          <t>PCV Computers, s.r.o. (DIČ CZ26084121) NEBYL nalezen v reference/CBAM_receivers_CZ.xlsx, list List1 –</t>
        </is>
      </c>
    </row>
    <row r="11">
      <c r="A11" s="3" t="inlineStr">
        <is>
          <t>ani podle sloupce Firma, ani podle EORI. Není ani mezi společnostmi využívajícími sdílený účet CBAM-CZ-2025-QGM67089385721.</t>
        </is>
      </c>
    </row>
    <row r="12">
      <c r="A12" s="3" t="inlineStr">
        <is>
          <t>→ Nelze uvést žádný Y kód (Y128 / Y238 / Y137). Prosím ověřte firmu a doplňte ji do registru.</t>
        </is>
      </c>
    </row>
    <row r="13">
      <c r="A13" s="3" t="inlineStr">
        <is>
          <t>Podle HS kódů klienta CBAM na tuto zásilku nedopadá (8504 / 8517 / 8518 / 9403 nejsou zbožím dle přílohy I CBAM).</t>
        </is>
      </c>
    </row>
    <row r="14">
      <c r="A14" s="3" t="inlineStr">
        <is>
          <t>ALE: Yealink navrhoval pro podlahový stojan MB-FS-P650T kód 7326 90 98 (výrobky ze železa/oceli) – to JE zboží podléhající CBAM.</t>
        </is>
      </c>
    </row>
    <row r="15">
      <c r="A15" s="3" t="inlineStr">
        <is>
          <t>→ Pokud by se stojan deklaroval v kapitole 73, CBAM povinnost vznikne a status příjemce bude nutné doložit. Čistá hmotnost stojanu je 31,60 kg.</t>
        </is>
      </c>
    </row>
    <row r="17">
      <c r="A17" s="18" t="inlineStr">
        <is>
          <t>3) HS KÓDY – ROZDÍLY OPROTI FAKTUŘE</t>
        </is>
      </c>
    </row>
    <row r="18">
      <c r="A18" s="3" t="inlineStr">
        <is>
          <t>Faktura Yealink výslovně uvádí, že jde pouze o návrh a že o zařazení rozhoduje dovozce.</t>
        </is>
      </c>
    </row>
    <row r="19">
      <c r="A19" s="3" t="inlineStr">
        <is>
          <t>Použity jsou HS kódy z dokumentu klienta. Odlišné položky (zvýrazněny na listu Položky):</t>
        </is>
      </c>
    </row>
    <row r="20">
      <c r="A20" s="3" t="inlineStr">
        <is>
          <t xml:space="preserve">   • MB-FS-P650T – podlahový stojan: klient 9403 20 80 (kovový nábytek) × Yealink 7326 90 98 (ocel). Zásadní pro clo i CBAM.</t>
        </is>
      </c>
    </row>
    <row r="21">
      <c r="A21" s="3" t="inlineStr">
        <is>
          <t xml:space="preserve">   • Leather Ear Cushion – náušník: klient 8518 30 95 (sluchátka) × Yealink 8518 90 00 (části).</t>
        </is>
      </c>
    </row>
    <row r="22">
      <c r="A22" s="3" t="inlineStr">
        <is>
          <t xml:space="preserve">   • W57R – odolná DECT ručka: klient 8518 30 95 (sluchátka) × Yealink 8517 1100 (telefony).</t>
        </is>
      </c>
    </row>
    <row r="23">
      <c r="A23" s="3" t="inlineStr">
        <is>
          <t xml:space="preserve">   • DECT ručky/stanice W71–W78, W90B, AX83H: klient 8517 18 00 × Yealink 8517 1100 / 8517 6100.</t>
        </is>
      </c>
    </row>
    <row r="24">
      <c r="A24" s="3" t="inlineStr">
        <is>
          <t xml:space="preserve">   • MSpeaker Pro: klient 8518 21 00 (jednoduché) × Yealink 8518 22 00 90 (vícenásobné).</t>
        </is>
      </c>
    </row>
    <row r="25">
      <c r="A25" s="3" t="inlineStr">
        <is>
          <t xml:space="preserve">   • PSU-5V/2A: klient 8504 40 60 × Yealink 8504 40 95 90.</t>
        </is>
      </c>
    </row>
    <row r="27">
      <c r="A27" s="18" t="inlineStr">
        <is>
          <t>4) ČLENĚNÍ 8518 30 – KE KONTROLE</t>
        </is>
      </c>
    </row>
    <row r="28">
      <c r="A28" s="3" t="inlineStr">
        <is>
          <t>Klient uvádí dva kódy v rámci téže položky: 8518 30 00 (YHS34 / YHS36) a 8518 30 95 (BH70, BH71, náušník, W57R).</t>
        </is>
      </c>
    </row>
    <row r="29">
      <c r="A29" s="3" t="inlineStr">
        <is>
          <t>Obě podpoložky jsou v souhrnu ponechány odděleně tak, jak je klient dodal.</t>
        </is>
      </c>
    </row>
    <row r="30">
      <c r="A30" s="3" t="inlineStr">
        <is>
          <t>→ Před podáním celního prohlášení ověřte platné členění 8518 30 v TARIC; sazebně jsou obě v rámci ITA bezcelní.</t>
        </is>
      </c>
    </row>
    <row r="32">
      <c r="A32" s="18" t="inlineStr">
        <is>
          <t>5) ANTIDUMPING</t>
        </is>
      </c>
    </row>
    <row r="33">
      <c r="A33" s="3" t="inlineStr">
        <is>
          <t>Pro CN kódy použité v této zásilce (8504 40 60, 8517 18 00, 8517 62 00, 8518 10 30, 8518 21 00, 8518 30, 9403 20 80)</t>
        </is>
      </c>
    </row>
    <row r="34">
      <c r="A34" s="3" t="inlineStr">
        <is>
          <t>s původem Čína nebyla identifikována žádná antidumpingová opatření.</t>
        </is>
      </c>
    </row>
    <row r="35">
      <c r="A35" s="3" t="inlineStr">
        <is>
          <t>→ Pokud by byl podlahový stojan přeřazen do kapitoly 73, ověřte antidumping i CBAM v TARIC samostatně.</t>
        </is>
      </c>
    </row>
    <row r="37">
      <c r="A37" s="18" t="inlineStr">
        <is>
          <t>6) CELNÍ HODNOTA A DALŠÍ</t>
        </is>
      </c>
    </row>
    <row r="38">
      <c r="A38" s="3" t="inlineStr">
        <is>
          <t>Dodací podmínka FOB Xiamen, China (Incoterms 2020), přepravné je collect –</t>
        </is>
      </c>
    </row>
    <row r="39">
      <c r="A39" s="3" t="inlineStr">
        <is>
          <t>k fakturované hodnotě USD 69 882 je nutné pro celní hodnotu připočíst přepravné a pojištění k hranici EU.</t>
        </is>
      </c>
    </row>
    <row r="40">
      <c r="A40" s="3" t="inlineStr">
        <is>
          <t>Žádná obchodní sleva není v dokladech uvedena, poměrné rozpuštění slevy se tedy neuplatňuje.</t>
        </is>
      </c>
    </row>
    <row r="41">
      <c r="A41" s="3" t="inlineStr">
        <is>
          <t>Dle instrukce k odbavení: požadováno JSD (volný oběh), doručení PCV Computers, Za Otýlií 2874/6, 370 01 České Budějovice, 9:00–16:30.</t>
        </is>
      </c>
    </row>
    <row r="42">
      <c r="A42" s="3" t="inlineStr">
        <is>
          <t>Drobný rozdíl v objemu: packing list uvádí 11,453 CBM, B/L 10,300 CBM. Hrubá hmotnost 1 391,49 kg souhlasí v obou dokladech.</t>
        </is>
      </c>
    </row>
  </sheetData>
  <mergeCells count="35">
    <mergeCell ref="A9:H9"/>
    <mergeCell ref="A30:H30"/>
    <mergeCell ref="A39:H39"/>
    <mergeCell ref="A15:H15"/>
    <mergeCell ref="A24:H24"/>
    <mergeCell ref="A11:H11"/>
    <mergeCell ref="A6:H6"/>
    <mergeCell ref="A7:H7"/>
    <mergeCell ref="A25:H25"/>
    <mergeCell ref="A41:H41"/>
    <mergeCell ref="A37:H37"/>
    <mergeCell ref="A27:H27"/>
    <mergeCell ref="A12:H12"/>
    <mergeCell ref="A18:H18"/>
    <mergeCell ref="A3:H3"/>
    <mergeCell ref="A21:H21"/>
    <mergeCell ref="A42:H42"/>
    <mergeCell ref="A33:H33"/>
    <mergeCell ref="A14:H14"/>
    <mergeCell ref="A5:H5"/>
    <mergeCell ref="A23:H23"/>
    <mergeCell ref="A32:H32"/>
    <mergeCell ref="A22:H22"/>
    <mergeCell ref="A17:H17"/>
    <mergeCell ref="A40:H40"/>
    <mergeCell ref="A4:H4"/>
    <mergeCell ref="A29:H29"/>
    <mergeCell ref="A35:H35"/>
    <mergeCell ref="A20:H20"/>
    <mergeCell ref="A38:H38"/>
    <mergeCell ref="A10:H10"/>
    <mergeCell ref="A28:H28"/>
    <mergeCell ref="A13:H13"/>
    <mergeCell ref="A19:H19"/>
    <mergeCell ref="A34:H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2026-09-09T17:20:47Z</dcterms:created>
  <dcterms:modified xmlns:dcterms="http://purl.org/dc/terms/" xmlns:xsi="http://www.w3.org/2001/XMLSchema-instance" xsi:type="dcterms:W3CDTF">2026-09-09T17:20:47Z</dcterms:modified>
</cp:coreProperties>
</file>