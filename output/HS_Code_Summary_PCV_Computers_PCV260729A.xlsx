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ouhrn HS kódů" sheetId="1" state="visible" r:id="rId3"/>
    <sheet name="Položky" sheetId="2" state="visible" r:id="rId4"/>
    <sheet name="Poznámky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<sst xmlns="http://schemas.openxmlformats.org/spreadsheetml/2006/main" count="364" uniqueCount="220">
  <si>
    <t xml:space="preserve">SOUHRN HS KÓDŮ – PCV Computers, s.r.o.</t>
  </si>
  <si>
    <t xml:space="preserve">Odesílatel (sender):</t>
  </si>
  <si>
    <t xml:space="preserve">YEALINK (XIAMEN) NETWORK TECHNOLOGY CO., LTD, Xiamen, China</t>
  </si>
  <si>
    <t xml:space="preserve">Příjemce (CZ receiver):</t>
  </si>
  <si>
    <t xml:space="preserve">PCV COMPUTERS, S.R.O., Rybná 682/14, 110 01 Praha – DIČ/TAX CZ26084121</t>
  </si>
  <si>
    <t xml:space="preserve">Faktura / PI / PO:</t>
  </si>
  <si>
    <t xml:space="preserve">INVPCV-260729A1 ze dne 30.07.2026  |  PI PCV-260729A  |  PO OBN2602528</t>
  </si>
  <si>
    <t xml:space="preserve">B/L:</t>
  </si>
  <si>
    <t xml:space="preserve">XMPR26080030 (J&amp;S Worldwide Logistics), COSCO AFRICA 104E, on board 11.08.2026</t>
  </si>
  <si>
    <t xml:space="preserve">Trasa:</t>
  </si>
  <si>
    <t xml:space="preserve">Xiamen, Čína → Praha, Česká republika (LCL, 7 palet = 144 kartonů)</t>
  </si>
  <si>
    <t xml:space="preserve">Incoterm:</t>
  </si>
  <si>
    <t xml:space="preserve">FOB Xiamen, China (Incoterms® 2020)</t>
  </si>
  <si>
    <t xml:space="preserve">Země původu:</t>
  </si>
  <si>
    <t xml:space="preserve">ČÍNA (CN)</t>
  </si>
  <si>
    <t xml:space="preserve">Měna:</t>
  </si>
  <si>
    <t xml:space="preserve">USD</t>
  </si>
  <si>
    <t xml:space="preserve">Preferenční původ:</t>
  </si>
  <si>
    <t xml:space="preserve">NE – v dokladech NENÍ preferenční věta (viz list Poznámky)</t>
  </si>
  <si>
    <t xml:space="preserve">CBAM – příjemce:</t>
  </si>
  <si>
    <t xml:space="preserve">PCV Computers, s.r.o. NENÍ v registru reference/CBAM_receivers_CZ.xlsx (viz list Poznámky)</t>
  </si>
  <si>
    <t xml:space="preserve">Odesílatel</t>
  </si>
  <si>
    <t xml:space="preserve">HS kód</t>
  </si>
  <si>
    <t xml:space="preserve">Popis zboží (CZ)</t>
  </si>
  <si>
    <t xml:space="preserve">Čistá hmotnost (kg)</t>
  </si>
  <si>
    <t xml:space="preserve">Hrubá hmotnost (kg)</t>
  </si>
  <si>
    <t xml:space="preserve">Množství (ks)</t>
  </si>
  <si>
    <t xml:space="preserve">Cena / celní hodnota (USD)</t>
  </si>
  <si>
    <t xml:space="preserve">Incoterm</t>
  </si>
  <si>
    <t xml:space="preserve">CBAM</t>
  </si>
  <si>
    <t xml:space="preserve">Antidumping</t>
  </si>
  <si>
    <t xml:space="preserve">Poznámka</t>
  </si>
  <si>
    <t xml:space="preserve">85044060</t>
  </si>
  <si>
    <t xml:space="preserve">Statický měnič – ostatní (napájecí adaptér 5V 2A)</t>
  </si>
  <si>
    <t xml:space="preserve">Ne</t>
  </si>
  <si>
    <t xml:space="preserve">85171800</t>
  </si>
  <si>
    <t xml:space="preserve">VoIP telefony (SIP stolní telefony, DECT ručky a základnové stanice, Wi-Fi a 4G IP telefony)</t>
  </si>
  <si>
    <t xml:space="preserve">Yealink navrhoval 8517 1100 / 8517 6100 pro DECT a W90B; klient sjednotil na 8517 18 00.</t>
  </si>
  <si>
    <t xml:space="preserve">85176200</t>
  </si>
  <si>
    <t xml:space="preserve">Přepínací přístroje pro drátové sítě (All-in-one MeetingBar, WiFi dongle pro sdílení prezentace)</t>
  </si>
  <si>
    <t xml:space="preserve">85181030</t>
  </si>
  <si>
    <t xml:space="preserve">Mikrofony (videokonferenční stolní mikrofon)</t>
  </si>
  <si>
    <t xml:space="preserve">85182100</t>
  </si>
  <si>
    <t xml:space="preserve">Reproduktory jednoduché (videokonferenční a konferenční reproduktor)</t>
  </si>
  <si>
    <t xml:space="preserve">Yealink navrhoval 8518 22 00 90 (vícenásobné reproduktory) pro MSpeaker Pro.</t>
  </si>
  <si>
    <t xml:space="preserve">85183000</t>
  </si>
  <si>
    <t xml:space="preserve">Sluchátka ostatní (bluetooth náhlavní soupravy, kožený náušník, SIP DECT odolná ručka)</t>
  </si>
  <si>
    <t xml:space="preserve">Ověřit členění vůči 8518 30 00 – viz list Poznámky. Zahrnuje náušník (Yealink: 8518 90 00) a W57R (Yealink: 8517 1100).</t>
  </si>
  <si>
    <t xml:space="preserve">94032080</t>
  </si>
  <si>
    <t xml:space="preserve">Kovový nábytek – rack (mobilní podlahový stojan pro MeetingBoard 65 Pro)</t>
  </si>
  <si>
    <t xml:space="preserve">Ne – viz poznámka</t>
  </si>
  <si>
    <t xml:space="preserve">Ne – ověřit v TARIC při zařazení do kap. 73</t>
  </si>
  <si>
    <t xml:space="preserve">POZOR: Yealink navrhoval 7326 90 98 (ocel) = zboží podléhající CBAM. Při zařazení do 9403 20 80 CBAM neplatí. Jediná celně nenulová položka zásilky.</t>
  </si>
  <si>
    <t xml:space="preserve">CELKEM</t>
  </si>
  <si>
    <t xml:space="preserve">KONTROLA PROTI DOKLADŮM</t>
  </si>
  <si>
    <t xml:space="preserve">Netto (kg)</t>
  </si>
  <si>
    <t xml:space="preserve">Brutto (kg)</t>
  </si>
  <si>
    <t xml:space="preserve">Hodnota (USD)</t>
  </si>
  <si>
    <t xml:space="preserve">Součet tohoto souhrnu</t>
  </si>
  <si>
    <t xml:space="preserve">Doklady (PL / faktura / B/L)</t>
  </si>
  <si>
    <t xml:space="preserve">Rozdíl (musí být 0)</t>
  </si>
  <si>
    <t xml:space="preserve">Zásilka má jediného odesílatele (Yealink Xiamen), proto je celý souhrn jedním blokem; HS kódy jsou sloučeny na unikátní řádky.</t>
  </si>
  <si>
    <t xml:space="preserve">HS kódy a české popisy převzaty z dokumentu klienta „PCV Computers – HS kódy“ (J. Bestrejková, 17.08.2026); mají přednost před kódy navrženými na faktuře Yealink.</t>
  </si>
  <si>
    <t xml:space="preserve">Hmotnosti sečteny z packing listu (jeden model může být na více paletách); hodnoty z faktury INVPCV-260729A1.</t>
  </si>
  <si>
    <t xml:space="preserve">Fakturovaná hodnota je FOB Xiamen – pro celní hodnotu je nutné připočíst přepravné a pojištění k hranici EU (freight collect).</t>
  </si>
  <si>
    <t xml:space="preserve">Žádná obchodní sleva není v dokladech uvedena – poměrné rozpuštění slevy se neuplatňuje.</t>
  </si>
  <si>
    <t xml:space="preserve">Kontrolní blok výše musí vykazovat nulový rozdíl proti packing listu, faktuře a B/L – jinak je v deklaraci chyba.</t>
  </si>
  <si>
    <t xml:space="preserve">Part Number</t>
  </si>
  <si>
    <t xml:space="preserve">Model</t>
  </si>
  <si>
    <t xml:space="preserve">Popis (EN)</t>
  </si>
  <si>
    <t xml:space="preserve">Popis CN (CZ)</t>
  </si>
  <si>
    <t xml:space="preserve">HS kód (klient)</t>
  </si>
  <si>
    <t xml:space="preserve">HS kód dle faktury Yealink</t>
  </si>
  <si>
    <t xml:space="preserve">1206675</t>
  </si>
  <si>
    <t xml:space="preserve">A40-010</t>
  </si>
  <si>
    <t xml:space="preserve">Video conferencing system</t>
  </si>
  <si>
    <t xml:space="preserve">8517 62 00</t>
  </si>
  <si>
    <t xml:space="preserve">1301013</t>
  </si>
  <si>
    <t xml:space="preserve">AX83H</t>
  </si>
  <si>
    <t xml:space="preserve">Wi-Fi IP phone</t>
  </si>
  <si>
    <t xml:space="preserve">8517 11 00 00</t>
  </si>
  <si>
    <t xml:space="preserve">1208703</t>
  </si>
  <si>
    <t xml:space="preserve">BH70 Dual Teams USB-C/A</t>
  </si>
  <si>
    <t xml:space="preserve">Bluetooth headset</t>
  </si>
  <si>
    <t xml:space="preserve">8518 30 00 90</t>
  </si>
  <si>
    <t xml:space="preserve">1208709</t>
  </si>
  <si>
    <t xml:space="preserve">BH71 Pro USB-C/A</t>
  </si>
  <si>
    <t xml:space="preserve">3311059</t>
  </si>
  <si>
    <t xml:space="preserve">Leather Ear Cushion WH62/66</t>
  </si>
  <si>
    <t xml:space="preserve">Ear cushion</t>
  </si>
  <si>
    <t xml:space="preserve">8518 90 00</t>
  </si>
  <si>
    <t xml:space="preserve">3311083</t>
  </si>
  <si>
    <t xml:space="preserve">MB-FS-P650T</t>
  </si>
  <si>
    <t xml:space="preserve">Floor stand</t>
  </si>
  <si>
    <t xml:space="preserve">7326 90 98</t>
  </si>
  <si>
    <t xml:space="preserve">1306038</t>
  </si>
  <si>
    <t xml:space="preserve">MSpeaker Pro</t>
  </si>
  <si>
    <t xml:space="preserve">Video conferencing soundbar</t>
  </si>
  <si>
    <t xml:space="preserve">8518 22 00 90</t>
  </si>
  <si>
    <t xml:space="preserve">1303185</t>
  </si>
  <si>
    <t xml:space="preserve">PA20</t>
  </si>
  <si>
    <t xml:space="preserve">Presentation assistant</t>
  </si>
  <si>
    <t xml:space="preserve">8517 62 00 00</t>
  </si>
  <si>
    <t xml:space="preserve">33150008</t>
  </si>
  <si>
    <t xml:space="preserve">PSU-5V/2A-DC5.5(1.8M)</t>
  </si>
  <si>
    <t xml:space="preserve">Power adapter</t>
  </si>
  <si>
    <t xml:space="preserve">8504 40 95 90</t>
  </si>
  <si>
    <t xml:space="preserve">1301049</t>
  </si>
  <si>
    <t xml:space="preserve">SIP-T31</t>
  </si>
  <si>
    <t xml:space="preserve">Classic IP phone</t>
  </si>
  <si>
    <t xml:space="preserve">8517 1800</t>
  </si>
  <si>
    <t xml:space="preserve">1301044</t>
  </si>
  <si>
    <t xml:space="preserve">SIP-T31G</t>
  </si>
  <si>
    <t xml:space="preserve">1301043</t>
  </si>
  <si>
    <t xml:space="preserve">SIP-T31P</t>
  </si>
  <si>
    <t xml:space="preserve">1301046</t>
  </si>
  <si>
    <t xml:space="preserve">SIP-T33G</t>
  </si>
  <si>
    <t xml:space="preserve">1301012</t>
  </si>
  <si>
    <t xml:space="preserve">SIP-T73U</t>
  </si>
  <si>
    <t xml:space="preserve">Ultra business phone</t>
  </si>
  <si>
    <t xml:space="preserve">8517 18 00 00</t>
  </si>
  <si>
    <t xml:space="preserve">1301009</t>
  </si>
  <si>
    <t xml:space="preserve">SIP-T73W</t>
  </si>
  <si>
    <t xml:space="preserve">1301222</t>
  </si>
  <si>
    <t xml:space="preserve">SIP-T74U</t>
  </si>
  <si>
    <t xml:space="preserve">1301010</t>
  </si>
  <si>
    <t xml:space="preserve">SIP-T74W</t>
  </si>
  <si>
    <t xml:space="preserve">1301011</t>
  </si>
  <si>
    <t xml:space="preserve">SIP-T77U</t>
  </si>
  <si>
    <t xml:space="preserve">1301230</t>
  </si>
  <si>
    <t xml:space="preserve">SIP-T88V Pro</t>
  </si>
  <si>
    <t xml:space="preserve">Ultra smart business phone</t>
  </si>
  <si>
    <t xml:space="preserve">1301226</t>
  </si>
  <si>
    <t xml:space="preserve">SIP-T88W</t>
  </si>
  <si>
    <t xml:space="preserve">1301228</t>
  </si>
  <si>
    <t xml:space="preserve">SIP-T88W Pro</t>
  </si>
  <si>
    <t xml:space="preserve">1308171</t>
  </si>
  <si>
    <t xml:space="preserve">SP96 USB-C/A</t>
  </si>
  <si>
    <t xml:space="preserve">USB speakerphone</t>
  </si>
  <si>
    <t xml:space="preserve">8518 2100</t>
  </si>
  <si>
    <t xml:space="preserve">1301225</t>
  </si>
  <si>
    <t xml:space="preserve">T74LTE</t>
  </si>
  <si>
    <t xml:space="preserve">4G LTE desk phone</t>
  </si>
  <si>
    <t xml:space="preserve">1303322</t>
  </si>
  <si>
    <t xml:space="preserve">VCM35 Pro</t>
  </si>
  <si>
    <t xml:space="preserve">Video conf. microphone array</t>
  </si>
  <si>
    <t xml:space="preserve">8518 1000 90</t>
  </si>
  <si>
    <t xml:space="preserve">1303291</t>
  </si>
  <si>
    <t xml:space="preserve">VCM36-W Pro Package</t>
  </si>
  <si>
    <t xml:space="preserve">Wireless video conf. mic array</t>
  </si>
  <si>
    <t xml:space="preserve">1302007</t>
  </si>
  <si>
    <t xml:space="preserve">W57R</t>
  </si>
  <si>
    <t xml:space="preserve">DECT IP phone (rugged handset)</t>
  </si>
  <si>
    <t xml:space="preserve">8517 1100</t>
  </si>
  <si>
    <t xml:space="preserve">1302028</t>
  </si>
  <si>
    <t xml:space="preserve">W71H</t>
  </si>
  <si>
    <t xml:space="preserve">DECT IP phone</t>
  </si>
  <si>
    <t xml:space="preserve">1302031</t>
  </si>
  <si>
    <t xml:space="preserve">W71P</t>
  </si>
  <si>
    <t xml:space="preserve">1302021</t>
  </si>
  <si>
    <t xml:space="preserve">W73H</t>
  </si>
  <si>
    <t xml:space="preserve">1302022</t>
  </si>
  <si>
    <t xml:space="preserve">W73P</t>
  </si>
  <si>
    <t xml:space="preserve">1302023</t>
  </si>
  <si>
    <t xml:space="preserve">W78H</t>
  </si>
  <si>
    <t xml:space="preserve">1302026</t>
  </si>
  <si>
    <t xml:space="preserve">W78P</t>
  </si>
  <si>
    <t xml:space="preserve">1302015</t>
  </si>
  <si>
    <t xml:space="preserve">W90B</t>
  </si>
  <si>
    <t xml:space="preserve">DECT IP multi-cell base station</t>
  </si>
  <si>
    <t xml:space="preserve">8517 6100</t>
  </si>
  <si>
    <t xml:space="preserve">1308023</t>
  </si>
  <si>
    <t xml:space="preserve">YHS34 Dual</t>
  </si>
  <si>
    <t xml:space="preserve">Headset</t>
  </si>
  <si>
    <t xml:space="preserve">1308022</t>
  </si>
  <si>
    <t xml:space="preserve">YHS34 Mono</t>
  </si>
  <si>
    <t xml:space="preserve">1308231</t>
  </si>
  <si>
    <t xml:space="preserve">YHS36 E2 Dual</t>
  </si>
  <si>
    <t xml:space="preserve">Analog wired headset</t>
  </si>
  <si>
    <t xml:space="preserve">8518 3000</t>
  </si>
  <si>
    <t xml:space="preserve">1308232</t>
  </si>
  <si>
    <t xml:space="preserve">YHS36 E2 Mono</t>
  </si>
  <si>
    <t xml:space="preserve">Žlutě zvýrazněné řádky = HS kód klienta se liší od kódu navrženého na faktuře Yealink.</t>
  </si>
  <si>
    <t xml:space="preserve">Zdroj: faktura INVPCV-260729A1 (množství, hodnota) + packing list PCV-260729A (hmotnosti, sečteno přes palety).</t>
  </si>
  <si>
    <t xml:space="preserve">DŮLEŽITÉ POZNÁMKY K ODBAVENÍ</t>
  </si>
  <si>
    <t xml:space="preserve">1) PREFERENČNÍ PŮVOD (COO) – preferenční věta NENALEZENA</t>
  </si>
  <si>
    <t xml:space="preserve">V dodaných dokladech (faktura INVPCV-260729A1, packing list, B/L XMPR26080030) NENÍ uvedena preferenční věta.</t>
  </si>
  <si>
    <t xml:space="preserve">Země původu je ČÍNA. EU nemá s Čínou preferenční dohodu, preferenční sazební zacházení tedy není možné.</t>
  </si>
  <si>
    <t xml:space="preserve">→ Uplatní se standardní celní sazba pro třetí země (erga omnes). Sazby ověřte v TARIC k datu propuštění.</t>
  </si>
  <si>
    <t xml:space="preserve">Většina položek (kap. 8517 / 8518 / 8504) je v rámci ITA bezcelní; jedinou potenciálně clem zatíženou položkou je podlahový stojan.</t>
  </si>
  <si>
    <t xml:space="preserve">2) CBAM – PŘÍJEMCE NENÍ V REGISTRU</t>
  </si>
  <si>
    <t xml:space="preserve">PCV Computers, s.r.o. (DIČ CZ26084121) NEBYL nalezen v reference/CBAM_receivers_CZ.xlsx, list List1 –</t>
  </si>
  <si>
    <t xml:space="preserve">ani podle sloupce Firma, ani podle EORI. Není ani mezi společnostmi využívajícími sdílený účet CBAM-CZ-2025-QGM67089385721.</t>
  </si>
  <si>
    <t xml:space="preserve">→ Nelze uvést žádný Y kód (Y128 / Y238 / Y137). Prosím ověřte firmu a doplňte ji do registru.</t>
  </si>
  <si>
    <t xml:space="preserve">Podle HS kódů klienta CBAM na tuto zásilku nedopadá (8504 / 8517 / 8518 / 9403 nejsou zbožím dle přílohy I CBAM).</t>
  </si>
  <si>
    <t xml:space="preserve">ALE: Yealink navrhoval pro podlahový stojan MB-FS-P650T kód 7326 90 98 (výrobky ze železa/oceli) – to JE zboží podléhající CBAM.</t>
  </si>
  <si>
    <t xml:space="preserve">→ Pokud by se stojan deklaroval v kapitole 73, CBAM povinnost vznikne a status příjemce bude nutné doložit. Čistá hmotnost stojanu je 31,60 kg.</t>
  </si>
  <si>
    <t xml:space="preserve">3) HS KÓDY – ROZDÍLY OPROTI FAKTUŘE</t>
  </si>
  <si>
    <t xml:space="preserve">Faktura Yealink výslovně uvádí, že jde pouze o návrh a že o zařazení rozhoduje dovozce.</t>
  </si>
  <si>
    <t xml:space="preserve">Použity jsou HS kódy z dokumentu klienta. Odlišné položky (zvýrazněny na listu Položky):</t>
  </si>
  <si>
    <t xml:space="preserve">   • MB-FS-P650T – podlahový stojan: klient 9403 20 80 (kovový nábytek) × Yealink 7326 90 98 (ocel). Zásadní pro clo i CBAM.</t>
  </si>
  <si>
    <t xml:space="preserve">   • Leather Ear Cushion – náušník: klient 8518 30 95 (sluchátka) × Yealink 8518 90 00 (části).</t>
  </si>
  <si>
    <t xml:space="preserve">   • W57R – odolná DECT ručka: klient 8518 30 95 (sluchátka) × Yealink 8517 1100 (telefony).</t>
  </si>
  <si>
    <t xml:space="preserve">   • DECT ručky/stanice W71–W78, W90B, AX83H: klient 8517 18 00 × Yealink 8517 1100 / 8517 6100.</t>
  </si>
  <si>
    <t xml:space="preserve">   • MSpeaker Pro: klient 8518 21 00 (jednoduché) × Yealink 8518 22 00 90 (vícenásobné).</t>
  </si>
  <si>
    <t xml:space="preserve">   • PSU-5V/2A: klient 8504 40 60 × Yealink 8504 40 95 90.</t>
  </si>
  <si>
    <t xml:space="preserve">4) ČLENĚNÍ 8518 30 – VYŘEŠENO, SLOUČENO</t>
  </si>
  <si>
    <t xml:space="preserve">Klientův seznam uváděl dva kódy: 8518 30 00 (YHS34 / YHS36) a 8518 30 95 (BH70, BH71, náušník, W57R).</t>
  </si>
  <si>
    <t xml:space="preserve">Podpoložka 8518 30 95 v TARIC neexistuje – potvrzeno klientem podle celního systému.</t>
  </si>
  <si>
    <t xml:space="preserve">→ Obě skupiny jsou proto sloučeny do jediného řádku 8518 30 00 (DK 90): 80 ks, 17,35 kg netto, 21,87 kg brutto, 2 870 USD.</t>
  </si>
  <si>
    <t xml:space="preserve">5) ANTIDUMPING</t>
  </si>
  <si>
    <t xml:space="preserve">Pro CN kódy použité v této zásilce (8504 40 60, 8517 18 00, 8517 62 00, 8518 10 30, 8518 21 00, 8518 30, 9403 20 80)</t>
  </si>
  <si>
    <t xml:space="preserve">s původem Čína nebyla identifikována žádná antidumpingová opatření.</t>
  </si>
  <si>
    <t xml:space="preserve">→ Pokud by byl podlahový stojan přeřazen do kapitoly 73, ověřte antidumping i CBAM v TARIC samostatně.</t>
  </si>
  <si>
    <t xml:space="preserve">6) CELNÍ HODNOTA A DALŠÍ</t>
  </si>
  <si>
    <t xml:space="preserve">Dodací podmínka FOB Xiamen, China (Incoterms 2020), přepravné je collect –</t>
  </si>
  <si>
    <t xml:space="preserve">k fakturované hodnotě USD 69 882 je nutné pro celní hodnotu připočíst přepravné a pojištění k hranici EU.</t>
  </si>
  <si>
    <t xml:space="preserve">Žádná obchodní sleva není v dokladech uvedena, poměrné rozpuštění slevy se tedy neuplatňuje.</t>
  </si>
  <si>
    <t xml:space="preserve">Dle instrukce k odbavení: požadováno JSD (volný oběh), doručení PCV Computers, Za Otýlií 2874/6, 370 01 České Budějovice, 9:00–16:30.</t>
  </si>
  <si>
    <t xml:space="preserve">Drobný rozdíl v objemu: packing list uvádí 11,453 CBM, B/L 10,300 CBM. Hrubá hmotnost 1 391,49 kg souhlasí v obou dokladech.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</si>
</sst>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.00"/>
    <numFmt numFmtId="166" formatCode="#,##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1"/>
      <color rgb="FFC00000"/>
      <name val="Arial"/>
      <family val="0"/>
      <charset val="1"/>
    </font>
    <font>
      <i val="true"/>
      <sz val="9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2CC"/>
        <bgColor rgb="FFFFFFFF"/>
      </patternFill>
    </fill>
    <fill>
      <patternFill patternType="solid">
        <fgColor rgb="FFD9E2F3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5" fontId="6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6" fontId="6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5" fontId="6" fillId="3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6" fontId="6" fillId="3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5" fontId="5" fillId="4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6" fontId="5" fillId="4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0B0B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3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4" topLeftCell="A1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2"/>
    <col collapsed="false" customWidth="true" hidden="false" outlineLevel="0" max="3" min="3" style="0" width="46"/>
    <col collapsed="false" customWidth="true" hidden="false" outlineLevel="0" max="5" min="4" style="0" width="13"/>
    <col collapsed="false" customWidth="true" hidden="false" outlineLevel="0" max="6" min="6" style="0" width="11"/>
    <col collapsed="false" customWidth="true" hidden="false" outlineLevel="0" max="7" min="7" style="0" width="16"/>
    <col collapsed="false" customWidth="true" hidden="false" outlineLevel="0" max="8" min="8" style="0" width="22"/>
    <col collapsed="false" customWidth="true" hidden="false" outlineLevel="0" max="9" min="9" style="0" width="10"/>
    <col collapsed="false" customWidth="true" hidden="false" outlineLevel="0" max="10" min="10" style="0" width="16"/>
    <col collapsed="false" customWidth="true" hidden="false" outlineLevel="0" max="11" min="11" style="0" width="52"/>
  </cols>
  <sheetData>
    <row r="1" customFormat="false" ht="17.35" hidden="false" customHeight="false" outlineLevel="0" collapsed="false">
      <c r="A1" s="1" t="s">
        <v>0</v>
      </c>
    </row>
    <row r="3" customFormat="false" ht="15" hidden="false" customHeight="false" outlineLevel="0" collapsed="false">
      <c r="A3" s="2" t="s">
        <v>1</v>
      </c>
      <c r="B3" s="3" t="s">
        <v>2</v>
      </c>
    </row>
    <row r="4" customFormat="false" ht="15" hidden="false" customHeight="false" outlineLevel="0" collapsed="false">
      <c r="A4" s="2" t="s">
        <v>3</v>
      </c>
      <c r="B4" s="3" t="s">
        <v>4</v>
      </c>
    </row>
    <row r="5" customFormat="false" ht="15" hidden="false" customHeight="false" outlineLevel="0" collapsed="false">
      <c r="A5" s="2" t="s">
        <v>5</v>
      </c>
      <c r="B5" s="3" t="s">
        <v>6</v>
      </c>
    </row>
    <row r="6" customFormat="false" ht="15" hidden="false" customHeight="false" outlineLevel="0" collapsed="false">
      <c r="A6" s="2" t="s">
        <v>7</v>
      </c>
      <c r="B6" s="3" t="s">
        <v>8</v>
      </c>
    </row>
    <row r="7" customFormat="false" ht="15" hidden="false" customHeight="false" outlineLevel="0" collapsed="false">
      <c r="A7" s="2" t="s">
        <v>9</v>
      </c>
      <c r="B7" s="3" t="s">
        <v>10</v>
      </c>
    </row>
    <row r="8" customFormat="false" ht="15" hidden="false" customHeight="false" outlineLevel="0" collapsed="false">
      <c r="A8" s="2" t="s">
        <v>11</v>
      </c>
      <c r="B8" s="3" t="s">
        <v>12</v>
      </c>
    </row>
    <row r="9" customFormat="false" ht="15" hidden="false" customHeight="false" outlineLevel="0" collapsed="false">
      <c r="A9" s="2" t="s">
        <v>13</v>
      </c>
      <c r="B9" s="3" t="s">
        <v>14</v>
      </c>
    </row>
    <row r="10" customFormat="false" ht="15" hidden="false" customHeight="false" outlineLevel="0" collapsed="false">
      <c r="A10" s="2" t="s">
        <v>15</v>
      </c>
      <c r="B10" s="3" t="s">
        <v>16</v>
      </c>
    </row>
    <row r="11" customFormat="false" ht="15" hidden="false" customHeight="false" outlineLevel="0" collapsed="false">
      <c r="A11" s="2" t="s">
        <v>17</v>
      </c>
      <c r="B11" s="3" t="s">
        <v>18</v>
      </c>
    </row>
    <row r="12" customFormat="false" ht="15" hidden="false" customHeight="false" outlineLevel="0" collapsed="false">
      <c r="A12" s="2" t="s">
        <v>19</v>
      </c>
      <c r="B12" s="3" t="s">
        <v>20</v>
      </c>
    </row>
    <row r="14" customFormat="false" ht="33.75" hidden="false" customHeight="true" outlineLevel="0" collapsed="false">
      <c r="A14" s="4" t="s">
        <v>21</v>
      </c>
      <c r="B14" s="4" t="s">
        <v>22</v>
      </c>
      <c r="C14" s="4" t="s">
        <v>23</v>
      </c>
      <c r="D14" s="4" t="s">
        <v>24</v>
      </c>
      <c r="E14" s="4" t="s">
        <v>25</v>
      </c>
      <c r="F14" s="4" t="s">
        <v>26</v>
      </c>
      <c r="G14" s="4" t="s">
        <v>27</v>
      </c>
      <c r="H14" s="4" t="s">
        <v>28</v>
      </c>
      <c r="I14" s="4" t="s">
        <v>29</v>
      </c>
      <c r="J14" s="4" t="s">
        <v>30</v>
      </c>
      <c r="K14" s="4" t="s">
        <v>31</v>
      </c>
    </row>
    <row r="15" customFormat="false" ht="23.85" hidden="false" customHeight="false" outlineLevel="0" collapsed="false">
      <c r="A15" s="5" t="s">
        <v>2</v>
      </c>
      <c r="B15" s="6" t="s">
        <v>32</v>
      </c>
      <c r="C15" s="5" t="s">
        <v>33</v>
      </c>
      <c r="D15" s="7" t="n">
        <f aca="false">SUMIFS(Položky!$G$2:$G$38,Položky!$E$2:$E$38,$B15)</f>
        <v>4.7</v>
      </c>
      <c r="E15" s="7" t="n">
        <f aca="false">SUMIFS(Položky!$H$2:$H$38,Položky!$E$2:$E$38,$B15)</f>
        <v>6.44</v>
      </c>
      <c r="F15" s="8" t="n">
        <f aca="false">SUMIFS(Položky!$F$2:$F$38,Položky!$E$2:$E$38,$B15)</f>
        <v>50</v>
      </c>
      <c r="G15" s="7" t="n">
        <f aca="false">SUMIFS(Položky!$I$2:$I$38,Položky!$E$2:$E$38,$B15)</f>
        <v>300</v>
      </c>
      <c r="H15" s="5" t="s">
        <v>12</v>
      </c>
      <c r="I15" s="6" t="s">
        <v>34</v>
      </c>
      <c r="J15" s="6" t="s">
        <v>34</v>
      </c>
      <c r="K15" s="5"/>
    </row>
    <row r="16" customFormat="false" ht="23.85" hidden="false" customHeight="false" outlineLevel="0" collapsed="false">
      <c r="A16" s="5" t="s">
        <v>2</v>
      </c>
      <c r="B16" s="6" t="s">
        <v>35</v>
      </c>
      <c r="C16" s="5" t="s">
        <v>36</v>
      </c>
      <c r="D16" s="7" t="n">
        <f aca="false">SUMIFS(Položky!$G$2:$G$38,Položky!$E$2:$E$38,$B16)</f>
        <v>1075.28</v>
      </c>
      <c r="E16" s="7" t="n">
        <f aca="false">SUMIFS(Položky!$H$2:$H$38,Položky!$E$2:$E$38,$B16)</f>
        <v>1304.39</v>
      </c>
      <c r="F16" s="8" t="n">
        <f aca="false">SUMIFS(Položky!$F$2:$F$38,Položky!$E$2:$E$38,$B16)</f>
        <v>1213</v>
      </c>
      <c r="G16" s="7" t="n">
        <f aca="false">SUMIFS(Položky!$I$2:$I$38,Položky!$E$2:$E$38,$B16)</f>
        <v>60464</v>
      </c>
      <c r="H16" s="5" t="s">
        <v>12</v>
      </c>
      <c r="I16" s="6" t="s">
        <v>34</v>
      </c>
      <c r="J16" s="6" t="s">
        <v>34</v>
      </c>
      <c r="K16" s="5" t="s">
        <v>37</v>
      </c>
    </row>
    <row r="17" customFormat="false" ht="23.85" hidden="false" customHeight="false" outlineLevel="0" collapsed="false">
      <c r="A17" s="5" t="s">
        <v>2</v>
      </c>
      <c r="B17" s="6" t="s">
        <v>38</v>
      </c>
      <c r="C17" s="5" t="s">
        <v>39</v>
      </c>
      <c r="D17" s="7" t="n">
        <f aca="false">SUMIFS(Položky!$G$2:$G$38,Položky!$E$2:$E$38,$B17)</f>
        <v>6.54</v>
      </c>
      <c r="E17" s="7" t="n">
        <f aca="false">SUMIFS(Položky!$H$2:$H$38,Položky!$E$2:$E$38,$B17)</f>
        <v>7.49</v>
      </c>
      <c r="F17" s="8" t="n">
        <f aca="false">SUMIFS(Položky!$F$2:$F$38,Položky!$E$2:$E$38,$B17)</f>
        <v>21</v>
      </c>
      <c r="G17" s="7" t="n">
        <f aca="false">SUMIFS(Položky!$I$2:$I$38,Položky!$E$2:$E$38,$B17)</f>
        <v>3980</v>
      </c>
      <c r="H17" s="5" t="s">
        <v>12</v>
      </c>
      <c r="I17" s="6" t="s">
        <v>34</v>
      </c>
      <c r="J17" s="6" t="s">
        <v>34</v>
      </c>
      <c r="K17" s="5"/>
    </row>
    <row r="18" customFormat="false" ht="23.85" hidden="false" customHeight="false" outlineLevel="0" collapsed="false">
      <c r="A18" s="5" t="s">
        <v>2</v>
      </c>
      <c r="B18" s="6" t="s">
        <v>40</v>
      </c>
      <c r="C18" s="5" t="s">
        <v>41</v>
      </c>
      <c r="D18" s="7" t="n">
        <f aca="false">SUMIFS(Položky!$G$2:$G$38,Položky!$E$2:$E$38,$B18)</f>
        <v>2.63</v>
      </c>
      <c r="E18" s="7" t="n">
        <f aca="false">SUMIFS(Položky!$H$2:$H$38,Položky!$E$2:$E$38,$B18)</f>
        <v>2.93</v>
      </c>
      <c r="F18" s="8" t="n">
        <f aca="false">SUMIFS(Položky!$F$2:$F$38,Položky!$E$2:$E$38,$B18)</f>
        <v>6</v>
      </c>
      <c r="G18" s="7" t="n">
        <f aca="false">SUMIFS(Položky!$I$2:$I$38,Položky!$E$2:$E$38,$B18)</f>
        <v>1200</v>
      </c>
      <c r="H18" s="5" t="s">
        <v>12</v>
      </c>
      <c r="I18" s="6" t="s">
        <v>34</v>
      </c>
      <c r="J18" s="6" t="s">
        <v>34</v>
      </c>
      <c r="K18" s="5"/>
    </row>
    <row r="19" customFormat="false" ht="23.85" hidden="false" customHeight="false" outlineLevel="0" collapsed="false">
      <c r="A19" s="5" t="s">
        <v>2</v>
      </c>
      <c r="B19" s="6" t="s">
        <v>42</v>
      </c>
      <c r="C19" s="5" t="s">
        <v>43</v>
      </c>
      <c r="D19" s="7" t="n">
        <f aca="false">SUMIFS(Položky!$G$2:$G$38,Položky!$E$2:$E$38,$B19)</f>
        <v>4.89</v>
      </c>
      <c r="E19" s="7" t="n">
        <f aca="false">SUMIFS(Položky!$H$2:$H$38,Položky!$E$2:$E$38,$B19)</f>
        <v>5.66</v>
      </c>
      <c r="F19" s="8" t="n">
        <f aca="false">SUMIFS(Položky!$F$2:$F$38,Položky!$E$2:$E$38,$B19)</f>
        <v>4</v>
      </c>
      <c r="G19" s="7" t="n">
        <f aca="false">SUMIFS(Položky!$I$2:$I$38,Položky!$E$2:$E$38,$B19)</f>
        <v>428</v>
      </c>
      <c r="H19" s="5" t="s">
        <v>12</v>
      </c>
      <c r="I19" s="6" t="s">
        <v>34</v>
      </c>
      <c r="J19" s="6" t="s">
        <v>34</v>
      </c>
      <c r="K19" s="5" t="s">
        <v>44</v>
      </c>
    </row>
    <row r="20" customFormat="false" ht="23.85" hidden="false" customHeight="false" outlineLevel="0" collapsed="false">
      <c r="A20" s="5" t="s">
        <v>2</v>
      </c>
      <c r="B20" s="6" t="s">
        <v>45</v>
      </c>
      <c r="C20" s="5" t="s">
        <v>46</v>
      </c>
      <c r="D20" s="7" t="n">
        <f aca="false">SUMIFS(Položky!$G$2:$G$38,Položky!$E$2:$E$38,$B20)</f>
        <v>17.35</v>
      </c>
      <c r="E20" s="7" t="n">
        <f aca="false">SUMIFS(Položky!$H$2:$H$38,Položky!$E$2:$E$38,$B20)</f>
        <v>21.87</v>
      </c>
      <c r="F20" s="8" t="n">
        <f aca="false">SUMIFS(Položky!$F$2:$F$38,Položky!$E$2:$E$38,$B20)</f>
        <v>120</v>
      </c>
      <c r="G20" s="7" t="n">
        <f aca="false">SUMIFS(Položky!$I$2:$I$38,Položky!$E$2:$E$38,$B20)</f>
        <v>2870</v>
      </c>
      <c r="H20" s="5" t="s">
        <v>12</v>
      </c>
      <c r="I20" s="6" t="s">
        <v>34</v>
      </c>
      <c r="J20" s="6" t="s">
        <v>34</v>
      </c>
      <c r="K20" s="5" t="s">
        <v>47</v>
      </c>
    </row>
    <row r="21" customFormat="false" ht="23.85" hidden="false" customHeight="false" outlineLevel="0" collapsed="false">
      <c r="A21" s="9" t="s">
        <v>2</v>
      </c>
      <c r="B21" s="10" t="s">
        <v>48</v>
      </c>
      <c r="C21" s="9" t="s">
        <v>49</v>
      </c>
      <c r="D21" s="11" t="n">
        <f aca="false">SUMIFS(Položky!$G$2:$G$38,Položky!$E$2:$E$38,$B21)</f>
        <v>31.6</v>
      </c>
      <c r="E21" s="11" t="n">
        <f aca="false">SUMIFS(Položky!$H$2:$H$38,Položky!$E$2:$E$38,$B21)</f>
        <v>42.71</v>
      </c>
      <c r="F21" s="12" t="n">
        <f aca="false">SUMIFS(Položky!$F$2:$F$38,Položky!$E$2:$E$38,$B21)</f>
        <v>2</v>
      </c>
      <c r="G21" s="11" t="n">
        <f aca="false">SUMIFS(Položky!$I$2:$I$38,Položky!$E$2:$E$38,$B21)</f>
        <v>640</v>
      </c>
      <c r="H21" s="9" t="s">
        <v>12</v>
      </c>
      <c r="I21" s="10" t="s">
        <v>50</v>
      </c>
      <c r="J21" s="10" t="s">
        <v>51</v>
      </c>
      <c r="K21" s="9" t="s">
        <v>52</v>
      </c>
    </row>
    <row r="22" customFormat="false" ht="15" hidden="false" customHeight="false" outlineLevel="0" collapsed="false">
      <c r="A22" s="13"/>
      <c r="B22" s="14"/>
      <c r="C22" s="13" t="s">
        <v>53</v>
      </c>
      <c r="D22" s="15" t="n">
        <f aca="false">SUM(D15:D21)</f>
        <v>1142.99</v>
      </c>
      <c r="E22" s="15" t="n">
        <f aca="false">SUM(E15:E21)</f>
        <v>1391.49</v>
      </c>
      <c r="F22" s="16" t="n">
        <f aca="false">SUM(F15:F21)</f>
        <v>1416</v>
      </c>
      <c r="G22" s="15" t="n">
        <f aca="false">SUM(G15:G21)</f>
        <v>69882</v>
      </c>
      <c r="H22" s="13"/>
      <c r="I22" s="14"/>
      <c r="J22" s="14"/>
      <c r="K22" s="13"/>
    </row>
    <row r="24" customFormat="false" ht="15" hidden="false" customHeight="false" outlineLevel="0" collapsed="false">
      <c r="C24" s="17" t="s">
        <v>54</v>
      </c>
      <c r="D24" s="18" t="s">
        <v>55</v>
      </c>
      <c r="E24" s="18" t="s">
        <v>56</v>
      </c>
      <c r="F24" s="19" t="s">
        <v>26</v>
      </c>
      <c r="G24" s="18" t="s">
        <v>57</v>
      </c>
    </row>
    <row r="25" customFormat="false" ht="15" hidden="false" customHeight="false" outlineLevel="0" collapsed="false">
      <c r="C25" s="20" t="s">
        <v>58</v>
      </c>
      <c r="D25" s="21" t="n">
        <f aca="false">D22</f>
        <v>1142.99</v>
      </c>
      <c r="E25" s="21" t="n">
        <f aca="false">E22</f>
        <v>1391.49</v>
      </c>
      <c r="F25" s="22" t="n">
        <f aca="false">F22</f>
        <v>1416</v>
      </c>
      <c r="G25" s="21" t="n">
        <f aca="false">G22</f>
        <v>69882</v>
      </c>
    </row>
    <row r="26" customFormat="false" ht="15" hidden="false" customHeight="false" outlineLevel="0" collapsed="false">
      <c r="C26" s="20" t="s">
        <v>59</v>
      </c>
      <c r="D26" s="21" t="n">
        <v>1142.99</v>
      </c>
      <c r="E26" s="21" t="n">
        <v>1391.49</v>
      </c>
      <c r="F26" s="22" t="n">
        <v>1416</v>
      </c>
      <c r="G26" s="21" t="n">
        <v>69882</v>
      </c>
    </row>
    <row r="27" customFormat="false" ht="15" hidden="false" customHeight="false" outlineLevel="0" collapsed="false">
      <c r="C27" s="23" t="s">
        <v>60</v>
      </c>
      <c r="D27" s="24" t="n">
        <f aca="false">D25-D26</f>
        <v>0</v>
      </c>
      <c r="E27" s="24" t="n">
        <f aca="false">E25-E26</f>
        <v>0</v>
      </c>
      <c r="F27" s="25" t="n">
        <f aca="false">F25-F26</f>
        <v>0</v>
      </c>
      <c r="G27" s="24" t="n">
        <f aca="false">G25-G26</f>
        <v>0</v>
      </c>
    </row>
    <row r="29" customFormat="false" ht="15" hidden="false" customHeight="false" outlineLevel="0" collapsed="false">
      <c r="A29" s="26" t="s">
        <v>61</v>
      </c>
      <c r="B29" s="26"/>
      <c r="C29" s="26"/>
      <c r="D29" s="26"/>
      <c r="E29" s="26"/>
      <c r="F29" s="26"/>
      <c r="G29" s="26"/>
      <c r="H29" s="26"/>
      <c r="I29" s="26"/>
      <c r="J29" s="26"/>
      <c r="K29" s="26"/>
    </row>
    <row r="30" customFormat="false" ht="15" hidden="false" customHeight="false" outlineLevel="0" collapsed="false">
      <c r="A30" s="26" t="s">
        <v>62</v>
      </c>
      <c r="B30" s="26"/>
      <c r="C30" s="26"/>
      <c r="D30" s="26"/>
      <c r="E30" s="26"/>
      <c r="F30" s="26"/>
      <c r="G30" s="26"/>
      <c r="H30" s="26"/>
      <c r="I30" s="26"/>
      <c r="J30" s="26"/>
      <c r="K30" s="26"/>
    </row>
    <row r="31" customFormat="false" ht="15" hidden="false" customHeight="false" outlineLevel="0" collapsed="false">
      <c r="A31" s="26" t="s">
        <v>63</v>
      </c>
      <c r="B31" s="26"/>
      <c r="C31" s="26"/>
      <c r="D31" s="26"/>
      <c r="E31" s="26"/>
      <c r="F31" s="26"/>
      <c r="G31" s="26"/>
      <c r="H31" s="26"/>
      <c r="I31" s="26"/>
      <c r="J31" s="26"/>
      <c r="K31" s="26"/>
    </row>
    <row r="32" customFormat="false" ht="15" hidden="false" customHeight="false" outlineLevel="0" collapsed="false">
      <c r="A32" s="26" t="s">
        <v>64</v>
      </c>
      <c r="B32" s="26"/>
      <c r="C32" s="26"/>
      <c r="D32" s="26"/>
      <c r="E32" s="26"/>
      <c r="F32" s="26"/>
      <c r="G32" s="26"/>
      <c r="H32" s="26"/>
      <c r="I32" s="26"/>
      <c r="J32" s="26"/>
      <c r="K32" s="26"/>
    </row>
    <row r="33" customFormat="false" ht="15" hidden="false" customHeight="false" outlineLevel="0" collapsed="false">
      <c r="A33" s="26" t="s">
        <v>65</v>
      </c>
      <c r="B33" s="26"/>
      <c r="C33" s="26"/>
      <c r="D33" s="26"/>
      <c r="E33" s="26"/>
      <c r="F33" s="26"/>
      <c r="G33" s="26"/>
      <c r="H33" s="26"/>
      <c r="I33" s="26"/>
      <c r="J33" s="26"/>
      <c r="K33" s="26"/>
    </row>
    <row r="34" customFormat="false" ht="15" hidden="false" customHeight="false" outlineLevel="0" collapsed="false">
      <c r="A34" s="26" t="s">
        <v>66</v>
      </c>
      <c r="B34" s="26"/>
      <c r="C34" s="26"/>
      <c r="D34" s="26"/>
      <c r="E34" s="26"/>
      <c r="F34" s="26"/>
      <c r="G34" s="26"/>
      <c r="H34" s="26"/>
      <c r="I34" s="26"/>
      <c r="J34" s="26"/>
      <c r="K34" s="26"/>
    </row>
  </sheetData>
  <mergeCells count="6">
    <mergeCell ref="A29:K29"/>
    <mergeCell ref="A30:K30"/>
    <mergeCell ref="A31:K31"/>
    <mergeCell ref="A32:K32"/>
    <mergeCell ref="A33:K33"/>
    <mergeCell ref="A34:K3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4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28"/>
    <col collapsed="false" customWidth="true" hidden="false" outlineLevel="0" max="3" min="3" style="0" width="30"/>
    <col collapsed="false" customWidth="true" hidden="false" outlineLevel="0" max="4" min="4" style="0" width="42"/>
    <col collapsed="false" customWidth="true" hidden="false" outlineLevel="0" max="5" min="5" style="0" width="15"/>
    <col collapsed="false" customWidth="true" hidden="false" outlineLevel="0" max="6" min="6" style="0" width="12"/>
    <col collapsed="false" customWidth="true" hidden="false" outlineLevel="0" max="8" min="7" style="0" width="15"/>
    <col collapsed="false" customWidth="true" hidden="false" outlineLevel="0" max="9" min="9" style="0" width="13"/>
    <col collapsed="false" customWidth="true" hidden="false" outlineLevel="0" max="10" min="10" style="0" width="20"/>
  </cols>
  <sheetData>
    <row r="1" customFormat="false" ht="31.5" hidden="false" customHeight="true" outlineLevel="0" collapsed="false">
      <c r="A1" s="4" t="s">
        <v>67</v>
      </c>
      <c r="B1" s="4" t="s">
        <v>68</v>
      </c>
      <c r="C1" s="4" t="s">
        <v>69</v>
      </c>
      <c r="D1" s="4" t="s">
        <v>70</v>
      </c>
      <c r="E1" s="4" t="s">
        <v>71</v>
      </c>
      <c r="F1" s="4" t="s">
        <v>26</v>
      </c>
      <c r="G1" s="4" t="s">
        <v>24</v>
      </c>
      <c r="H1" s="4" t="s">
        <v>25</v>
      </c>
      <c r="I1" s="4" t="s">
        <v>57</v>
      </c>
      <c r="J1" s="4" t="s">
        <v>72</v>
      </c>
    </row>
    <row r="2" customFormat="false" ht="23.85" hidden="false" customHeight="false" outlineLevel="0" collapsed="false">
      <c r="A2" s="6" t="s">
        <v>73</v>
      </c>
      <c r="B2" s="6" t="s">
        <v>74</v>
      </c>
      <c r="C2" s="6" t="s">
        <v>75</v>
      </c>
      <c r="D2" s="5" t="s">
        <v>39</v>
      </c>
      <c r="E2" s="6" t="s">
        <v>38</v>
      </c>
      <c r="F2" s="8" t="n">
        <v>1</v>
      </c>
      <c r="G2" s="7" t="n">
        <v>4.86</v>
      </c>
      <c r="H2" s="7" t="n">
        <v>5.68</v>
      </c>
      <c r="I2" s="7" t="n">
        <v>980</v>
      </c>
      <c r="J2" s="6" t="s">
        <v>76</v>
      </c>
    </row>
    <row r="3" customFormat="false" ht="23.85" hidden="false" customHeight="false" outlineLevel="0" collapsed="false">
      <c r="A3" s="10" t="s">
        <v>77</v>
      </c>
      <c r="B3" s="10" t="s">
        <v>78</v>
      </c>
      <c r="C3" s="10" t="s">
        <v>79</v>
      </c>
      <c r="D3" s="9" t="s">
        <v>36</v>
      </c>
      <c r="E3" s="10" t="s">
        <v>35</v>
      </c>
      <c r="F3" s="12" t="n">
        <v>16</v>
      </c>
      <c r="G3" s="11" t="n">
        <v>5.89</v>
      </c>
      <c r="H3" s="11" t="n">
        <v>7.13</v>
      </c>
      <c r="I3" s="11" t="n">
        <v>1176</v>
      </c>
      <c r="J3" s="10" t="s">
        <v>80</v>
      </c>
    </row>
    <row r="4" customFormat="false" ht="23.85" hidden="false" customHeight="false" outlineLevel="0" collapsed="false">
      <c r="A4" s="6" t="s">
        <v>81</v>
      </c>
      <c r="B4" s="6" t="s">
        <v>82</v>
      </c>
      <c r="C4" s="6" t="s">
        <v>83</v>
      </c>
      <c r="D4" s="5" t="s">
        <v>46</v>
      </c>
      <c r="E4" s="6" t="s">
        <v>45</v>
      </c>
      <c r="F4" s="8" t="n">
        <v>10</v>
      </c>
      <c r="G4" s="7" t="n">
        <v>3.61</v>
      </c>
      <c r="H4" s="7" t="n">
        <v>4.32</v>
      </c>
      <c r="I4" s="7" t="n">
        <v>640</v>
      </c>
      <c r="J4" s="6" t="s">
        <v>84</v>
      </c>
    </row>
    <row r="5" customFormat="false" ht="23.85" hidden="false" customHeight="false" outlineLevel="0" collapsed="false">
      <c r="A5" s="6" t="s">
        <v>85</v>
      </c>
      <c r="B5" s="6" t="s">
        <v>86</v>
      </c>
      <c r="C5" s="6" t="s">
        <v>83</v>
      </c>
      <c r="D5" s="5" t="s">
        <v>46</v>
      </c>
      <c r="E5" s="6" t="s">
        <v>45</v>
      </c>
      <c r="F5" s="8" t="n">
        <v>10</v>
      </c>
      <c r="G5" s="7" t="n">
        <v>1.34</v>
      </c>
      <c r="H5" s="7" t="n">
        <v>1.53</v>
      </c>
      <c r="I5" s="7" t="n">
        <v>600</v>
      </c>
      <c r="J5" s="6" t="s">
        <v>84</v>
      </c>
    </row>
    <row r="6" customFormat="false" ht="23.85" hidden="false" customHeight="false" outlineLevel="0" collapsed="false">
      <c r="A6" s="10" t="s">
        <v>87</v>
      </c>
      <c r="B6" s="10" t="s">
        <v>88</v>
      </c>
      <c r="C6" s="10" t="s">
        <v>89</v>
      </c>
      <c r="D6" s="9" t="s">
        <v>46</v>
      </c>
      <c r="E6" s="10" t="s">
        <v>45</v>
      </c>
      <c r="F6" s="12" t="n">
        <v>50</v>
      </c>
      <c r="G6" s="11" t="n">
        <v>0.4</v>
      </c>
      <c r="H6" s="11" t="n">
        <v>0.54</v>
      </c>
      <c r="I6" s="11" t="n">
        <v>150</v>
      </c>
      <c r="J6" s="10" t="s">
        <v>90</v>
      </c>
    </row>
    <row r="7" customFormat="false" ht="23.85" hidden="false" customHeight="false" outlineLevel="0" collapsed="false">
      <c r="A7" s="10" t="s">
        <v>91</v>
      </c>
      <c r="B7" s="10" t="s">
        <v>92</v>
      </c>
      <c r="C7" s="10" t="s">
        <v>93</v>
      </c>
      <c r="D7" s="9" t="s">
        <v>49</v>
      </c>
      <c r="E7" s="10" t="s">
        <v>48</v>
      </c>
      <c r="F7" s="12" t="n">
        <v>2</v>
      </c>
      <c r="G7" s="11" t="n">
        <v>31.6</v>
      </c>
      <c r="H7" s="11" t="n">
        <v>42.71</v>
      </c>
      <c r="I7" s="11" t="n">
        <v>640</v>
      </c>
      <c r="J7" s="10" t="s">
        <v>94</v>
      </c>
    </row>
    <row r="8" customFormat="false" ht="23.85" hidden="false" customHeight="false" outlineLevel="0" collapsed="false">
      <c r="A8" s="10" t="s">
        <v>95</v>
      </c>
      <c r="B8" s="10" t="s">
        <v>96</v>
      </c>
      <c r="C8" s="10" t="s">
        <v>97</v>
      </c>
      <c r="D8" s="9" t="s">
        <v>43</v>
      </c>
      <c r="E8" s="10" t="s">
        <v>42</v>
      </c>
      <c r="F8" s="12" t="n">
        <v>1</v>
      </c>
      <c r="G8" s="11" t="n">
        <v>3.01</v>
      </c>
      <c r="H8" s="11" t="n">
        <v>3.55</v>
      </c>
      <c r="I8" s="11" t="n">
        <v>200</v>
      </c>
      <c r="J8" s="10" t="s">
        <v>98</v>
      </c>
    </row>
    <row r="9" customFormat="false" ht="23.85" hidden="false" customHeight="false" outlineLevel="0" collapsed="false">
      <c r="A9" s="6" t="s">
        <v>99</v>
      </c>
      <c r="B9" s="6" t="s">
        <v>100</v>
      </c>
      <c r="C9" s="6" t="s">
        <v>101</v>
      </c>
      <c r="D9" s="5" t="s">
        <v>39</v>
      </c>
      <c r="E9" s="6" t="s">
        <v>38</v>
      </c>
      <c r="F9" s="8" t="n">
        <v>20</v>
      </c>
      <c r="G9" s="7" t="n">
        <v>1.68</v>
      </c>
      <c r="H9" s="7" t="n">
        <v>1.81</v>
      </c>
      <c r="I9" s="7" t="n">
        <v>3000</v>
      </c>
      <c r="J9" s="6" t="s">
        <v>102</v>
      </c>
    </row>
    <row r="10" customFormat="false" ht="15" hidden="false" customHeight="false" outlineLevel="0" collapsed="false">
      <c r="A10" s="10" t="s">
        <v>103</v>
      </c>
      <c r="B10" s="10" t="s">
        <v>104</v>
      </c>
      <c r="C10" s="10" t="s">
        <v>105</v>
      </c>
      <c r="D10" s="9" t="s">
        <v>33</v>
      </c>
      <c r="E10" s="10" t="s">
        <v>32</v>
      </c>
      <c r="F10" s="12" t="n">
        <v>50</v>
      </c>
      <c r="G10" s="11" t="n">
        <v>4.7</v>
      </c>
      <c r="H10" s="11" t="n">
        <v>6.44</v>
      </c>
      <c r="I10" s="11" t="n">
        <v>300</v>
      </c>
      <c r="J10" s="10" t="s">
        <v>106</v>
      </c>
    </row>
    <row r="11" customFormat="false" ht="23.85" hidden="false" customHeight="false" outlineLevel="0" collapsed="false">
      <c r="A11" s="6" t="s">
        <v>107</v>
      </c>
      <c r="B11" s="6" t="s">
        <v>108</v>
      </c>
      <c r="C11" s="6" t="s">
        <v>109</v>
      </c>
      <c r="D11" s="5" t="s">
        <v>36</v>
      </c>
      <c r="E11" s="6" t="s">
        <v>35</v>
      </c>
      <c r="F11" s="8" t="n">
        <v>101</v>
      </c>
      <c r="G11" s="7" t="n">
        <v>98.98</v>
      </c>
      <c r="H11" s="7" t="n">
        <v>119.28</v>
      </c>
      <c r="I11" s="7" t="n">
        <v>2300</v>
      </c>
      <c r="J11" s="6" t="s">
        <v>110</v>
      </c>
    </row>
    <row r="12" customFormat="false" ht="23.85" hidden="false" customHeight="false" outlineLevel="0" collapsed="false">
      <c r="A12" s="6" t="s">
        <v>111</v>
      </c>
      <c r="B12" s="6" t="s">
        <v>112</v>
      </c>
      <c r="C12" s="6" t="s">
        <v>109</v>
      </c>
      <c r="D12" s="5" t="s">
        <v>36</v>
      </c>
      <c r="E12" s="6" t="s">
        <v>35</v>
      </c>
      <c r="F12" s="8" t="n">
        <v>202</v>
      </c>
      <c r="G12" s="7" t="n">
        <v>205.03</v>
      </c>
      <c r="H12" s="7" t="n">
        <v>249.07</v>
      </c>
      <c r="I12" s="7" t="n">
        <v>6200</v>
      </c>
      <c r="J12" s="6" t="s">
        <v>110</v>
      </c>
    </row>
    <row r="13" customFormat="false" ht="23.85" hidden="false" customHeight="false" outlineLevel="0" collapsed="false">
      <c r="A13" s="6" t="s">
        <v>113</v>
      </c>
      <c r="B13" s="6" t="s">
        <v>114</v>
      </c>
      <c r="C13" s="6" t="s">
        <v>109</v>
      </c>
      <c r="D13" s="5" t="s">
        <v>36</v>
      </c>
      <c r="E13" s="6" t="s">
        <v>35</v>
      </c>
      <c r="F13" s="8" t="n">
        <v>202</v>
      </c>
      <c r="G13" s="7" t="n">
        <v>197.96</v>
      </c>
      <c r="H13" s="7" t="n">
        <v>238.97</v>
      </c>
      <c r="I13" s="7" t="n">
        <v>5400</v>
      </c>
      <c r="J13" s="6" t="s">
        <v>110</v>
      </c>
    </row>
    <row r="14" customFormat="false" ht="23.85" hidden="false" customHeight="false" outlineLevel="0" collapsed="false">
      <c r="A14" s="6" t="s">
        <v>115</v>
      </c>
      <c r="B14" s="6" t="s">
        <v>116</v>
      </c>
      <c r="C14" s="6" t="s">
        <v>109</v>
      </c>
      <c r="D14" s="5" t="s">
        <v>36</v>
      </c>
      <c r="E14" s="6" t="s">
        <v>35</v>
      </c>
      <c r="F14" s="8" t="n">
        <v>151</v>
      </c>
      <c r="G14" s="7" t="n">
        <v>154.02</v>
      </c>
      <c r="H14" s="7" t="n">
        <v>187.19</v>
      </c>
      <c r="I14" s="7" t="n">
        <v>6000</v>
      </c>
      <c r="J14" s="6" t="s">
        <v>110</v>
      </c>
    </row>
    <row r="15" customFormat="false" ht="23.85" hidden="false" customHeight="false" outlineLevel="0" collapsed="false">
      <c r="A15" s="6" t="s">
        <v>117</v>
      </c>
      <c r="B15" s="6" t="s">
        <v>118</v>
      </c>
      <c r="C15" s="6" t="s">
        <v>119</v>
      </c>
      <c r="D15" s="5" t="s">
        <v>36</v>
      </c>
      <c r="E15" s="6" t="s">
        <v>35</v>
      </c>
      <c r="F15" s="8" t="n">
        <v>50</v>
      </c>
      <c r="G15" s="7" t="n">
        <v>55.3</v>
      </c>
      <c r="H15" s="7" t="n">
        <v>65.29</v>
      </c>
      <c r="I15" s="7" t="n">
        <v>3150</v>
      </c>
      <c r="J15" s="6" t="s">
        <v>120</v>
      </c>
    </row>
    <row r="16" customFormat="false" ht="23.85" hidden="false" customHeight="false" outlineLevel="0" collapsed="false">
      <c r="A16" s="6" t="s">
        <v>121</v>
      </c>
      <c r="B16" s="6" t="s">
        <v>122</v>
      </c>
      <c r="C16" s="6" t="s">
        <v>119</v>
      </c>
      <c r="D16" s="5" t="s">
        <v>36</v>
      </c>
      <c r="E16" s="6" t="s">
        <v>35</v>
      </c>
      <c r="F16" s="8" t="n">
        <v>30</v>
      </c>
      <c r="G16" s="7" t="n">
        <v>33</v>
      </c>
      <c r="H16" s="7" t="n">
        <v>39.17</v>
      </c>
      <c r="I16" s="7" t="n">
        <v>2250</v>
      </c>
      <c r="J16" s="6" t="s">
        <v>120</v>
      </c>
    </row>
    <row r="17" customFormat="false" ht="23.85" hidden="false" customHeight="false" outlineLevel="0" collapsed="false">
      <c r="A17" s="6" t="s">
        <v>123</v>
      </c>
      <c r="B17" s="6" t="s">
        <v>124</v>
      </c>
      <c r="C17" s="6" t="s">
        <v>119</v>
      </c>
      <c r="D17" s="5" t="s">
        <v>36</v>
      </c>
      <c r="E17" s="6" t="s">
        <v>35</v>
      </c>
      <c r="F17" s="8" t="n">
        <v>50</v>
      </c>
      <c r="G17" s="7" t="n">
        <v>60.3</v>
      </c>
      <c r="H17" s="7" t="n">
        <v>68.39</v>
      </c>
      <c r="I17" s="7" t="n">
        <v>4550</v>
      </c>
      <c r="J17" s="6" t="s">
        <v>120</v>
      </c>
    </row>
    <row r="18" customFormat="false" ht="23.85" hidden="false" customHeight="false" outlineLevel="0" collapsed="false">
      <c r="A18" s="6" t="s">
        <v>125</v>
      </c>
      <c r="B18" s="6" t="s">
        <v>126</v>
      </c>
      <c r="C18" s="6" t="s">
        <v>119</v>
      </c>
      <c r="D18" s="5" t="s">
        <v>36</v>
      </c>
      <c r="E18" s="6" t="s">
        <v>35</v>
      </c>
      <c r="F18" s="8" t="n">
        <v>5</v>
      </c>
      <c r="G18" s="7" t="n">
        <v>6</v>
      </c>
      <c r="H18" s="7" t="n">
        <v>6.89</v>
      </c>
      <c r="I18" s="7" t="n">
        <v>510</v>
      </c>
      <c r="J18" s="6" t="s">
        <v>120</v>
      </c>
    </row>
    <row r="19" customFormat="false" ht="23.85" hidden="false" customHeight="false" outlineLevel="0" collapsed="false">
      <c r="A19" s="6" t="s">
        <v>127</v>
      </c>
      <c r="B19" s="6" t="s">
        <v>128</v>
      </c>
      <c r="C19" s="6" t="s">
        <v>119</v>
      </c>
      <c r="D19" s="5" t="s">
        <v>36</v>
      </c>
      <c r="E19" s="6" t="s">
        <v>35</v>
      </c>
      <c r="F19" s="8" t="n">
        <v>10</v>
      </c>
      <c r="G19" s="7" t="n">
        <v>14</v>
      </c>
      <c r="H19" s="7" t="n">
        <v>16.73</v>
      </c>
      <c r="I19" s="7" t="n">
        <v>1360</v>
      </c>
      <c r="J19" s="6" t="s">
        <v>120</v>
      </c>
    </row>
    <row r="20" customFormat="false" ht="23.85" hidden="false" customHeight="false" outlineLevel="0" collapsed="false">
      <c r="A20" s="6" t="s">
        <v>129</v>
      </c>
      <c r="B20" s="6" t="s">
        <v>130</v>
      </c>
      <c r="C20" s="6" t="s">
        <v>131</v>
      </c>
      <c r="D20" s="5" t="s">
        <v>36</v>
      </c>
      <c r="E20" s="6" t="s">
        <v>35</v>
      </c>
      <c r="F20" s="8" t="n">
        <v>1</v>
      </c>
      <c r="G20" s="7" t="n">
        <v>1.61</v>
      </c>
      <c r="H20" s="7" t="n">
        <v>1.89</v>
      </c>
      <c r="I20" s="7" t="n">
        <v>265</v>
      </c>
      <c r="J20" s="6" t="s">
        <v>110</v>
      </c>
    </row>
    <row r="21" customFormat="false" ht="23.85" hidden="false" customHeight="false" outlineLevel="0" collapsed="false">
      <c r="A21" s="6" t="s">
        <v>132</v>
      </c>
      <c r="B21" s="6" t="s">
        <v>133</v>
      </c>
      <c r="C21" s="6" t="s">
        <v>131</v>
      </c>
      <c r="D21" s="5" t="s">
        <v>36</v>
      </c>
      <c r="E21" s="6" t="s">
        <v>35</v>
      </c>
      <c r="F21" s="8" t="n">
        <v>10</v>
      </c>
      <c r="G21" s="7" t="n">
        <v>15.93</v>
      </c>
      <c r="H21" s="7" t="n">
        <v>18.77</v>
      </c>
      <c r="I21" s="7" t="n">
        <v>1950</v>
      </c>
      <c r="J21" s="6" t="s">
        <v>110</v>
      </c>
    </row>
    <row r="22" customFormat="false" ht="23.85" hidden="false" customHeight="false" outlineLevel="0" collapsed="false">
      <c r="A22" s="6" t="s">
        <v>134</v>
      </c>
      <c r="B22" s="6" t="s">
        <v>135</v>
      </c>
      <c r="C22" s="6" t="s">
        <v>131</v>
      </c>
      <c r="D22" s="5" t="s">
        <v>36</v>
      </c>
      <c r="E22" s="6" t="s">
        <v>35</v>
      </c>
      <c r="F22" s="8" t="n">
        <v>10</v>
      </c>
      <c r="G22" s="7" t="n">
        <v>16</v>
      </c>
      <c r="H22" s="7" t="n">
        <v>18.83</v>
      </c>
      <c r="I22" s="7" t="n">
        <v>2200</v>
      </c>
      <c r="J22" s="6" t="s">
        <v>110</v>
      </c>
    </row>
    <row r="23" customFormat="false" ht="23.85" hidden="false" customHeight="false" outlineLevel="0" collapsed="false">
      <c r="A23" s="6" t="s">
        <v>136</v>
      </c>
      <c r="B23" s="6" t="s">
        <v>137</v>
      </c>
      <c r="C23" s="6" t="s">
        <v>138</v>
      </c>
      <c r="D23" s="5" t="s">
        <v>43</v>
      </c>
      <c r="E23" s="6" t="s">
        <v>42</v>
      </c>
      <c r="F23" s="8" t="n">
        <v>3</v>
      </c>
      <c r="G23" s="7" t="n">
        <v>1.88</v>
      </c>
      <c r="H23" s="7" t="n">
        <v>2.11</v>
      </c>
      <c r="I23" s="7" t="n">
        <v>228</v>
      </c>
      <c r="J23" s="6" t="s">
        <v>139</v>
      </c>
    </row>
    <row r="24" customFormat="false" ht="23.85" hidden="false" customHeight="false" outlineLevel="0" collapsed="false">
      <c r="A24" s="6" t="s">
        <v>140</v>
      </c>
      <c r="B24" s="6" t="s">
        <v>141</v>
      </c>
      <c r="C24" s="6" t="s">
        <v>142</v>
      </c>
      <c r="D24" s="5" t="s">
        <v>36</v>
      </c>
      <c r="E24" s="6" t="s">
        <v>35</v>
      </c>
      <c r="F24" s="8" t="n">
        <v>1</v>
      </c>
      <c r="G24" s="7" t="n">
        <v>1.2</v>
      </c>
      <c r="H24" s="7" t="n">
        <v>1.42</v>
      </c>
      <c r="I24" s="7" t="n">
        <v>120</v>
      </c>
      <c r="J24" s="6" t="s">
        <v>110</v>
      </c>
    </row>
    <row r="25" customFormat="false" ht="15" hidden="false" customHeight="false" outlineLevel="0" collapsed="false">
      <c r="A25" s="10" t="s">
        <v>143</v>
      </c>
      <c r="B25" s="10" t="s">
        <v>144</v>
      </c>
      <c r="C25" s="10" t="s">
        <v>145</v>
      </c>
      <c r="D25" s="9" t="s">
        <v>41</v>
      </c>
      <c r="E25" s="10" t="s">
        <v>40</v>
      </c>
      <c r="F25" s="12" t="n">
        <v>3</v>
      </c>
      <c r="G25" s="11" t="n">
        <v>1.2</v>
      </c>
      <c r="H25" s="11" t="n">
        <v>1.35</v>
      </c>
      <c r="I25" s="11" t="n">
        <v>600</v>
      </c>
      <c r="J25" s="10" t="s">
        <v>146</v>
      </c>
    </row>
    <row r="26" customFormat="false" ht="15" hidden="false" customHeight="false" outlineLevel="0" collapsed="false">
      <c r="A26" s="10" t="s">
        <v>147</v>
      </c>
      <c r="B26" s="10" t="s">
        <v>148</v>
      </c>
      <c r="C26" s="10" t="s">
        <v>149</v>
      </c>
      <c r="D26" s="9" t="s">
        <v>41</v>
      </c>
      <c r="E26" s="10" t="s">
        <v>40</v>
      </c>
      <c r="F26" s="12" t="n">
        <v>3</v>
      </c>
      <c r="G26" s="11" t="n">
        <v>1.43</v>
      </c>
      <c r="H26" s="11" t="n">
        <v>1.58</v>
      </c>
      <c r="I26" s="11" t="n">
        <v>600</v>
      </c>
      <c r="J26" s="10" t="s">
        <v>146</v>
      </c>
    </row>
    <row r="27" customFormat="false" ht="23.85" hidden="false" customHeight="false" outlineLevel="0" collapsed="false">
      <c r="A27" s="10" t="s">
        <v>150</v>
      </c>
      <c r="B27" s="10" t="s">
        <v>151</v>
      </c>
      <c r="C27" s="10" t="s">
        <v>152</v>
      </c>
      <c r="D27" s="9" t="s">
        <v>46</v>
      </c>
      <c r="E27" s="10" t="s">
        <v>45</v>
      </c>
      <c r="F27" s="12" t="n">
        <v>10</v>
      </c>
      <c r="G27" s="11" t="n">
        <v>4.42</v>
      </c>
      <c r="H27" s="11" t="n">
        <v>5.28</v>
      </c>
      <c r="I27" s="11" t="n">
        <v>700</v>
      </c>
      <c r="J27" s="10" t="s">
        <v>153</v>
      </c>
    </row>
    <row r="28" customFormat="false" ht="23.85" hidden="false" customHeight="false" outlineLevel="0" collapsed="false">
      <c r="A28" s="10" t="s">
        <v>154</v>
      </c>
      <c r="B28" s="10" t="s">
        <v>155</v>
      </c>
      <c r="C28" s="10" t="s">
        <v>156</v>
      </c>
      <c r="D28" s="9" t="s">
        <v>36</v>
      </c>
      <c r="E28" s="10" t="s">
        <v>35</v>
      </c>
      <c r="F28" s="12" t="n">
        <v>20</v>
      </c>
      <c r="G28" s="11" t="n">
        <v>6.82</v>
      </c>
      <c r="H28" s="11" t="n">
        <v>23.7</v>
      </c>
      <c r="I28" s="11" t="n">
        <v>740</v>
      </c>
      <c r="J28" s="10" t="s">
        <v>153</v>
      </c>
    </row>
    <row r="29" customFormat="false" ht="23.85" hidden="false" customHeight="false" outlineLevel="0" collapsed="false">
      <c r="A29" s="10" t="s">
        <v>157</v>
      </c>
      <c r="B29" s="10" t="s">
        <v>158</v>
      </c>
      <c r="C29" s="10" t="s">
        <v>156</v>
      </c>
      <c r="D29" s="9" t="s">
        <v>36</v>
      </c>
      <c r="E29" s="10" t="s">
        <v>35</v>
      </c>
      <c r="F29" s="12" t="n">
        <v>30</v>
      </c>
      <c r="G29" s="11" t="n">
        <v>19.95</v>
      </c>
      <c r="H29" s="11" t="n">
        <v>23.82</v>
      </c>
      <c r="I29" s="11" t="n">
        <v>1800</v>
      </c>
      <c r="J29" s="10" t="s">
        <v>153</v>
      </c>
    </row>
    <row r="30" customFormat="false" ht="23.85" hidden="false" customHeight="false" outlineLevel="0" collapsed="false">
      <c r="A30" s="10" t="s">
        <v>159</v>
      </c>
      <c r="B30" s="10" t="s">
        <v>160</v>
      </c>
      <c r="C30" s="10" t="s">
        <v>156</v>
      </c>
      <c r="D30" s="9" t="s">
        <v>36</v>
      </c>
      <c r="E30" s="10" t="s">
        <v>35</v>
      </c>
      <c r="F30" s="12" t="n">
        <v>101</v>
      </c>
      <c r="G30" s="11" t="n">
        <v>34.34</v>
      </c>
      <c r="H30" s="11" t="n">
        <v>42.8</v>
      </c>
      <c r="I30" s="11" t="n">
        <v>4300</v>
      </c>
      <c r="J30" s="10" t="s">
        <v>153</v>
      </c>
    </row>
    <row r="31" customFormat="false" ht="23.85" hidden="false" customHeight="false" outlineLevel="0" collapsed="false">
      <c r="A31" s="10" t="s">
        <v>161</v>
      </c>
      <c r="B31" s="10" t="s">
        <v>162</v>
      </c>
      <c r="C31" s="10" t="s">
        <v>156</v>
      </c>
      <c r="D31" s="9" t="s">
        <v>36</v>
      </c>
      <c r="E31" s="10" t="s">
        <v>35</v>
      </c>
      <c r="F31" s="12" t="n">
        <v>202</v>
      </c>
      <c r="G31" s="11" t="n">
        <v>138.37</v>
      </c>
      <c r="H31" s="11" t="n">
        <v>162.21</v>
      </c>
      <c r="I31" s="11" t="n">
        <v>14400</v>
      </c>
      <c r="J31" s="10" t="s">
        <v>153</v>
      </c>
    </row>
    <row r="32" customFormat="false" ht="23.85" hidden="false" customHeight="false" outlineLevel="0" collapsed="false">
      <c r="A32" s="10" t="s">
        <v>163</v>
      </c>
      <c r="B32" s="10" t="s">
        <v>164</v>
      </c>
      <c r="C32" s="10" t="s">
        <v>156</v>
      </c>
      <c r="D32" s="9" t="s">
        <v>36</v>
      </c>
      <c r="E32" s="10" t="s">
        <v>35</v>
      </c>
      <c r="F32" s="12" t="n">
        <v>10</v>
      </c>
      <c r="G32" s="11" t="n">
        <v>3.45</v>
      </c>
      <c r="H32" s="11" t="n">
        <v>4.43</v>
      </c>
      <c r="I32" s="11" t="n">
        <v>650</v>
      </c>
      <c r="J32" s="10" t="s">
        <v>153</v>
      </c>
    </row>
    <row r="33" customFormat="false" ht="23.85" hidden="false" customHeight="false" outlineLevel="0" collapsed="false">
      <c r="A33" s="10" t="s">
        <v>165</v>
      </c>
      <c r="B33" s="10" t="s">
        <v>166</v>
      </c>
      <c r="C33" s="10" t="s">
        <v>156</v>
      </c>
      <c r="D33" s="9" t="s">
        <v>36</v>
      </c>
      <c r="E33" s="10" t="s">
        <v>35</v>
      </c>
      <c r="F33" s="12" t="n">
        <v>10</v>
      </c>
      <c r="G33" s="11" t="n">
        <v>6.83</v>
      </c>
      <c r="H33" s="11" t="n">
        <v>8.04</v>
      </c>
      <c r="I33" s="11" t="n">
        <v>970</v>
      </c>
      <c r="J33" s="10" t="s">
        <v>153</v>
      </c>
    </row>
    <row r="34" customFormat="false" ht="23.85" hidden="false" customHeight="false" outlineLevel="0" collapsed="false">
      <c r="A34" s="10" t="s">
        <v>167</v>
      </c>
      <c r="B34" s="10" t="s">
        <v>168</v>
      </c>
      <c r="C34" s="10" t="s">
        <v>169</v>
      </c>
      <c r="D34" s="9" t="s">
        <v>36</v>
      </c>
      <c r="E34" s="10" t="s">
        <v>35</v>
      </c>
      <c r="F34" s="12" t="n">
        <v>1</v>
      </c>
      <c r="G34" s="11" t="n">
        <v>0.3</v>
      </c>
      <c r="H34" s="11" t="n">
        <v>0.37</v>
      </c>
      <c r="I34" s="11" t="n">
        <v>173</v>
      </c>
      <c r="J34" s="10" t="s">
        <v>170</v>
      </c>
    </row>
    <row r="35" customFormat="false" ht="23.85" hidden="false" customHeight="false" outlineLevel="0" collapsed="false">
      <c r="A35" s="6" t="s">
        <v>171</v>
      </c>
      <c r="B35" s="6" t="s">
        <v>172</v>
      </c>
      <c r="C35" s="6" t="s">
        <v>173</v>
      </c>
      <c r="D35" s="5" t="s">
        <v>46</v>
      </c>
      <c r="E35" s="6" t="s">
        <v>45</v>
      </c>
      <c r="F35" s="8" t="n">
        <v>10</v>
      </c>
      <c r="G35" s="7" t="n">
        <v>1.78</v>
      </c>
      <c r="H35" s="7" t="n">
        <v>2.42</v>
      </c>
      <c r="I35" s="7" t="n">
        <v>220</v>
      </c>
      <c r="J35" s="6" t="s">
        <v>84</v>
      </c>
    </row>
    <row r="36" customFormat="false" ht="23.85" hidden="false" customHeight="false" outlineLevel="0" collapsed="false">
      <c r="A36" s="6" t="s">
        <v>174</v>
      </c>
      <c r="B36" s="6" t="s">
        <v>175</v>
      </c>
      <c r="C36" s="6" t="s">
        <v>173</v>
      </c>
      <c r="D36" s="5" t="s">
        <v>46</v>
      </c>
      <c r="E36" s="6" t="s">
        <v>45</v>
      </c>
      <c r="F36" s="8" t="n">
        <v>10</v>
      </c>
      <c r="G36" s="7" t="n">
        <v>1.57</v>
      </c>
      <c r="H36" s="7" t="n">
        <v>2.18</v>
      </c>
      <c r="I36" s="7" t="n">
        <v>160</v>
      </c>
      <c r="J36" s="6" t="s">
        <v>84</v>
      </c>
    </row>
    <row r="37" customFormat="false" ht="23.85" hidden="false" customHeight="false" outlineLevel="0" collapsed="false">
      <c r="A37" s="6" t="s">
        <v>176</v>
      </c>
      <c r="B37" s="6" t="s">
        <v>177</v>
      </c>
      <c r="C37" s="6" t="s">
        <v>178</v>
      </c>
      <c r="D37" s="5" t="s">
        <v>46</v>
      </c>
      <c r="E37" s="6" t="s">
        <v>45</v>
      </c>
      <c r="F37" s="8" t="n">
        <v>10</v>
      </c>
      <c r="G37" s="7" t="n">
        <v>2.33</v>
      </c>
      <c r="H37" s="7" t="n">
        <v>3.02</v>
      </c>
      <c r="I37" s="7" t="n">
        <v>220</v>
      </c>
      <c r="J37" s="6" t="s">
        <v>179</v>
      </c>
    </row>
    <row r="38" customFormat="false" ht="23.85" hidden="false" customHeight="false" outlineLevel="0" collapsed="false">
      <c r="A38" s="6" t="s">
        <v>180</v>
      </c>
      <c r="B38" s="6" t="s">
        <v>181</v>
      </c>
      <c r="C38" s="6" t="s">
        <v>178</v>
      </c>
      <c r="D38" s="5" t="s">
        <v>46</v>
      </c>
      <c r="E38" s="6" t="s">
        <v>45</v>
      </c>
      <c r="F38" s="8" t="n">
        <v>10</v>
      </c>
      <c r="G38" s="7" t="n">
        <v>1.9</v>
      </c>
      <c r="H38" s="7" t="n">
        <v>2.58</v>
      </c>
      <c r="I38" s="7" t="n">
        <v>180</v>
      </c>
      <c r="J38" s="6" t="s">
        <v>179</v>
      </c>
    </row>
    <row r="39" customFormat="false" ht="15" hidden="false" customHeight="false" outlineLevel="0" collapsed="false">
      <c r="A39" s="14"/>
      <c r="B39" s="14"/>
      <c r="C39" s="14" t="s">
        <v>53</v>
      </c>
      <c r="D39" s="13"/>
      <c r="E39" s="14"/>
      <c r="F39" s="16" t="n">
        <f aca="false">SUM(F2:F38)</f>
        <v>1416</v>
      </c>
      <c r="G39" s="15" t="n">
        <f aca="false">SUM(G2:G38)</f>
        <v>1142.99</v>
      </c>
      <c r="H39" s="15" t="n">
        <f aca="false">SUM(H2:H38)</f>
        <v>1391.49</v>
      </c>
      <c r="I39" s="15" t="n">
        <f aca="false">SUM(I2:I38)</f>
        <v>69882</v>
      </c>
      <c r="J39" s="14"/>
    </row>
    <row r="41" customFormat="false" ht="15" hidden="false" customHeight="false" outlineLevel="0" collapsed="false">
      <c r="A41" s="27" t="s">
        <v>182</v>
      </c>
    </row>
    <row r="42" customFormat="false" ht="15" hidden="false" customHeight="false" outlineLevel="0" collapsed="false">
      <c r="A42" s="27" t="s">
        <v>183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20"/>
    <col collapsed="false" customWidth="true" hidden="false" outlineLevel="0" max="8" min="2" style="0" width="3"/>
  </cols>
  <sheetData>
    <row r="1" customFormat="false" ht="17.35" hidden="false" customHeight="false" outlineLevel="0" collapsed="false">
      <c r="A1" s="1" t="s">
        <v>184</v>
      </c>
    </row>
    <row r="3" customFormat="false" ht="15" hidden="false" customHeight="false" outlineLevel="0" collapsed="false">
      <c r="A3" s="28" t="s">
        <v>185</v>
      </c>
      <c r="B3" s="28"/>
      <c r="C3" s="28"/>
      <c r="D3" s="28"/>
      <c r="E3" s="28"/>
      <c r="F3" s="28"/>
      <c r="G3" s="28"/>
      <c r="H3" s="28"/>
    </row>
    <row r="4" customFormat="false" ht="15" hidden="false" customHeight="false" outlineLevel="0" collapsed="false">
      <c r="A4" s="29" t="s">
        <v>186</v>
      </c>
      <c r="B4" s="29"/>
      <c r="C4" s="29"/>
      <c r="D4" s="29"/>
      <c r="E4" s="29"/>
      <c r="F4" s="29"/>
      <c r="G4" s="29"/>
      <c r="H4" s="29"/>
    </row>
    <row r="5" customFormat="false" ht="15" hidden="false" customHeight="false" outlineLevel="0" collapsed="false">
      <c r="A5" s="29" t="s">
        <v>187</v>
      </c>
      <c r="B5" s="29"/>
      <c r="C5" s="29"/>
      <c r="D5" s="29"/>
      <c r="E5" s="29"/>
      <c r="F5" s="29"/>
      <c r="G5" s="29"/>
      <c r="H5" s="29"/>
    </row>
    <row r="6" customFormat="false" ht="15" hidden="false" customHeight="false" outlineLevel="0" collapsed="false">
      <c r="A6" s="29" t="s">
        <v>188</v>
      </c>
      <c r="B6" s="29"/>
      <c r="C6" s="29"/>
      <c r="D6" s="29"/>
      <c r="E6" s="29"/>
      <c r="F6" s="29"/>
      <c r="G6" s="29"/>
      <c r="H6" s="29"/>
    </row>
    <row r="7" customFormat="false" ht="15" hidden="false" customHeight="false" outlineLevel="0" collapsed="false">
      <c r="A7" s="29" t="s">
        <v>189</v>
      </c>
      <c r="B7" s="29"/>
      <c r="C7" s="29"/>
      <c r="D7" s="29"/>
      <c r="E7" s="29"/>
      <c r="F7" s="29"/>
      <c r="G7" s="29"/>
      <c r="H7" s="29"/>
    </row>
    <row r="9" customFormat="false" ht="15" hidden="false" customHeight="false" outlineLevel="0" collapsed="false">
      <c r="A9" s="28" t="s">
        <v>190</v>
      </c>
      <c r="B9" s="28"/>
      <c r="C9" s="28"/>
      <c r="D9" s="28"/>
      <c r="E9" s="28"/>
      <c r="F9" s="28"/>
      <c r="G9" s="28"/>
      <c r="H9" s="28"/>
    </row>
    <row r="10" customFormat="false" ht="15" hidden="false" customHeight="false" outlineLevel="0" collapsed="false">
      <c r="A10" s="29" t="s">
        <v>191</v>
      </c>
      <c r="B10" s="29"/>
      <c r="C10" s="29"/>
      <c r="D10" s="29"/>
      <c r="E10" s="29"/>
      <c r="F10" s="29"/>
      <c r="G10" s="29"/>
      <c r="H10" s="29"/>
    </row>
    <row r="11" customFormat="false" ht="15" hidden="false" customHeight="false" outlineLevel="0" collapsed="false">
      <c r="A11" s="29" t="s">
        <v>192</v>
      </c>
      <c r="B11" s="29"/>
      <c r="C11" s="29"/>
      <c r="D11" s="29"/>
      <c r="E11" s="29"/>
      <c r="F11" s="29"/>
      <c r="G11" s="29"/>
      <c r="H11" s="29"/>
    </row>
    <row r="12" customFormat="false" ht="15" hidden="false" customHeight="false" outlineLevel="0" collapsed="false">
      <c r="A12" s="29" t="s">
        <v>193</v>
      </c>
      <c r="B12" s="29"/>
      <c r="C12" s="29"/>
      <c r="D12" s="29"/>
      <c r="E12" s="29"/>
      <c r="F12" s="29"/>
      <c r="G12" s="29"/>
      <c r="H12" s="29"/>
    </row>
    <row r="13" customFormat="false" ht="15" hidden="false" customHeight="false" outlineLevel="0" collapsed="false">
      <c r="A13" s="29" t="s">
        <v>194</v>
      </c>
      <c r="B13" s="29"/>
      <c r="C13" s="29"/>
      <c r="D13" s="29"/>
      <c r="E13" s="29"/>
      <c r="F13" s="29"/>
      <c r="G13" s="29"/>
      <c r="H13" s="29"/>
    </row>
    <row r="14" customFormat="false" ht="15" hidden="false" customHeight="false" outlineLevel="0" collapsed="false">
      <c r="A14" s="29" t="s">
        <v>195</v>
      </c>
      <c r="B14" s="29"/>
      <c r="C14" s="29"/>
      <c r="D14" s="29"/>
      <c r="E14" s="29"/>
      <c r="F14" s="29"/>
      <c r="G14" s="29"/>
      <c r="H14" s="29"/>
    </row>
    <row r="15" customFormat="false" ht="15" hidden="false" customHeight="false" outlineLevel="0" collapsed="false">
      <c r="A15" s="29" t="s">
        <v>196</v>
      </c>
      <c r="B15" s="29"/>
      <c r="C15" s="29"/>
      <c r="D15" s="29"/>
      <c r="E15" s="29"/>
      <c r="F15" s="29"/>
      <c r="G15" s="29"/>
      <c r="H15" s="29"/>
    </row>
    <row r="17" customFormat="false" ht="15" hidden="false" customHeight="false" outlineLevel="0" collapsed="false">
      <c r="A17" s="28" t="s">
        <v>197</v>
      </c>
      <c r="B17" s="28"/>
      <c r="C17" s="28"/>
      <c r="D17" s="28"/>
      <c r="E17" s="28"/>
      <c r="F17" s="28"/>
      <c r="G17" s="28"/>
      <c r="H17" s="28"/>
    </row>
    <row r="18" customFormat="false" ht="15" hidden="false" customHeight="false" outlineLevel="0" collapsed="false">
      <c r="A18" s="29" t="s">
        <v>198</v>
      </c>
      <c r="B18" s="29"/>
      <c r="C18" s="29"/>
      <c r="D18" s="29"/>
      <c r="E18" s="29"/>
      <c r="F18" s="29"/>
      <c r="G18" s="29"/>
      <c r="H18" s="29"/>
    </row>
    <row r="19" customFormat="false" ht="15" hidden="false" customHeight="false" outlineLevel="0" collapsed="false">
      <c r="A19" s="29" t="s">
        <v>199</v>
      </c>
      <c r="B19" s="29"/>
      <c r="C19" s="29"/>
      <c r="D19" s="29"/>
      <c r="E19" s="29"/>
      <c r="F19" s="29"/>
      <c r="G19" s="29"/>
      <c r="H19" s="29"/>
    </row>
    <row r="20" customFormat="false" ht="15" hidden="false" customHeight="false" outlineLevel="0" collapsed="false">
      <c r="A20" s="29" t="s">
        <v>200</v>
      </c>
      <c r="B20" s="29"/>
      <c r="C20" s="29"/>
      <c r="D20" s="29"/>
      <c r="E20" s="29"/>
      <c r="F20" s="29"/>
      <c r="G20" s="29"/>
      <c r="H20" s="29"/>
    </row>
    <row r="21" customFormat="false" ht="15" hidden="false" customHeight="false" outlineLevel="0" collapsed="false">
      <c r="A21" s="29" t="s">
        <v>201</v>
      </c>
      <c r="B21" s="29"/>
      <c r="C21" s="29"/>
      <c r="D21" s="29"/>
      <c r="E21" s="29"/>
      <c r="F21" s="29"/>
      <c r="G21" s="29"/>
      <c r="H21" s="29"/>
    </row>
    <row r="22" customFormat="false" ht="15" hidden="false" customHeight="false" outlineLevel="0" collapsed="false">
      <c r="A22" s="29" t="s">
        <v>202</v>
      </c>
      <c r="B22" s="29"/>
      <c r="C22" s="29"/>
      <c r="D22" s="29"/>
      <c r="E22" s="29"/>
      <c r="F22" s="29"/>
      <c r="G22" s="29"/>
      <c r="H22" s="29"/>
    </row>
    <row r="23" customFormat="false" ht="15" hidden="false" customHeight="false" outlineLevel="0" collapsed="false">
      <c r="A23" s="29" t="s">
        <v>203</v>
      </c>
      <c r="B23" s="29"/>
      <c r="C23" s="29"/>
      <c r="D23" s="29"/>
      <c r="E23" s="29"/>
      <c r="F23" s="29"/>
      <c r="G23" s="29"/>
      <c r="H23" s="29"/>
    </row>
    <row r="24" customFormat="false" ht="15" hidden="false" customHeight="false" outlineLevel="0" collapsed="false">
      <c r="A24" s="29" t="s">
        <v>204</v>
      </c>
      <c r="B24" s="29"/>
      <c r="C24" s="29"/>
      <c r="D24" s="29"/>
      <c r="E24" s="29"/>
      <c r="F24" s="29"/>
      <c r="G24" s="29"/>
      <c r="H24" s="29"/>
    </row>
    <row r="25" customFormat="false" ht="15" hidden="false" customHeight="false" outlineLevel="0" collapsed="false">
      <c r="A25" s="29" t="s">
        <v>205</v>
      </c>
      <c r="B25" s="29"/>
      <c r="C25" s="29"/>
      <c r="D25" s="29"/>
      <c r="E25" s="29"/>
      <c r="F25" s="29"/>
      <c r="G25" s="29"/>
      <c r="H25" s="29"/>
    </row>
    <row r="27" customFormat="false" ht="15" hidden="false" customHeight="false" outlineLevel="0" collapsed="false">
      <c r="A27" s="28" t="s">
        <v>206</v>
      </c>
      <c r="B27" s="28"/>
      <c r="C27" s="28"/>
      <c r="D27" s="28"/>
      <c r="E27" s="28"/>
      <c r="F27" s="28"/>
      <c r="G27" s="28"/>
      <c r="H27" s="28"/>
    </row>
    <row r="28" customFormat="false" ht="15" hidden="false" customHeight="false" outlineLevel="0" collapsed="false">
      <c r="A28" s="29" t="s">
        <v>207</v>
      </c>
      <c r="B28" s="29"/>
      <c r="C28" s="29"/>
      <c r="D28" s="29"/>
      <c r="E28" s="29"/>
      <c r="F28" s="29"/>
      <c r="G28" s="29"/>
      <c r="H28" s="29"/>
    </row>
    <row r="29" customFormat="false" ht="15" hidden="false" customHeight="false" outlineLevel="0" collapsed="false">
      <c r="A29" s="29" t="s">
        <v>208</v>
      </c>
      <c r="B29" s="29"/>
      <c r="C29" s="29"/>
      <c r="D29" s="29"/>
      <c r="E29" s="29"/>
      <c r="F29" s="29"/>
      <c r="G29" s="29"/>
      <c r="H29" s="29"/>
    </row>
    <row r="30" customFormat="false" ht="15" hidden="false" customHeight="false" outlineLevel="0" collapsed="false">
      <c r="A30" s="29" t="s">
        <v>209</v>
      </c>
      <c r="B30" s="29"/>
      <c r="C30" s="29"/>
      <c r="D30" s="29"/>
      <c r="E30" s="29"/>
      <c r="F30" s="29"/>
      <c r="G30" s="29"/>
      <c r="H30" s="29"/>
    </row>
    <row r="32" customFormat="false" ht="15" hidden="false" customHeight="false" outlineLevel="0" collapsed="false">
      <c r="A32" s="28" t="s">
        <v>210</v>
      </c>
      <c r="B32" s="28"/>
      <c r="C32" s="28"/>
      <c r="D32" s="28"/>
      <c r="E32" s="28"/>
      <c r="F32" s="28"/>
      <c r="G32" s="28"/>
      <c r="H32" s="28"/>
    </row>
    <row r="33" customFormat="false" ht="15" hidden="false" customHeight="false" outlineLevel="0" collapsed="false">
      <c r="A33" s="29" t="s">
        <v>211</v>
      </c>
      <c r="B33" s="29"/>
      <c r="C33" s="29"/>
      <c r="D33" s="29"/>
      <c r="E33" s="29"/>
      <c r="F33" s="29"/>
      <c r="G33" s="29"/>
      <c r="H33" s="29"/>
    </row>
    <row r="34" customFormat="false" ht="15" hidden="false" customHeight="false" outlineLevel="0" collapsed="false">
      <c r="A34" s="29" t="s">
        <v>212</v>
      </c>
      <c r="B34" s="29"/>
      <c r="C34" s="29"/>
      <c r="D34" s="29"/>
      <c r="E34" s="29"/>
      <c r="F34" s="29"/>
      <c r="G34" s="29"/>
      <c r="H34" s="29"/>
    </row>
    <row r="35" customFormat="false" ht="15" hidden="false" customHeight="false" outlineLevel="0" collapsed="false">
      <c r="A35" s="29" t="s">
        <v>213</v>
      </c>
      <c r="B35" s="29"/>
      <c r="C35" s="29"/>
      <c r="D35" s="29"/>
      <c r="E35" s="29"/>
      <c r="F35" s="29"/>
      <c r="G35" s="29"/>
      <c r="H35" s="29"/>
    </row>
    <row r="37" customFormat="false" ht="15" hidden="false" customHeight="false" outlineLevel="0" collapsed="false">
      <c r="A37" s="28" t="s">
        <v>214</v>
      </c>
      <c r="B37" s="28"/>
      <c r="C37" s="28"/>
      <c r="D37" s="28"/>
      <c r="E37" s="28"/>
      <c r="F37" s="28"/>
      <c r="G37" s="28"/>
      <c r="H37" s="28"/>
    </row>
    <row r="38" customFormat="false" ht="15" hidden="false" customHeight="false" outlineLevel="0" collapsed="false">
      <c r="A38" s="29" t="s">
        <v>215</v>
      </c>
      <c r="B38" s="29"/>
      <c r="C38" s="29"/>
      <c r="D38" s="29"/>
      <c r="E38" s="29"/>
      <c r="F38" s="29"/>
      <c r="G38" s="29"/>
      <c r="H38" s="29"/>
    </row>
    <row r="39" customFormat="false" ht="15" hidden="false" customHeight="false" outlineLevel="0" collapsed="false">
      <c r="A39" s="29" t="s">
        <v>216</v>
      </c>
      <c r="B39" s="29"/>
      <c r="C39" s="29"/>
      <c r="D39" s="29"/>
      <c r="E39" s="29"/>
      <c r="F39" s="29"/>
      <c r="G39" s="29"/>
      <c r="H39" s="29"/>
    </row>
    <row r="40" customFormat="false" ht="15" hidden="false" customHeight="false" outlineLevel="0" collapsed="false">
      <c r="A40" s="29" t="s">
        <v>217</v>
      </c>
      <c r="B40" s="29"/>
      <c r="C40" s="29"/>
      <c r="D40" s="29"/>
      <c r="E40" s="29"/>
      <c r="F40" s="29"/>
      <c r="G40" s="29"/>
      <c r="H40" s="29"/>
    </row>
    <row r="41" customFormat="false" ht="15" hidden="false" customHeight="false" outlineLevel="0" collapsed="false">
      <c r="A41" s="29" t="s">
        <v>218</v>
      </c>
      <c r="B41" s="29"/>
      <c r="C41" s="29"/>
      <c r="D41" s="29"/>
      <c r="E41" s="29"/>
      <c r="F41" s="29"/>
      <c r="G41" s="29"/>
      <c r="H41" s="29"/>
    </row>
    <row r="42" customFormat="false" ht="15" hidden="false" customHeight="false" outlineLevel="0" collapsed="false">
      <c r="A42" s="29" t="s">
        <v>219</v>
      </c>
      <c r="B42" s="29"/>
      <c r="C42" s="29"/>
      <c r="D42" s="29"/>
      <c r="E42" s="29"/>
      <c r="F42" s="29"/>
      <c r="G42" s="29"/>
      <c r="H42" s="29"/>
    </row>
  </sheetData>
  <mergeCells count="35">
    <mergeCell ref="A3:H3"/>
    <mergeCell ref="A4:H4"/>
    <mergeCell ref="A5:H5"/>
    <mergeCell ref="A6:H6"/>
    <mergeCell ref="A7:H7"/>
    <mergeCell ref="A9:H9"/>
    <mergeCell ref="A10:H10"/>
    <mergeCell ref="A11:H11"/>
    <mergeCell ref="A12:H12"/>
    <mergeCell ref="A13:H13"/>
    <mergeCell ref="A14:H14"/>
    <mergeCell ref="A15:H15"/>
    <mergeCell ref="A17:H17"/>
    <mergeCell ref="A18:H18"/>
    <mergeCell ref="A19:H19"/>
    <mergeCell ref="A20:H20"/>
    <mergeCell ref="A21:H21"/>
    <mergeCell ref="A22:H22"/>
    <mergeCell ref="A23:H23"/>
    <mergeCell ref="A24:H24"/>
    <mergeCell ref="A25:H25"/>
    <mergeCell ref="A27:H27"/>
    <mergeCell ref="A28:H28"/>
    <mergeCell ref="A29:H29"/>
    <mergeCell ref="A30:H30"/>
    <mergeCell ref="A32:H32"/>
    <mergeCell ref="A33:H33"/>
    <mergeCell ref="A34:H34"/>
    <mergeCell ref="A35:H35"/>
    <mergeCell ref="A37:H37"/>
    <mergeCell ref="A38:H38"/>
    <mergeCell ref="A39:H39"/>
    <mergeCell ref="A40:H40"/>
    <mergeCell ref="A41:H41"/>
    <mergeCell ref="A42:H4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2026-09-09T17:48:06Z</dcterms:created>
  <dc:creator>openpyxl</dc:creator>
  <dc:description/>
  <dc:language>en-US</dc:language>
  <cp:lastModifiedBy/>
  <dcterms:modified xsi:type="dcterms:W3CDTF">2026-09-09T17:48:06Z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