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hr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Na faktuře 810679463 dvě položky (pol. 10 a 40), každá 100 ks / 14 kg net – sloučeno do jednoho řádku: 200 ks / 28 kg. Dodací list 0924453339 potvrzuje net 28 kg, brutto 34 kg.</t>
        </r>
      </text>
    </comment>
    <comment ref="B8" authorId="0">
      <text>
        <r>
          <rPr>
            <sz val="10"/>
            <rFont val="Arial"/>
            <family val="2"/>
          </rPr>
          <t xml:space="preserve">Faktura 810679483, pol. 10, mat. č. P011190, šarže U1331.</t>
        </r>
      </text>
    </comment>
    <comment ref="B12" authorId="0">
      <text>
        <r>
          <rPr>
            <sz val="10"/>
            <rFont val="Arial"/>
            <family val="2"/>
          </rPr>
          <t xml:space="preserve">Faktura 810679464, pol. 30, mat. č. P039058, šarže 8299. POZOR: na dodacím listu 0924453368 je hrubá hmotnost uvedena jako 0 kg – údaj chybí, nutno doplnit od odesílatele.</t>
        </r>
      </text>
    </comment>
    <comment ref="B13" authorId="0">
      <text>
        <r>
          <rPr>
            <sz val="10"/>
            <rFont val="Arial"/>
            <family val="2"/>
          </rPr>
          <t xml:space="preserve">Faktura 810679510, pol. 20, mat. č. P016169, šarže 8300. Dodací list uvádí brutto = netto = 10,92 kg.</t>
        </r>
      </text>
    </comment>
  </commentList>
</comments>
</file>

<file path=xl/sharedStrings.xml><?xml version="1.0" encoding="utf-8"?>
<sst xmlns="http://schemas.openxmlformats.org/spreadsheetml/2006/main" count="62" uniqueCount="56">
  <si>
    <t xml:space="preserve">Souhrn zásilky EX HITACHI – tyristory a diody</t>
  </si>
  <si>
    <t xml:space="preserve">Odesílatel: Hitachi Energy Czech Republic s.r.o., Na strži 1702/65, 140 00 Praha 4  |  Příjemce: Protek Teknik Elektrik Ticaret Ve Sanayi Ltd Sti, Türkiye</t>
  </si>
  <si>
    <t xml:space="preserve">Incoterms: FCA Prague  |  Měna: EUR  |  Datum faktur: 10.–11.08.2026  |  Země původu: CZ  |  Kurz: 1 EUR = 24,205 CZK</t>
  </si>
  <si>
    <t xml:space="preserve">Kategorie</t>
  </si>
  <si>
    <t xml:space="preserve">Materiál</t>
  </si>
  <si>
    <t xml:space="preserve">Popis zboží</t>
  </si>
  <si>
    <t xml:space="preserve">HS kód</t>
  </si>
  <si>
    <t xml:space="preserve">Množství (ks)</t>
  </si>
  <si>
    <t xml:space="preserve">Čistá hmotnost (kg)</t>
  </si>
  <si>
    <t xml:space="preserve">Hrubá hmotnost (kg)</t>
  </si>
  <si>
    <t xml:space="preserve">Hodnota (EUR)</t>
  </si>
  <si>
    <t xml:space="preserve">Číslo faktury</t>
  </si>
  <si>
    <t xml:space="preserve">Číslo packing listu</t>
  </si>
  <si>
    <t xml:space="preserve">DIODY</t>
  </si>
  <si>
    <t xml:space="preserve">8541 10 00</t>
  </si>
  <si>
    <t xml:space="preserve">5SDD 0135Z0401</t>
  </si>
  <si>
    <t xml:space="preserve">Svařovací dioda (Welding diodes)</t>
  </si>
  <si>
    <t xml:space="preserve">85411000</t>
  </si>
  <si>
    <t xml:space="preserve">810679463</t>
  </si>
  <si>
    <t xml:space="preserve">0924453339</t>
  </si>
  <si>
    <t xml:space="preserve">5SDD 71X0400</t>
  </si>
  <si>
    <t xml:space="preserve">Usměrňovací dioda (dioda 5SDD 71X0400)</t>
  </si>
  <si>
    <t xml:space="preserve">810679483</t>
  </si>
  <si>
    <t xml:space="preserve">0924456868</t>
  </si>
  <si>
    <t xml:space="preserve">Celkem diody</t>
  </si>
  <si>
    <t xml:space="preserve">TYRISTORY</t>
  </si>
  <si>
    <t xml:space="preserve">8541 30 00</t>
  </si>
  <si>
    <t xml:space="preserve">5STF 15F2040</t>
  </si>
  <si>
    <t xml:space="preserve">Tyristor 5STF 15F2040 (GES9 515 143 Px)</t>
  </si>
  <si>
    <t xml:space="preserve">85413000</t>
  </si>
  <si>
    <t xml:space="preserve">neuvedeno</t>
  </si>
  <si>
    <t xml:space="preserve">810679464</t>
  </si>
  <si>
    <t xml:space="preserve">0924453368</t>
  </si>
  <si>
    <t xml:space="preserve">5STP 27H2801</t>
  </si>
  <si>
    <t xml:space="preserve">Tyristor 5STP 27H2801 (fázově řízený)</t>
  </si>
  <si>
    <t xml:space="preserve">810679510</t>
  </si>
  <si>
    <t xml:space="preserve">0924492353</t>
  </si>
  <si>
    <t xml:space="preserve">Celkem tyristory</t>
  </si>
  <si>
    <t xml:space="preserve">CELKEM ZÁSILKA</t>
  </si>
  <si>
    <t xml:space="preserve">Balení a hmotnost zásilky (pro vývozní doklad / ATR)</t>
  </si>
  <si>
    <t xml:space="preserve">Počet kolli</t>
  </si>
  <si>
    <t xml:space="preserve">1 paleta</t>
  </si>
  <si>
    <t xml:space="preserve">Rozměry palety</t>
  </si>
  <si>
    <t xml:space="preserve">60 × 40 × 75 cm</t>
  </si>
  <si>
    <t xml:space="preserve">Celková hrubá hmotnost zásilky (vč. palety)</t>
  </si>
  <si>
    <t xml:space="preserve">77 kg</t>
  </si>
  <si>
    <t xml:space="preserve">Celková čistá hmotnost zboží (dle faktur)</t>
  </si>
  <si>
    <t xml:space="preserve">60,20 kg</t>
  </si>
  <si>
    <t xml:space="preserve">Poznámky</t>
  </si>
  <si>
    <t xml:space="preserve">1) Zásilka obsahuje pouze 2 HS kódy: 8541 10 00 (diody) a 8541 30 00 (tyristory, diaky, triaky a tyristory zapalované světlem). Oba kódy je nutné uvést na ATR.</t>
  </si>
  <si>
    <t xml:space="preserve">2) IGCT TYRISTORY nejsou součástí této zásilky – potvrzeno zadavatelem. Zásilka obsahuje pouze tyristory (5STF, 5STP) a diody (5SDD).</t>
  </si>
  <si>
    <t xml:space="preserve">3) Kontrola množství proti e-mailu „Zásilka pro Protek Teknik + ATR“ souhlasí: tyristory 8541 30 00 = 18 + 12 ks = 30 ks; diody 8541 10 00 = 100 + 100 + 100 ks = 300 ks.</t>
  </si>
  <si>
    <t xml:space="preserve">4) Hrubá hmotnost u položky 5STF 15F2040 (faktura 810679464 / dodací list 0924453368) není na dodacím listu uvedena (je vytištěno 0 kg). Pro vývozní doklad se použije celková hrubá hmotnost zásilky 77 kg podle e-mailu; sloupcový součet hrubé hmotnosti z dodacích listů je proto pouze orientační.</t>
  </si>
  <si>
    <t xml:space="preserve">5) Faktura 810679463 obsahuje dvě položky téhož materiálu 5SDD 0135Z0401 (pol. 10 a 40), každá 100 ks / 14 kg net; v souhrnu jsou sloučeny do jednoho řádku (200 ks / 28 kg). Spolu s fakturou 810679483 (100 ks) dává 300 ks diod dle e-mailu.</t>
  </si>
  <si>
    <t xml:space="preserve">6) Čísla packing listů odpovídají číslům dodacích listů (Delivery Note) na dokladech Hitachi Energy; názvy souborů z e-mailu mají navíc koncovou číslici (např. 09244533391 = dodací list 0924453339).</t>
  </si>
  <si>
    <t xml:space="preserve">7) Na žádost zadavatele NEBYLO v tomto souhrnu řešeno CBAM ani preferenční věta (COO).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</si>
</sst>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1.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customFormat="false" ht="15" hidden="false" customHeight="false" outlineLevel="0" collapsed="false">
      <c r="A6" s="4" t="s">
        <v>13</v>
      </c>
      <c r="B6" s="5"/>
      <c r="C6" s="5"/>
      <c r="D6" s="6" t="s">
        <v>14</v>
      </c>
      <c r="E6" s="7"/>
      <c r="F6" s="8"/>
      <c r="G6" s="8"/>
      <c r="H6" s="8"/>
      <c r="I6" s="5"/>
      <c r="J6" s="5"/>
    </row>
    <row r="7" customFormat="false" ht="15" hidden="false" customHeight="false" outlineLevel="0" collapsed="false">
      <c r="A7" s="9" t="s">
        <v>13</v>
      </c>
      <c r="B7" s="10" t="s">
        <v>15</v>
      </c>
      <c r="C7" s="10" t="s">
        <v>16</v>
      </c>
      <c r="D7" s="11" t="s">
        <v>17</v>
      </c>
      <c r="E7" s="12" t="n">
        <v>200</v>
      </c>
      <c r="F7" s="13" t="n">
        <v>28</v>
      </c>
      <c r="G7" s="13" t="n">
        <v>34</v>
      </c>
      <c r="H7" s="13" t="n">
        <v>20740</v>
      </c>
      <c r="I7" s="11" t="s">
        <v>18</v>
      </c>
      <c r="J7" s="11" t="s">
        <v>19</v>
      </c>
    </row>
    <row r="8" customFormat="false" ht="15" hidden="false" customHeight="false" outlineLevel="0" collapsed="false">
      <c r="A8" s="9" t="s">
        <v>13</v>
      </c>
      <c r="B8" s="10" t="s">
        <v>20</v>
      </c>
      <c r="C8" s="10" t="s">
        <v>21</v>
      </c>
      <c r="D8" s="11" t="s">
        <v>17</v>
      </c>
      <c r="E8" s="12" t="n">
        <v>100</v>
      </c>
      <c r="F8" s="13" t="n">
        <v>13</v>
      </c>
      <c r="G8" s="13" t="n">
        <v>14</v>
      </c>
      <c r="H8" s="13" t="n">
        <v>7370</v>
      </c>
      <c r="I8" s="11" t="s">
        <v>22</v>
      </c>
      <c r="J8" s="11" t="s">
        <v>23</v>
      </c>
    </row>
    <row r="9" customFormat="false" ht="15" hidden="false" customHeight="false" outlineLevel="0" collapsed="false">
      <c r="A9" s="14"/>
      <c r="B9" s="14" t="s">
        <v>24</v>
      </c>
      <c r="C9" s="14"/>
      <c r="D9" s="14"/>
      <c r="E9" s="15" t="n">
        <f aca="false">SUM(E7:E8)</f>
        <v>300</v>
      </c>
      <c r="F9" s="16" t="n">
        <f aca="false">SUM(F7:F8)</f>
        <v>41</v>
      </c>
      <c r="G9" s="16" t="n">
        <f aca="false">SUM(G7:G8)</f>
        <v>48</v>
      </c>
      <c r="H9" s="16" t="n">
        <f aca="false">SUM(H7:H8)</f>
        <v>28110</v>
      </c>
      <c r="I9" s="14"/>
      <c r="J9" s="14"/>
    </row>
    <row r="10" customFormat="false" ht="15" hidden="false" customHeight="false" outlineLevel="0" collapsed="false">
      <c r="E10" s="17"/>
      <c r="F10" s="18"/>
      <c r="G10" s="18"/>
      <c r="H10" s="18"/>
    </row>
    <row r="11" customFormat="false" ht="15" hidden="false" customHeight="false" outlineLevel="0" collapsed="false">
      <c r="A11" s="4" t="s">
        <v>25</v>
      </c>
      <c r="B11" s="5"/>
      <c r="C11" s="5"/>
      <c r="D11" s="6" t="s">
        <v>26</v>
      </c>
      <c r="E11" s="7"/>
      <c r="F11" s="8"/>
      <c r="G11" s="8"/>
      <c r="H11" s="8"/>
      <c r="I11" s="5"/>
      <c r="J11" s="5"/>
    </row>
    <row r="12" customFormat="false" ht="15" hidden="false" customHeight="false" outlineLevel="0" collapsed="false">
      <c r="A12" s="9" t="s">
        <v>25</v>
      </c>
      <c r="B12" s="10" t="s">
        <v>27</v>
      </c>
      <c r="C12" s="10" t="s">
        <v>28</v>
      </c>
      <c r="D12" s="11" t="s">
        <v>29</v>
      </c>
      <c r="E12" s="12" t="n">
        <v>18</v>
      </c>
      <c r="F12" s="13" t="n">
        <v>8.28</v>
      </c>
      <c r="G12" s="19" t="s">
        <v>30</v>
      </c>
      <c r="H12" s="13" t="n">
        <v>4500</v>
      </c>
      <c r="I12" s="11" t="s">
        <v>31</v>
      </c>
      <c r="J12" s="11" t="s">
        <v>32</v>
      </c>
    </row>
    <row r="13" customFormat="false" ht="15" hidden="false" customHeight="false" outlineLevel="0" collapsed="false">
      <c r="A13" s="9" t="s">
        <v>25</v>
      </c>
      <c r="B13" s="10" t="s">
        <v>33</v>
      </c>
      <c r="C13" s="10" t="s">
        <v>34</v>
      </c>
      <c r="D13" s="11" t="s">
        <v>29</v>
      </c>
      <c r="E13" s="12" t="n">
        <v>12</v>
      </c>
      <c r="F13" s="13" t="n">
        <v>10.92</v>
      </c>
      <c r="G13" s="13" t="n">
        <v>10.92</v>
      </c>
      <c r="H13" s="13" t="n">
        <v>4536</v>
      </c>
      <c r="I13" s="11" t="s">
        <v>35</v>
      </c>
      <c r="J13" s="11" t="s">
        <v>36</v>
      </c>
    </row>
    <row r="14" customFormat="false" ht="15" hidden="false" customHeight="false" outlineLevel="0" collapsed="false">
      <c r="A14" s="14"/>
      <c r="B14" s="14" t="s">
        <v>37</v>
      </c>
      <c r="C14" s="14"/>
      <c r="D14" s="14"/>
      <c r="E14" s="15" t="n">
        <f aca="false">SUM(E12:E13)</f>
        <v>30</v>
      </c>
      <c r="F14" s="16" t="n">
        <f aca="false">SUM(F12:F13)</f>
        <v>19.2</v>
      </c>
      <c r="G14" s="16" t="n">
        <f aca="false">SUM(G12:G13)</f>
        <v>10.92</v>
      </c>
      <c r="H14" s="16" t="n">
        <f aca="false">SUM(H12:H13)</f>
        <v>9036</v>
      </c>
      <c r="I14" s="14"/>
      <c r="J14" s="14"/>
    </row>
    <row r="15" customFormat="false" ht="15" hidden="false" customHeight="false" outlineLevel="0" collapsed="false">
      <c r="E15" s="17"/>
      <c r="F15" s="18"/>
      <c r="G15" s="18"/>
      <c r="H15" s="18"/>
    </row>
    <row r="16" customFormat="false" ht="15" hidden="false" customHeight="false" outlineLevel="0" collapsed="false">
      <c r="A16" s="20"/>
      <c r="B16" s="20" t="s">
        <v>38</v>
      </c>
      <c r="C16" s="20"/>
      <c r="D16" s="20"/>
      <c r="E16" s="21" t="n">
        <f aca="false">E9+E14</f>
        <v>330</v>
      </c>
      <c r="F16" s="22" t="n">
        <f aca="false">F9+F14</f>
        <v>60.2</v>
      </c>
      <c r="G16" s="22" t="n">
        <f aca="false">G9+G14</f>
        <v>58.92</v>
      </c>
      <c r="H16" s="22" t="n">
        <f aca="false">H9+H14</f>
        <v>37146</v>
      </c>
      <c r="I16" s="20"/>
      <c r="J16" s="20"/>
    </row>
    <row r="18" customFormat="false" ht="15" hidden="false" customHeight="false" outlineLevel="0" collapsed="false">
      <c r="A18" s="23" t="s">
        <v>39</v>
      </c>
    </row>
    <row r="19" customFormat="false" ht="15" hidden="false" customHeight="false" outlineLevel="0" collapsed="false">
      <c r="A19" s="24" t="s">
        <v>40</v>
      </c>
      <c r="B19" s="25"/>
      <c r="C19" s="26" t="s">
        <v>41</v>
      </c>
    </row>
    <row r="20" customFormat="false" ht="15" hidden="false" customHeight="false" outlineLevel="0" collapsed="false">
      <c r="A20" s="24" t="s">
        <v>42</v>
      </c>
      <c r="B20" s="25"/>
      <c r="C20" s="26" t="s">
        <v>43</v>
      </c>
    </row>
    <row r="21" customFormat="false" ht="15" hidden="false" customHeight="false" outlineLevel="0" collapsed="false">
      <c r="A21" s="24" t="s">
        <v>44</v>
      </c>
      <c r="B21" s="25"/>
      <c r="C21" s="26" t="s">
        <v>45</v>
      </c>
    </row>
    <row r="22" customFormat="false" ht="15" hidden="false" customHeight="false" outlineLevel="0" collapsed="false">
      <c r="A22" s="24" t="s">
        <v>46</v>
      </c>
      <c r="B22" s="25"/>
      <c r="C22" s="26" t="s">
        <v>47</v>
      </c>
    </row>
    <row r="24" customFormat="false" ht="15" hidden="false" customHeight="true" outlineLevel="0" collapsed="false">
      <c r="A24" s="27" t="s">
        <v>48</v>
      </c>
      <c r="B24" s="27"/>
      <c r="C24" s="27"/>
      <c r="D24" s="27"/>
      <c r="E24" s="27"/>
      <c r="F24" s="27"/>
      <c r="G24" s="27"/>
      <c r="H24" s="27"/>
      <c r="I24" s="27"/>
      <c r="J24" s="27"/>
    </row>
    <row r="25" customFormat="false" ht="27.75" hidden="false" customHeight="true" outlineLevel="0" collapsed="false">
      <c r="A25" s="28" t="s">
        <v>49</v>
      </c>
      <c r="B25" s="28"/>
      <c r="C25" s="28"/>
      <c r="D25" s="28"/>
      <c r="E25" s="28"/>
      <c r="F25" s="28"/>
      <c r="G25" s="28"/>
      <c r="H25" s="28"/>
      <c r="I25" s="28"/>
      <c r="J25" s="28"/>
    </row>
    <row r="26" customFormat="false" ht="27.75" hidden="false" customHeight="true" outlineLevel="0" collapsed="false">
      <c r="A26" s="28" t="s">
        <v>50</v>
      </c>
      <c r="B26" s="28"/>
      <c r="C26" s="28"/>
      <c r="D26" s="28"/>
      <c r="E26" s="28"/>
      <c r="F26" s="28"/>
      <c r="G26" s="28"/>
      <c r="H26" s="28"/>
      <c r="I26" s="28"/>
      <c r="J26" s="28"/>
    </row>
    <row r="27" customFormat="false" ht="27.75" hidden="false" customHeight="true" outlineLevel="0" collapsed="false">
      <c r="A27" s="28" t="s">
        <v>51</v>
      </c>
      <c r="B27" s="28"/>
      <c r="C27" s="28"/>
      <c r="D27" s="28"/>
      <c r="E27" s="28"/>
      <c r="F27" s="28"/>
      <c r="G27" s="28"/>
      <c r="H27" s="28"/>
      <c r="I27" s="28"/>
      <c r="J27" s="28"/>
    </row>
    <row r="28" customFormat="false" ht="27.75" hidden="false" customHeight="true" outlineLevel="0" collapsed="false">
      <c r="A28" s="28" t="s">
        <v>52</v>
      </c>
      <c r="B28" s="28"/>
      <c r="C28" s="28"/>
      <c r="D28" s="28"/>
      <c r="E28" s="28"/>
      <c r="F28" s="28"/>
      <c r="G28" s="28"/>
      <c r="H28" s="28"/>
      <c r="I28" s="28"/>
      <c r="J28" s="28"/>
    </row>
    <row r="29" customFormat="false" ht="27.75" hidden="false" customHeight="true" outlineLevel="0" collapsed="false">
      <c r="A29" s="28" t="s">
        <v>53</v>
      </c>
      <c r="B29" s="28"/>
      <c r="C29" s="28"/>
      <c r="D29" s="28"/>
      <c r="E29" s="28"/>
      <c r="F29" s="28"/>
      <c r="G29" s="28"/>
      <c r="H29" s="28"/>
      <c r="I29" s="28"/>
      <c r="J29" s="28"/>
    </row>
    <row r="30" customFormat="false" ht="27.75" hidden="false" customHeight="true" outlineLevel="0" collapsed="false">
      <c r="A30" s="28" t="s">
        <v>54</v>
      </c>
      <c r="B30" s="28"/>
      <c r="C30" s="28"/>
      <c r="D30" s="28"/>
      <c r="E30" s="28"/>
      <c r="F30" s="28"/>
      <c r="G30" s="28"/>
      <c r="H30" s="28"/>
      <c r="I30" s="28"/>
      <c r="J30" s="28"/>
    </row>
    <row r="31" customFormat="false" ht="27.75" hidden="false" customHeight="true" outlineLevel="0" collapsed="false">
      <c r="A31" s="28" t="s">
        <v>55</v>
      </c>
      <c r="B31" s="28"/>
      <c r="C31" s="28"/>
      <c r="D31" s="28"/>
      <c r="E31" s="28"/>
      <c r="F31" s="28"/>
      <c r="G31" s="28"/>
      <c r="H31" s="28"/>
      <c r="I31" s="28"/>
      <c r="J31" s="28"/>
    </row>
  </sheetData>
  <mergeCells count="8">
    <mergeCell ref="A24:J24"/>
    <mergeCell ref="A25:J25"/>
    <mergeCell ref="A26:J26"/>
    <mergeCell ref="A27:J27"/>
    <mergeCell ref="A28:J28"/>
    <mergeCell ref="A29:J29"/>
    <mergeCell ref="A30:J30"/>
    <mergeCell ref="A31:J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2026-08-12T13:02:41Z</dcterms:created>
  <dc:creator>openpyxl</dc:creator>
  <dc:description/>
  <dc:language>en-US</dc:language>
  <cp:lastModifiedBy/>
  <dcterms:modified xsi:type="dcterms:W3CDTF">2026-08-12T13:02:41Z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