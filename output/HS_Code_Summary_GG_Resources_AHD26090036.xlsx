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" sheetId="2" state="visible" r:id="rId2"/>
    <sheet xmlns:r="http://schemas.openxmlformats.org/officeDocument/2006/relationships" name="Dokumenty a kontro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USD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38" customWidth="1" min="4" max="4"/>
    <col width="9" customWidth="1" min="5" max="5"/>
    <col width="13" customWidth="1" min="6" max="6"/>
    <col width="10" customWidth="1" min="7" max="7"/>
    <col width="12" customWidth="1" min="8" max="8"/>
    <col width="12" customWidth="1" min="9" max="9"/>
    <col width="14" customWidth="1" min="10" max="10"/>
    <col width="12" customWidth="1" min="11" max="11"/>
    <col width="34" customWidth="1" min="12" max="12"/>
    <col width="9" customWidth="1" min="13" max="13"/>
    <col width="12" customWidth="1" min="14" max="14"/>
    <col width="48" customWidth="1" min="15" max="15"/>
  </cols>
  <sheetData>
    <row r="1">
      <c r="A1" s="1" t="inlineStr">
        <is>
          <t>HS Code Summary – G&amp;G Resources s.r.o. – HB/L AHD26090036 (A/B/C) – kontejner MRSU8662397 – Incoterm: FOB Ningbo – měna USD</t>
        </is>
      </c>
    </row>
    <row r="3">
      <c r="A3" s="2" t="inlineStr">
        <is>
          <t>Odesílatel (sender)</t>
        </is>
      </c>
      <c r="B3" s="2" t="inlineStr">
        <is>
          <t>Faktura</t>
        </is>
      </c>
      <c r="C3" s="2" t="inlineStr">
        <is>
          <t>HS kód</t>
        </is>
      </c>
      <c r="D3" s="2" t="inlineStr">
        <is>
          <t>Popis zboží (CZ – dle klienta)</t>
        </is>
      </c>
      <c r="E3" s="2" t="inlineStr">
        <is>
          <t>Země původu (COO)</t>
        </is>
      </c>
      <c r="F3" s="2" t="inlineStr">
        <is>
          <t>Celkové množství (ks)</t>
        </is>
      </c>
      <c r="G3" s="2" t="inlineStr">
        <is>
          <t>Počet kartonů</t>
        </is>
      </c>
      <c r="H3" s="2" t="inlineStr">
        <is>
          <t>Čistá hmotnost (kg)</t>
        </is>
      </c>
      <c r="I3" s="2" t="inlineStr">
        <is>
          <t>Hrubá hmotnost (kg)</t>
        </is>
      </c>
      <c r="J3" s="2" t="inlineStr">
        <is>
          <t>Hodnota USD – Total (faktura)</t>
        </is>
      </c>
      <c r="K3" s="2" t="inlineStr">
        <is>
          <t>Incoterm</t>
        </is>
      </c>
      <c r="L3" s="2" t="inlineStr">
        <is>
          <t>Závazná informace (BTI)</t>
        </is>
      </c>
      <c r="M3" s="2" t="inlineStr">
        <is>
          <t>CBAM</t>
        </is>
      </c>
      <c r="N3" s="2" t="inlineStr">
        <is>
          <t>Antidumping</t>
        </is>
      </c>
      <c r="O3" s="2" t="inlineStr">
        <is>
          <t>Poznámka</t>
        </is>
      </c>
    </row>
    <row r="4">
      <c r="A4" s="3" t="inlineStr">
        <is>
          <t>NINGBO SENG CZE MACROSPRAY CO., LTD.</t>
        </is>
      </c>
      <c r="B4" s="3" t="inlineStr">
        <is>
          <t>SC260904CZE</t>
        </is>
      </c>
      <c r="C4" s="3" t="inlineStr">
        <is>
          <t>8424897000</t>
        </is>
      </c>
      <c r="D4" s="3" t="inlineStr">
        <is>
          <t>Mechanický pistolový rozprašovač</t>
        </is>
      </c>
      <c r="E4" s="3" t="inlineStr">
        <is>
          <t>CN</t>
        </is>
      </c>
      <c r="F4" s="4" t="n">
        <v>207400</v>
      </c>
      <c r="G4" s="4" t="n">
        <v>658</v>
      </c>
      <c r="H4" s="5" t="n">
        <v>6212.29</v>
      </c>
      <c r="I4" s="5" t="n">
        <v>7040.29</v>
      </c>
      <c r="J4" s="6" t="n">
        <v>32171.4</v>
      </c>
      <c r="K4" s="3" t="inlineStr">
        <is>
          <t>FOB Ningbo</t>
        </is>
      </c>
      <c r="L4" s="3" t="inlineStr">
        <is>
          <t>CZBTI45/595966/2026-300000-ZI/01</t>
        </is>
      </c>
      <c r="M4" s="3" t="inlineStr">
        <is>
          <t>Ne</t>
        </is>
      </c>
      <c r="N4" s="3" t="inlineStr">
        <is>
          <t>Ne – ověřit TARIC</t>
        </is>
      </c>
      <c r="O4" s="3" t="inlineStr"/>
    </row>
    <row r="5">
      <c r="A5" s="3" t="inlineStr">
        <is>
          <t>NINGBO LINLONG PACKAGING CO., LTD.</t>
        </is>
      </c>
      <c r="B5" s="3" t="inlineStr">
        <is>
          <t>20260902-1</t>
        </is>
      </c>
      <c r="C5" s="3" t="inlineStr">
        <is>
          <t>3923501000</t>
        </is>
      </c>
      <c r="D5" s="3" t="inlineStr">
        <is>
          <t>Plastový uzávěr s vložkou k regulaci průtoku</t>
        </is>
      </c>
      <c r="E5" s="3" t="inlineStr">
        <is>
          <t>CN</t>
        </is>
      </c>
      <c r="F5" s="4" t="n">
        <v>444000</v>
      </c>
      <c r="G5" s="4" t="n">
        <v>222</v>
      </c>
      <c r="H5" s="5" t="n">
        <v>1909.2</v>
      </c>
      <c r="I5" s="5" t="n">
        <v>2131.2</v>
      </c>
      <c r="J5" s="6" t="n">
        <v>11544</v>
      </c>
      <c r="K5" s="3" t="inlineStr">
        <is>
          <t>FOB Ningbo</t>
        </is>
      </c>
      <c r="L5" s="3" t="inlineStr">
        <is>
          <t>CZBTI47/300214/2026-300000-ZI/01</t>
        </is>
      </c>
      <c r="M5" s="3" t="inlineStr">
        <is>
          <t>Ne</t>
        </is>
      </c>
      <c r="N5" s="3" t="inlineStr">
        <is>
          <t>Ne – ověřit TARIC</t>
        </is>
      </c>
      <c r="O5" s="3" t="inlineStr"/>
    </row>
    <row r="6">
      <c r="A6" s="3" t="inlineStr">
        <is>
          <t>ZHEJIANG EAED TECHNOLOGY DEVELOPMENT CO., LTD</t>
        </is>
      </c>
      <c r="B6" s="3" t="inlineStr">
        <is>
          <t>HS260908</t>
        </is>
      </c>
      <c r="C6" s="3" t="inlineStr">
        <is>
          <t>8424897000</t>
        </is>
      </c>
      <c r="D6" s="3" t="inlineStr">
        <is>
          <t>Mechanický rozprašovač s víčkem; Mechanický pistolový rozprašovač</t>
        </is>
      </c>
      <c r="E6" s="3" t="inlineStr">
        <is>
          <t>CN</t>
        </is>
      </c>
      <c r="F6" s="4" t="n">
        <v>94000</v>
      </c>
      <c r="G6" s="4" t="n">
        <v>134</v>
      </c>
      <c r="H6" s="5" t="n">
        <v>1092</v>
      </c>
      <c r="I6" s="5" t="n">
        <v>1198</v>
      </c>
      <c r="J6" s="6" t="n">
        <v>5108</v>
      </c>
      <c r="K6" s="3" t="inlineStr">
        <is>
          <t>FOB Ningbo</t>
        </is>
      </c>
      <c r="L6" s="3" t="inlineStr">
        <is>
          <t>CZBTI34/510101/2026-300000-ZI/01; CZBTI45/595966/2026-300000-ZI/01</t>
        </is>
      </c>
      <c r="M6" s="3" t="inlineStr">
        <is>
          <t>Ne</t>
        </is>
      </c>
      <c r="N6" s="3" t="inlineStr">
        <is>
          <t>Ne – ověřit TARIC</t>
        </is>
      </c>
      <c r="O6" s="7" t="inlineStr">
        <is>
          <t>Sloučeny 2 položky faktury se stejným HS kódem, ale s různými BTI a popisy – v JSD zvážit 2 samostatné položky (každá s vlastním BTI). Rozpad viz list 'Položky faktur'.</t>
        </is>
      </c>
    </row>
    <row r="7">
      <c r="A7" s="8" t="inlineStr">
        <is>
          <t>CELKEM</t>
        </is>
      </c>
      <c r="B7" s="8" t="n"/>
      <c r="C7" s="8" t="n"/>
      <c r="D7" s="8" t="n"/>
      <c r="E7" s="8" t="n"/>
      <c r="F7" s="9">
        <f>SUM(F4:F6)</f>
        <v/>
      </c>
      <c r="G7" s="9">
        <f>SUM(G4:G6)</f>
        <v/>
      </c>
      <c r="H7" s="10">
        <f>SUM(H4:H6)</f>
        <v/>
      </c>
      <c r="I7" s="10">
        <f>SUM(I4:I6)</f>
        <v/>
      </c>
      <c r="J7" s="11">
        <f>SUM(J4:J6)</f>
        <v/>
      </c>
      <c r="K7" s="8" t="n"/>
      <c r="L7" s="8" t="n"/>
      <c r="M7" s="8" t="n"/>
      <c r="N7" s="8" t="n"/>
      <c r="O7" s="8" t="n"/>
    </row>
    <row r="9">
      <c r="A9" s="12" t="inlineStr">
        <is>
          <t>Poznámky:</t>
        </is>
      </c>
    </row>
    <row r="10" ht="30" customHeight="1">
      <c r="A10" s="13" t="inlineStr">
        <is>
          <t>Incoterm: FOB Ningbo (všechny 3 faktury + dispozice klienta). Doprava 'FREIGHT COLLECT' – k celní hodnotě nutno přičíst dopravné po hranici EU; v dispozici pole 'Cena za dopravu' NEVYPLNĚNO → vyžádat fakturu za dopravu.</t>
        </is>
      </c>
    </row>
    <row r="11" ht="30" customHeight="1">
      <c r="A11" s="13" t="inlineStr">
        <is>
          <t>Hodnota = částka označená 'TOTAL' na každé faktuře (SC260904CZE: TOTAL US$32 171,40; 20260902-1: SAY TOTAL 11 544,00; HS260908: Total 5 108). Žádná sleva na fakturách.</t>
        </is>
      </c>
    </row>
    <row r="12" ht="30" customHeight="1">
      <c r="A12" s="13" t="inlineStr">
        <is>
          <t>HS kódy a české popisy převzaty od klienta (ručně dopsáno na fakturách + Dispozice k proclení Maurice 446), včetně čísel BTI – žádný kód nebyl odvozen pravidlem CCT/VPV KN.</t>
        </is>
      </c>
    </row>
    <row r="13" ht="30" customHeight="1">
      <c r="A13" s="13" t="inlineStr">
        <is>
          <t>Preferenční věta: NENÍ. REX číslo: NENÍ. Původ Čína – bez preferencí, platí smluvní clo (orientačně 8424 89 70 = 1,7 %, 3923 50 10 = 5,3 % – ověřit v TARIC).</t>
        </is>
      </c>
    </row>
    <row r="14" ht="30" customHeight="1">
      <c r="A14" s="13" t="inlineStr">
        <is>
          <t>CBAM: nevztahuje se (kap. 39 a 84 nejsou CBAM zboží). Melt and pour: nevztahuje se (plastové výrobky, ne železo/ocel).</t>
        </is>
      </c>
    </row>
    <row r="15" ht="30" customHeight="1">
      <c r="A15" s="13" t="inlineStr">
        <is>
          <t>Hmotnosti dle packing listů; hrubé hmotnosti souhlasí s HB/L A (1 198 kg), B (2 131,20 kg), C (7 040,29 kg).</t>
        </is>
      </c>
    </row>
  </sheetData>
  <mergeCells count="6">
    <mergeCell ref="A12:O12"/>
    <mergeCell ref="A15:O15"/>
    <mergeCell ref="A10:O10"/>
    <mergeCell ref="A13:O13"/>
    <mergeCell ref="A14:O14"/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36" customWidth="1" min="4" max="4"/>
    <col width="34" customWidth="1" min="5" max="5"/>
    <col width="40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</cols>
  <sheetData>
    <row r="1">
      <c r="A1" s="2" t="inlineStr">
        <is>
          <t>Odesílatel</t>
        </is>
      </c>
      <c r="B1" s="2" t="inlineStr">
        <is>
          <t>Faktura</t>
        </is>
      </c>
      <c r="C1" s="2" t="inlineStr">
        <is>
          <t>HS kód</t>
        </is>
      </c>
      <c r="D1" s="2" t="inlineStr">
        <is>
          <t>Popis CZ (klient)</t>
        </is>
      </c>
      <c r="E1" s="2" t="inlineStr">
        <is>
          <t>BTI</t>
        </is>
      </c>
      <c r="F1" s="2" t="inlineStr">
        <is>
          <t>Popis na faktuře (EN)</t>
        </is>
      </c>
      <c r="G1" s="2" t="inlineStr">
        <is>
          <t>Množství (ks)</t>
        </is>
      </c>
      <c r="H1" s="2" t="inlineStr">
        <is>
          <t>Kartony</t>
        </is>
      </c>
      <c r="I1" s="2" t="inlineStr">
        <is>
          <t>NW (kg)</t>
        </is>
      </c>
      <c r="J1" s="2" t="inlineStr">
        <is>
          <t>GW (kg)</t>
        </is>
      </c>
      <c r="K1" s="2" t="inlineStr">
        <is>
          <t>Total USD</t>
        </is>
      </c>
    </row>
    <row r="2">
      <c r="A2" s="3" t="inlineStr">
        <is>
          <t>NINGBO SENG CZE MACROSPRAY CO., LTD.</t>
        </is>
      </c>
      <c r="B2" s="3" t="inlineStr">
        <is>
          <t>SC260904CZE</t>
        </is>
      </c>
      <c r="C2" s="3" t="inlineStr">
        <is>
          <t>8424897000</t>
        </is>
      </c>
      <c r="D2" s="3" t="inlineStr">
        <is>
          <t>Mechanický pistolový rozprašovač</t>
        </is>
      </c>
      <c r="E2" s="3" t="inlineStr">
        <is>
          <t>CZBTI45/595966/2026-300000-ZI/01</t>
        </is>
      </c>
      <c r="F2" s="3" t="inlineStr">
        <is>
          <t>TRIGGER SPRAYER JF9308C/JF9304C</t>
        </is>
      </c>
      <c r="G2" s="3" t="n">
        <v>207400</v>
      </c>
      <c r="H2" s="3" t="n">
        <v>658</v>
      </c>
      <c r="I2" s="3" t="n">
        <v>6212.29</v>
      </c>
      <c r="J2" s="3" t="n">
        <v>7040.29</v>
      </c>
      <c r="K2" s="3" t="n">
        <v>32171.4</v>
      </c>
    </row>
    <row r="3">
      <c r="A3" s="3" t="inlineStr">
        <is>
          <t>NINGBO LINLONG PACKAGING CO., LTD.</t>
        </is>
      </c>
      <c r="B3" s="3" t="inlineStr">
        <is>
          <t>20260902-1</t>
        </is>
      </c>
      <c r="C3" s="3" t="inlineStr">
        <is>
          <t>3923501000</t>
        </is>
      </c>
      <c r="D3" s="3" t="inlineStr">
        <is>
          <t>Plastový uzávěr s vložkou k regulaci průtoku</t>
        </is>
      </c>
      <c r="E3" s="3" t="inlineStr">
        <is>
          <t>CZBTI47/300214/2026-300000-ZI/01</t>
        </is>
      </c>
      <c r="F3" s="3" t="inlineStr">
        <is>
          <t>SCREW CAP, matt blue</t>
        </is>
      </c>
      <c r="G3" s="3" t="n">
        <v>444000</v>
      </c>
      <c r="H3" s="3" t="n">
        <v>222</v>
      </c>
      <c r="I3" s="3" t="n">
        <v>1909.2</v>
      </c>
      <c r="J3" s="3" t="n">
        <v>2131.2</v>
      </c>
      <c r="K3" s="3" t="n">
        <v>11544</v>
      </c>
    </row>
    <row r="4">
      <c r="A4" s="3" t="inlineStr">
        <is>
          <t>ZHEJIANG EAED TECHNOLOGY DEVELOPMENT CO., LTD</t>
        </is>
      </c>
      <c r="B4" s="3" t="inlineStr">
        <is>
          <t>HS260908</t>
        </is>
      </c>
      <c r="C4" s="3" t="inlineStr">
        <is>
          <t>8424897000</t>
        </is>
      </c>
      <c r="D4" s="3" t="inlineStr">
        <is>
          <t>Mechanický rozprašovač s víčkem</t>
        </is>
      </c>
      <c r="E4" s="3" t="inlineStr">
        <is>
          <t>CZBTI34/510101/2026-300000-ZI/01</t>
        </is>
      </c>
      <c r="F4" s="3" t="inlineStr">
        <is>
          <t>18/410 white mist sprayer, tube 145 mm</t>
        </is>
      </c>
      <c r="G4" s="3" t="n">
        <v>54000</v>
      </c>
      <c r="H4" s="3" t="n">
        <v>54</v>
      </c>
      <c r="I4" s="3" t="n">
        <v>291</v>
      </c>
      <c r="J4" s="3" t="n">
        <v>320</v>
      </c>
      <c r="K4" s="3" t="n">
        <v>2268</v>
      </c>
    </row>
    <row r="5">
      <c r="A5" s="3" t="inlineStr">
        <is>
          <t>ZHEJIANG EAED TECHNOLOGY DEVELOPMENT CO., LTD</t>
        </is>
      </c>
      <c r="B5" s="3" t="inlineStr">
        <is>
          <t>HS260908</t>
        </is>
      </c>
      <c r="C5" s="3" t="inlineStr">
        <is>
          <t>8424897000</t>
        </is>
      </c>
      <c r="D5" s="3" t="inlineStr">
        <is>
          <t>Mechanický pistolový rozprašovač</t>
        </is>
      </c>
      <c r="E5" s="3" t="inlineStr">
        <is>
          <t>CZBTI45/595966/2026-300000-ZI/01</t>
        </is>
      </c>
      <c r="F5" s="3" t="inlineStr">
        <is>
          <t>28/410 blue trans. trigger sprayer HD-101F-C-A, tube 255 mm</t>
        </is>
      </c>
      <c r="G5" s="3" t="n">
        <v>40000</v>
      </c>
      <c r="H5" s="3" t="n">
        <v>80</v>
      </c>
      <c r="I5" s="3" t="n">
        <v>801</v>
      </c>
      <c r="J5" s="3" t="n">
        <v>878</v>
      </c>
      <c r="K5" s="3" t="n">
        <v>2840</v>
      </c>
    </row>
    <row r="6">
      <c r="A6" s="8" t="inlineStr">
        <is>
          <t>CELKEM</t>
        </is>
      </c>
      <c r="B6" s="8" t="n"/>
      <c r="C6" s="8" t="n"/>
      <c r="D6" s="8" t="n"/>
      <c r="E6" s="8" t="n"/>
      <c r="F6" s="8" t="n"/>
      <c r="G6" s="8">
        <f>SUM(G2:G5)</f>
        <v/>
      </c>
      <c r="H6" s="8">
        <f>SUM(H2:H5)</f>
        <v/>
      </c>
      <c r="I6" s="8">
        <f>SUM(I2:I5)</f>
        <v/>
      </c>
      <c r="J6" s="8">
        <f>SUM(J2:J5)</f>
        <v/>
      </c>
      <c r="K6" s="8">
        <f>SUM(K2:K5)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>
        <f>== ZÁSILKA ===</f>
        <v/>
      </c>
    </row>
    <row r="2">
      <c r="A2" s="15" t="inlineStr">
        <is>
          <t>Příjemce (CZ): G&amp;G Resources s.r.o., Teslova 1129/2B, 702 00 Ostrava-Přívoz. Kontakt: Iveta Gucká, 608 154 261.</t>
        </is>
      </c>
    </row>
    <row r="3">
      <c r="A3" s="15" t="inlineStr">
        <is>
          <t>Doručení: Raben Logistics Czech, a.s., CT Park, hala OP4, 17. listopadu 6241/1b, 708 00 Ostrava-Poruba (od 9:00, p. Jaroslav Dubravský, +420 731 635 886 / +420 777 123 834).</t>
        </is>
      </c>
    </row>
    <row r="4">
      <c r="A4" s="15" t="inlineStr">
        <is>
          <t>Požadavek klienta: JSD – propuštění do volného oběhu (ne T1).</t>
        </is>
      </c>
    </row>
    <row r="5">
      <c r="A5" s="15" t="inlineStr">
        <is>
          <t>HB/L AHD26090036A / B / C (forwarder XHD, carrier MSK), loď AL MURAYKH 636W, Ningbo → Bremerhaven → Paskov, datum 2026-09-13.</t>
        </is>
      </c>
    </row>
    <row r="6">
      <c r="A6" s="15" t="inlineStr">
        <is>
          <t>Kontejner MRSU8662397 / plomba CN9156267 (40'HQ) – celkem 1 014 kartonů, 10 369,49 kg GW, 68,73 CBM.</t>
        </is>
      </c>
    </row>
    <row r="7">
      <c r="A7" s="15" t="inlineStr"/>
    </row>
    <row r="8">
      <c r="A8" s="14">
        <f>== PŘIJATÉ DOKUMENTY ===</f>
        <v/>
      </c>
    </row>
    <row r="9">
      <c r="A9" s="15" t="inlineStr">
        <is>
          <t>✓ HB/L AHD26090036A – Zhejiang EAED: 134 ctn, 1 198 kg, 7,80 CBM (trigger sprayer, mist sprayer)</t>
        </is>
      </c>
    </row>
    <row r="10">
      <c r="A10" s="15" t="inlineStr">
        <is>
          <t>✓ HB/L AHD26090036B – Ningbo Linlong: 222 ctn, 2 131,20 kg, 12,79 CBM (screw cap)</t>
        </is>
      </c>
    </row>
    <row r="11">
      <c r="A11" s="15" t="inlineStr">
        <is>
          <t>✓ HB/L AHD26090036C – Ningbo Seng Cze Macrospray: 658 ctn, 7 040,29 kg, 48,14 CBM (trigger sprayer)</t>
        </is>
      </c>
    </row>
    <row r="12">
      <c r="A12" s="15" t="inlineStr">
        <is>
          <t>✓ Faktura + PL SC260904CZE (04.09.2026) – TOTAL US$32 171,40</t>
        </is>
      </c>
    </row>
    <row r="13">
      <c r="A13" s="15" t="inlineStr">
        <is>
          <t>✓ Faktura + PL 20260902-1 (02.09.2026, PI2623-B) – TOTAL US$11 544,00</t>
        </is>
      </c>
    </row>
    <row r="14">
      <c r="A14" s="15" t="inlineStr">
        <is>
          <t>✓ Faktura + PL HS260908 (08.09.2026) – Total US$5 108,00</t>
        </is>
      </c>
    </row>
    <row r="15">
      <c r="A15" s="15" t="inlineStr">
        <is>
          <t>✓ Dispozice k proclení (Maurice 446) – HS kódy, české popisy, BTI, hmotnosti</t>
        </is>
      </c>
    </row>
    <row r="16">
      <c r="A16" s="15" t="inlineStr">
        <is>
          <t>✗ CHYBÍ: faktura za dopravu (FOB + freight collect → dopravné do místa vstupu do EU musí být v celní hodnotě)</t>
        </is>
      </c>
    </row>
    <row r="17">
      <c r="A17" s="15" t="inlineStr"/>
    </row>
    <row r="18">
      <c r="A18" s="14">
        <f>== PREFERENČNÍ PŮVOD / REX ===</f>
        <v/>
      </c>
    </row>
    <row r="19">
      <c r="A19" s="15" t="inlineStr">
        <is>
          <t>Preferenční věta: NENALEZENA v žádném dokladu. Původ: Čína (EU nemá s ČLR preferenční dohodu) → standardní smluvní clo.</t>
        </is>
      </c>
    </row>
    <row r="20">
      <c r="A20" s="15" t="inlineStr">
        <is>
          <t>REX číslo: NENÍ uvedeno na žádné faktuře.</t>
        </is>
      </c>
    </row>
    <row r="21">
      <c r="A21" s="15" t="inlineStr"/>
    </row>
    <row r="22">
      <c r="A22" s="14">
        <f>== CBAM ===</f>
        <v/>
      </c>
    </row>
    <row r="23">
      <c r="A23" s="15" t="inlineStr">
        <is>
          <t>Žádný HS kód v zásilce nespadá pod CBAM (39235010, 84248970). Lookup v CBAM registru není nutný; pro info: G&amp;G Resources s.r.o. v reference/CBAM_receivers_CZ.xlsx NENÍ.</t>
        </is>
      </c>
    </row>
    <row r="24">
      <c r="A24" s="15" t="inlineStr"/>
    </row>
    <row r="25">
      <c r="A25" s="14">
        <f>== MELT AND POUR ===</f>
        <v/>
      </c>
    </row>
    <row r="26">
      <c r="A26" s="15" t="inlineStr">
        <is>
          <t>Nevztahuje se – zboží není ze železa/oceli (plastové rozprašovače a uzávěry).</t>
        </is>
      </c>
    </row>
    <row r="27">
      <c r="A27" s="15" t="inlineStr"/>
    </row>
    <row r="28">
      <c r="A28" s="14">
        <f>== ANTIDUMPING ===</f>
        <v/>
      </c>
    </row>
    <row r="29">
      <c r="A29" s="15" t="inlineStr">
        <is>
          <t>Z dokladů ani z mých znalostí nevyplývá antidumpingové clo na 8424 89 70 ani 3923 50 10 z CN – PŘED PODÁNÍM OVĚŘIT V TARIC (doplňkové kódy).</t>
        </is>
      </c>
    </row>
    <row r="30">
      <c r="A30" s="15" t="inlineStr"/>
    </row>
    <row r="31">
      <c r="A31" s="14">
        <f>== ROZDÍLY / KONTROLY ===</f>
        <v/>
      </c>
    </row>
    <row r="32">
      <c r="A32" s="15" t="inlineStr">
        <is>
          <t>Dispozice uvádí odesílatele 'ZHEJIANG EAED TECHNOLOGY DEVELOPMENT CO., LTLD' – překlep, správně 'CO., LTD' (dle faktury a HB/L).</t>
        </is>
      </c>
    </row>
    <row r="33">
      <c r="A33" s="15" t="inlineStr">
        <is>
          <t>Množství, hmotnosti a hodnoty na fakturách/PL souhlasí s dispozicí klienta i s HB/L.</t>
        </is>
      </c>
    </row>
    <row r="34">
      <c r="A34" s="15" t="inlineStr">
        <is>
          <t>Součet NW (EAED): 291 + 801 = 1 092 kg; GW 320 + 878 = 1 198 kg – souhlasí s PL i HB/L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2026-10-12T14:20:37Z</dcterms:created>
  <dcterms:modified xmlns:dcterms="http://purl.org/dc/terms/" xmlns:xsi="http://www.w3.org/2001/XMLSchema-instance" xsi:type="dcterms:W3CDTF">2026-10-12T14:20:37Z</dcterms:modified>
</cp:coreProperties>
</file>