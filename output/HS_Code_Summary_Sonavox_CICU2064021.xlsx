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faktur" sheetId="2" state="visible" r:id="rId2"/>
    <sheet xmlns:r="http://schemas.openxmlformats.org/officeDocument/2006/relationships" name="Kontrol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49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4" fontId="4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6" borderId="0" pivotButton="0" quotePrefix="0" xfId="0"/>
    <xf numFmtId="0" fontId="0" fillId="6" borderId="0" pivotButton="0" quotePrefix="0" xfId="0"/>
    <xf numFmtId="3" fontId="2" fillId="6" borderId="1" pivotButton="0" quotePrefix="0" xfId="0"/>
    <xf numFmtId="164" fontId="2" fillId="6" borderId="1" pivotButton="0" quotePrefix="0" xfId="0"/>
    <xf numFmtId="4" fontId="2" fillId="6" borderId="1" pivotButton="0" quotePrefix="0" xfId="0"/>
    <xf numFmtId="0" fontId="3" fillId="4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3" fillId="4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M53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70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38" customWidth="1" min="11" max="11"/>
    <col width="38" customWidth="1" min="12" max="12"/>
    <col width="70" customWidth="1" min="13" max="13"/>
  </cols>
  <sheetData>
    <row r="1">
      <c r="A1" s="1" t="inlineStr">
        <is>
          <t>HS Code Summary – Sonavox – CICU2064021</t>
        </is>
      </c>
    </row>
    <row r="3">
      <c r="A3" s="2" t="inlineStr">
        <is>
          <t>Klient / příjemce (CZ)</t>
        </is>
      </c>
      <c r="B3" t="inlineStr">
        <is>
          <t>Sonavox Technology CZ s.r.o., Lhotka nad Bečvou 93, 756 41 Lešná – EORI/DIČ CZ28632389 (dle ref. souboru klienta)</t>
        </is>
      </c>
    </row>
    <row r="4">
      <c r="A4" s="2" t="inlineStr">
        <is>
          <t>Zásilka</t>
        </is>
      </c>
      <c r="B4" t="inlineStr">
        <is>
          <t>Kontejner CICU2064021 (1×40HQ), FCR/HBL TECGO26090103, CIM 38272351, plomby 733543 / 4889703</t>
        </is>
      </c>
    </row>
    <row r="5">
      <c r="A5" s="2" t="inlineStr">
        <is>
          <t>Trasa</t>
        </is>
      </c>
      <c r="B5" t="inlineStr">
        <is>
          <t>Vlak WB-2026-0910-X8041: Wuhan, Hubei → Malaszewicze (PL); vystaveno 17.09.2026, FREIGHT COLLECT</t>
        </is>
      </c>
    </row>
    <row r="6">
      <c r="A6" s="2" t="inlineStr">
        <is>
          <t>Incoterm</t>
        </is>
      </c>
      <c r="B6" s="3" t="inlineStr">
        <is>
          <t>FOB – MÍSTO NEUVEDENO (faktury: 'Terms of Payment: FOB' bez pojmenovaného místa; nakládka Wuhan, prodávající Suzhou) → DOPLNIT</t>
        </is>
      </c>
    </row>
    <row r="7">
      <c r="A7" s="2" t="inlineStr">
        <is>
          <t>Země původu</t>
        </is>
      </c>
      <c r="B7" t="inlineStr">
        <is>
          <t>Čína (CN) – všechny položky</t>
        </is>
      </c>
    </row>
    <row r="8">
      <c r="A8" s="2" t="inlineStr">
        <is>
          <t>Měna</t>
        </is>
      </c>
      <c r="B8" t="inlineStr">
        <is>
          <t>EUR</t>
        </is>
      </c>
    </row>
    <row r="9">
      <c r="A9" s="2" t="inlineStr">
        <is>
          <t>Preferenční věta / REX</t>
        </is>
      </c>
      <c r="B9" t="inlineStr">
        <is>
          <t>NE – preferenční prohlášení o původu ani REX číslo na fakturách nejsou → standardní (třetí země) clo</t>
        </is>
      </c>
    </row>
    <row r="10">
      <c r="A10" s="2" t="inlineStr">
        <is>
          <t>CBAM</t>
        </is>
      </c>
      <c r="B10" s="4" t="inlineStr">
        <is>
          <t>Ano – 7318169290 (matice). Příjemce v registru: Y137 (do 50 t ročně) – viz list Kontroly</t>
        </is>
      </c>
    </row>
    <row r="11">
      <c r="A11" s="2" t="inlineStr">
        <is>
          <t>Melt and pour</t>
        </is>
      </c>
      <c r="B11" s="3" t="inlineStr">
        <is>
          <t>Hutní atest / země tavby a odlití CHYBÍ – ocelové matice (+ ocelové díly front plate, T-yoke)</t>
        </is>
      </c>
    </row>
    <row r="13">
      <c r="A13" s="5" t="inlineStr">
        <is>
          <t>Odesílatel</t>
        </is>
      </c>
      <c r="B13" s="5" t="inlineStr">
        <is>
          <t>Faktura</t>
        </is>
      </c>
      <c r="C13" s="5" t="inlineStr">
        <is>
          <t>HS kód (TARIC)</t>
        </is>
      </c>
      <c r="D13" s="5" t="inlineStr">
        <is>
          <t>Popis zboží (CZ – dle klienta)</t>
        </is>
      </c>
      <c r="E13" s="5" t="inlineStr">
        <is>
          <t>Množství (ks)</t>
        </is>
      </c>
      <c r="F13" s="5" t="inlineStr">
        <is>
          <t>Čistá hmotnost (kg)</t>
        </is>
      </c>
      <c r="G13" s="5" t="inlineStr">
        <is>
          <t>Hrubá hmotnost (kg)</t>
        </is>
      </c>
      <c r="H13" s="5" t="inlineStr">
        <is>
          <t>Hodnota EUR (Total)</t>
        </is>
      </c>
      <c r="I13" s="5" t="inlineStr">
        <is>
          <t>Sazba cla (dle klienta)</t>
        </is>
      </c>
      <c r="J13" s="5" t="inlineStr">
        <is>
          <t>Příznak</t>
        </is>
      </c>
      <c r="K13" s="5" t="inlineStr">
        <is>
          <t>Zdroj HS kódu (ref. Sonavox)</t>
        </is>
      </c>
      <c r="L13" s="5" t="inlineStr">
        <is>
          <t>Díly (part numbers)</t>
        </is>
      </c>
      <c r="M13" s="5" t="inlineStr">
        <is>
          <t>Poznámka</t>
        </is>
      </c>
    </row>
    <row r="14">
      <c r="A14" s="6" t="inlineStr">
        <is>
          <t>Suzhou Sonavox Electronics Co., Ltd</t>
        </is>
      </c>
      <c r="B14" s="6" t="inlineStr">
        <is>
          <t>CZ20260904-1</t>
        </is>
      </c>
      <c r="C14" s="7" t="inlineStr">
        <is>
          <t>8518290090</t>
        </is>
      </c>
      <c r="D14" s="6" t="inlineStr">
        <is>
          <t>• Subwoofer
• Hotové reproduktory</t>
        </is>
      </c>
      <c r="E14" s="8" t="n">
        <v>2940</v>
      </c>
      <c r="F14" s="9" t="n">
        <v>2063.4</v>
      </c>
      <c r="G14" s="9" t="n">
        <v>2250.82</v>
      </c>
      <c r="H14" s="10" t="n">
        <v>22266.94</v>
      </c>
      <c r="I14" s="11" t="inlineStr">
        <is>
          <t>3 % (dle List1; ověřit TARIC)</t>
        </is>
      </c>
      <c r="J14" s="11" t="inlineStr"/>
      <c r="K14" s="11" t="inlineStr">
        <is>
          <t>List1 ř.11 'Subwoofer' + List2 ř.197 ('tohle řadíme pod 8518290090') | List1 ř.9–10 'Hotové reproduktory' + List2 ř.197 ('tohle řadíme pod 8518290090')</t>
        </is>
      </c>
      <c r="L14" s="11" t="inlineStr">
        <is>
          <t>IM-SW6515-VWCZ, IM-40138L-BMWCZ, IM-65220G-BYCZ, IM-SW6550-SKCZ, IM-65386-BYCZ, IM-65387-BYCZ, IM-40137L-BMWCZ</t>
        </is>
      </c>
      <c r="M14" s="11" t="inlineStr">
        <is>
          <t>Hotové autoreproduktory bez skříně (8518 29). List1 klienta uvádí starší kód 8518 29 95 (3 %) – ověřit platný TARIC. Pokud by byly dodány ve skříni → 8518 21 00 (4,5 %).</t>
        </is>
      </c>
    </row>
    <row r="15" outlineLevel="1">
      <c r="A15" s="12" t="inlineStr">
        <is>
          <t xml:space="preserve">   ↳ položka faktury</t>
        </is>
      </c>
      <c r="B15" s="12" t="inlineStr">
        <is>
          <t>CZ20260904-1</t>
        </is>
      </c>
      <c r="C15" s="13" t="inlineStr">
        <is>
          <t>8518290090</t>
        </is>
      </c>
      <c r="D15" s="12" t="inlineStr">
        <is>
          <t>Subwoofer  ← faktura: "Car Speaker"</t>
        </is>
      </c>
      <c r="E15" s="14" t="n">
        <v>540</v>
      </c>
      <c r="F15" s="15" t="n">
        <v>313.2</v>
      </c>
      <c r="G15" s="15" t="n">
        <v>350</v>
      </c>
      <c r="H15" s="16" t="n">
        <v>2381.4</v>
      </c>
      <c r="I15" s="12" t="inlineStr"/>
      <c r="J15" s="12" t="inlineStr"/>
      <c r="K15" s="12" t="inlineStr">
        <is>
          <t>List1 ř.11 'Subwoofer' + List2 ř.197 ('tohle řadíme pod 8518290090')</t>
        </is>
      </c>
      <c r="L15" s="12" t="inlineStr">
        <is>
          <t>IM-SW6515-VWCZ</t>
        </is>
      </c>
      <c r="M15" s="12" t="inlineStr"/>
    </row>
    <row r="16" outlineLevel="1">
      <c r="A16" s="12" t="inlineStr">
        <is>
          <t xml:space="preserve">   ↳ položka faktury</t>
        </is>
      </c>
      <c r="B16" s="12" t="inlineStr">
        <is>
          <t>CZ20260904-1</t>
        </is>
      </c>
      <c r="C16" s="13" t="inlineStr">
        <is>
          <t>8518290090</t>
        </is>
      </c>
      <c r="D16" s="12" t="inlineStr">
        <is>
          <t>Hotové reproduktory  ← faktura: "Car Speaker"</t>
        </is>
      </c>
      <c r="E16" s="14" t="n">
        <v>540</v>
      </c>
      <c r="F16" s="15" t="n">
        <v>253.8</v>
      </c>
      <c r="G16" s="15" t="n">
        <v>270</v>
      </c>
      <c r="H16" s="16" t="n">
        <v>4594.21</v>
      </c>
      <c r="I16" s="12" t="inlineStr"/>
      <c r="J16" s="12" t="inlineStr"/>
      <c r="K16" s="12" t="inlineStr">
        <is>
          <t>List1 ř.9–10 'Hotové reproduktory' + List2 ř.197 ('tohle řadíme pod 8518290090')</t>
        </is>
      </c>
      <c r="L16" s="12" t="inlineStr">
        <is>
          <t>IM-40138L-BMWCZ</t>
        </is>
      </c>
      <c r="M16" s="12" t="inlineStr"/>
    </row>
    <row r="17" outlineLevel="1">
      <c r="A17" s="12" t="inlineStr">
        <is>
          <t xml:space="preserve">   ↳ položka faktury</t>
        </is>
      </c>
      <c r="B17" s="12" t="inlineStr">
        <is>
          <t>CZ20260904-1</t>
        </is>
      </c>
      <c r="C17" s="13" t="inlineStr">
        <is>
          <t>8518290090</t>
        </is>
      </c>
      <c r="D17" s="12" t="inlineStr">
        <is>
          <t>Hotové reproduktory  ← faktura: "Car Speaker"</t>
        </is>
      </c>
      <c r="E17" s="14" t="n">
        <v>360</v>
      </c>
      <c r="F17" s="15" t="n">
        <v>270</v>
      </c>
      <c r="G17" s="15" t="n">
        <v>308</v>
      </c>
      <c r="H17" s="16" t="n">
        <v>3623.72</v>
      </c>
      <c r="I17" s="12" t="inlineStr"/>
      <c r="J17" s="12" t="inlineStr"/>
      <c r="K17" s="12" t="inlineStr">
        <is>
          <t>List1 ř.9–10 'Hotové reproduktory' + List2 ř.197 ('tohle řadíme pod 8518290090')</t>
        </is>
      </c>
      <c r="L17" s="12" t="inlineStr">
        <is>
          <t>IM-65220G-BYCZ</t>
        </is>
      </c>
      <c r="M17" s="12" t="inlineStr"/>
    </row>
    <row r="18" outlineLevel="1">
      <c r="A18" s="12" t="inlineStr">
        <is>
          <t xml:space="preserve">   ↳ položka faktury</t>
        </is>
      </c>
      <c r="B18" s="12" t="inlineStr">
        <is>
          <t>CZ20260904-1</t>
        </is>
      </c>
      <c r="C18" s="13" t="inlineStr">
        <is>
          <t>8518290090</t>
        </is>
      </c>
      <c r="D18" s="12" t="inlineStr">
        <is>
          <t>Subwoofer  ← faktura: "Car Speaker"</t>
        </is>
      </c>
      <c r="E18" s="14" t="n">
        <v>540</v>
      </c>
      <c r="F18" s="15" t="n">
        <v>664.2</v>
      </c>
      <c r="G18" s="15" t="n">
        <v>705.8200000000001</v>
      </c>
      <c r="H18" s="16" t="n">
        <v>3607.2</v>
      </c>
      <c r="I18" s="12" t="inlineStr"/>
      <c r="J18" s="12" t="inlineStr"/>
      <c r="K18" s="12" t="inlineStr">
        <is>
          <t>List1 ř.11 'Subwoofer' + List2 ř.197 ('tohle řadíme pod 8518290090')</t>
        </is>
      </c>
      <c r="L18" s="12" t="inlineStr">
        <is>
          <t>IM-SW6550-SKCZ</t>
        </is>
      </c>
      <c r="M18" s="12" t="inlineStr"/>
    </row>
    <row r="19" outlineLevel="1">
      <c r="A19" s="12" t="inlineStr">
        <is>
          <t xml:space="preserve">   ↳ položka faktury</t>
        </is>
      </c>
      <c r="B19" s="12" t="inlineStr">
        <is>
          <t>CZ20260904-1</t>
        </is>
      </c>
      <c r="C19" s="13" t="inlineStr">
        <is>
          <t>8518290090</t>
        </is>
      </c>
      <c r="D19" s="12" t="inlineStr">
        <is>
          <t>Hotové reproduktory  ← faktura: "Car Speaker"</t>
        </is>
      </c>
      <c r="E19" s="14" t="n">
        <v>240</v>
      </c>
      <c r="F19" s="15" t="n">
        <v>175.2</v>
      </c>
      <c r="G19" s="15" t="n">
        <v>195</v>
      </c>
      <c r="H19" s="16" t="n">
        <v>2058.46</v>
      </c>
      <c r="I19" s="12" t="inlineStr"/>
      <c r="J19" s="12" t="inlineStr"/>
      <c r="K19" s="12" t="inlineStr">
        <is>
          <t>List1 ř.9–10 'Hotové reproduktory' + List2 ř.197 ('tohle řadíme pod 8518290090')</t>
        </is>
      </c>
      <c r="L19" s="12" t="inlineStr">
        <is>
          <t>IM-65386-BYCZ</t>
        </is>
      </c>
      <c r="M19" s="12" t="inlineStr"/>
    </row>
    <row r="20" outlineLevel="1">
      <c r="A20" s="12" t="inlineStr">
        <is>
          <t xml:space="preserve">   ↳ položka faktury</t>
        </is>
      </c>
      <c r="B20" s="12" t="inlineStr">
        <is>
          <t>CZ20260904-1</t>
        </is>
      </c>
      <c r="C20" s="13" t="inlineStr">
        <is>
          <t>8518290090</t>
        </is>
      </c>
      <c r="D20" s="12" t="inlineStr">
        <is>
          <t>Hotové reproduktory  ← faktura: "Car Speaker"</t>
        </is>
      </c>
      <c r="E20" s="14" t="n">
        <v>180</v>
      </c>
      <c r="F20" s="15" t="n">
        <v>133.2</v>
      </c>
      <c r="G20" s="15" t="n">
        <v>152</v>
      </c>
      <c r="H20" s="16" t="n">
        <v>1802.86</v>
      </c>
      <c r="I20" s="12" t="inlineStr"/>
      <c r="J20" s="12" t="inlineStr"/>
      <c r="K20" s="12" t="inlineStr">
        <is>
          <t>List1 ř.9–10 'Hotové reproduktory' + List2 ř.197 ('tohle řadíme pod 8518290090')</t>
        </is>
      </c>
      <c r="L20" s="12" t="inlineStr">
        <is>
          <t>IM-65387-BYCZ</t>
        </is>
      </c>
      <c r="M20" s="12" t="inlineStr"/>
    </row>
    <row r="21" outlineLevel="1">
      <c r="A21" s="12" t="inlineStr">
        <is>
          <t xml:space="preserve">   ↳ položka faktury</t>
        </is>
      </c>
      <c r="B21" s="12" t="inlineStr">
        <is>
          <t>CZ20260904-1</t>
        </is>
      </c>
      <c r="C21" s="13" t="inlineStr">
        <is>
          <t>8518290090</t>
        </is>
      </c>
      <c r="D21" s="12" t="inlineStr">
        <is>
          <t>Hotové reproduktory  ← faktura: "Car Speaker"</t>
        </is>
      </c>
      <c r="E21" s="14" t="n">
        <v>540</v>
      </c>
      <c r="F21" s="15" t="n">
        <v>253.8</v>
      </c>
      <c r="G21" s="15" t="n">
        <v>270</v>
      </c>
      <c r="H21" s="16" t="n">
        <v>4199.09</v>
      </c>
      <c r="I21" s="12" t="inlineStr"/>
      <c r="J21" s="12" t="inlineStr"/>
      <c r="K21" s="12" t="inlineStr">
        <is>
          <t>List1 ř.9–10 'Hotové reproduktory' + List2 ř.197 ('tohle řadíme pod 8518290090')</t>
        </is>
      </c>
      <c r="L21" s="12" t="inlineStr">
        <is>
          <t>IM-40137L-BMWCZ</t>
        </is>
      </c>
      <c r="M21" s="12" t="inlineStr"/>
    </row>
    <row r="22">
      <c r="A22" s="6" t="inlineStr">
        <is>
          <t>Suzhou Sonavox Electronics Co., Ltd</t>
        </is>
      </c>
      <c r="B22" s="6" t="inlineStr">
        <is>
          <t>CZ20260904-1</t>
        </is>
      </c>
      <c r="C22" s="7" t="inlineStr">
        <is>
          <t>8518900000</t>
        </is>
      </c>
      <c r="D22" s="6" t="inlineStr">
        <is>
          <t>• magnetický obvod</t>
        </is>
      </c>
      <c r="E22" s="8" t="n">
        <v>13341</v>
      </c>
      <c r="F22" s="9" t="n">
        <v>4431.03</v>
      </c>
      <c r="G22" s="9" t="n">
        <v>4598.92</v>
      </c>
      <c r="H22" s="10" t="n">
        <v>5696.96</v>
      </c>
      <c r="I22" s="11" t="inlineStr">
        <is>
          <t>0 %</t>
        </is>
      </c>
      <c r="J22" s="11" t="inlineStr"/>
      <c r="K22" s="11" t="inlineStr">
        <is>
          <t>List2 ř.37 'magnetický obvod'; řada 212-* = magnetový obvod (List1 ř.3: 212-65163-CZ)</t>
        </is>
      </c>
      <c r="L22" s="11" t="inlineStr">
        <is>
          <t>212-8061-1-CZ, 212-65424-CZ, 212-65581-CZ</t>
        </is>
      </c>
      <c r="M22" s="11" t="inlineStr">
        <is>
          <t>Faktura uvádí jen 'Speaker component'; díly 212-* = řada magnetových obvodů (List1 ř.3: 212-65163-CZ) → 'magnetický obvod'. Pokud neodymové → ověřit 8518 9000 30.</t>
        </is>
      </c>
    </row>
    <row r="23" outlineLevel="1">
      <c r="A23" s="12" t="inlineStr">
        <is>
          <t xml:space="preserve">   ↳ položka faktury</t>
        </is>
      </c>
      <c r="B23" s="12" t="inlineStr">
        <is>
          <t>CZ20260904-1</t>
        </is>
      </c>
      <c r="C23" s="13" t="inlineStr">
        <is>
          <t>8518900000</t>
        </is>
      </c>
      <c r="D23" s="12" t="inlineStr">
        <is>
          <t>magnetický obvod  ← faktura: "Speaker component"</t>
        </is>
      </c>
      <c r="E23" s="14" t="n">
        <v>4608</v>
      </c>
      <c r="F23" s="15" t="n">
        <v>2211.84</v>
      </c>
      <c r="G23" s="15" t="n">
        <v>2312</v>
      </c>
      <c r="H23" s="16" t="n">
        <v>3170.3</v>
      </c>
      <c r="I23" s="12" t="inlineStr"/>
      <c r="J23" s="12" t="inlineStr"/>
      <c r="K23" s="12" t="inlineStr">
        <is>
          <t>List2 ř.37 'magnetický obvod'; řada 212-* = magnetový obvod (List1 ř.3: 212-65163-CZ)</t>
        </is>
      </c>
      <c r="L23" s="12" t="inlineStr">
        <is>
          <t>212-8061-1-CZ</t>
        </is>
      </c>
      <c r="M23" s="12" t="inlineStr"/>
    </row>
    <row r="24" outlineLevel="1">
      <c r="A24" s="12" t="inlineStr">
        <is>
          <t xml:space="preserve">   ↳ položka faktury</t>
        </is>
      </c>
      <c r="B24" s="12" t="inlineStr">
        <is>
          <t>CZ20260904-1</t>
        </is>
      </c>
      <c r="C24" s="13" t="inlineStr">
        <is>
          <t>8518900000</t>
        </is>
      </c>
      <c r="D24" s="12" t="inlineStr">
        <is>
          <t>magnetický obvod  ← faktura: "Speaker component"</t>
        </is>
      </c>
      <c r="E24" s="14" t="n">
        <v>7680</v>
      </c>
      <c r="F24" s="15" t="n">
        <v>1766.4</v>
      </c>
      <c r="G24" s="15" t="n">
        <v>1797.6</v>
      </c>
      <c r="H24" s="16" t="n">
        <v>1831.68</v>
      </c>
      <c r="I24" s="12" t="inlineStr"/>
      <c r="J24" s="12" t="inlineStr"/>
      <c r="K24" s="12" t="inlineStr">
        <is>
          <t>List2 ř.37 'magnetický obvod'; řada 212-* = magnetový obvod (List1 ř.3: 212-65163-CZ)</t>
        </is>
      </c>
      <c r="L24" s="12" t="inlineStr">
        <is>
          <t>212-65424-CZ</t>
        </is>
      </c>
      <c r="M24" s="12" t="inlineStr"/>
    </row>
    <row r="25" outlineLevel="1">
      <c r="A25" s="12" t="inlineStr">
        <is>
          <t xml:space="preserve">   ↳ položka faktury</t>
        </is>
      </c>
      <c r="B25" s="12" t="inlineStr">
        <is>
          <t>CZ20260904-1</t>
        </is>
      </c>
      <c r="C25" s="13" t="inlineStr">
        <is>
          <t>8518900000</t>
        </is>
      </c>
      <c r="D25" s="12" t="inlineStr">
        <is>
          <t>magnetický obvod  ← faktura: "Speaker component"</t>
        </is>
      </c>
      <c r="E25" s="14" t="n">
        <v>1053</v>
      </c>
      <c r="F25" s="15" t="n">
        <v>452.79</v>
      </c>
      <c r="G25" s="15" t="n">
        <v>489.32</v>
      </c>
      <c r="H25" s="16" t="n">
        <v>694.98</v>
      </c>
      <c r="I25" s="12" t="inlineStr"/>
      <c r="J25" s="12" t="inlineStr"/>
      <c r="K25" s="12" t="inlineStr">
        <is>
          <t>List2 ř.37 'magnetický obvod'; řada 212-* = magnetový obvod (List1 ř.3: 212-65163-CZ)</t>
        </is>
      </c>
      <c r="L25" s="12" t="inlineStr">
        <is>
          <t>212-65581-CZ</t>
        </is>
      </c>
      <c r="M25" s="12" t="inlineStr"/>
    </row>
    <row r="26">
      <c r="A26" s="6" t="inlineStr">
        <is>
          <t>Suzhou Sonavox International Trading Co., Ltd</t>
        </is>
      </c>
      <c r="B26" s="6" t="inlineStr">
        <is>
          <t>CZ20260904</t>
        </is>
      </c>
      <c r="C26" s="7" t="inlineStr">
        <is>
          <t>8518900000</t>
        </is>
      </c>
      <c r="D26" s="17" t="inlineStr">
        <is>
          <t>• ocelová deska (přední deska)
• jádro magnetického obvodu
• Středící membrána
• Terminál
• Membrána s vlnkou
• Feritový magnet ⚠</t>
        </is>
      </c>
      <c r="E26" s="8" t="n">
        <v>421600</v>
      </c>
      <c r="F26" s="9" t="n">
        <v>14073.14</v>
      </c>
      <c r="G26" s="9" t="n">
        <v>14453.57</v>
      </c>
      <c r="H26" s="10" t="n">
        <v>32400.41</v>
      </c>
      <c r="I26" s="11" t="inlineStr">
        <is>
          <t>0 %</t>
        </is>
      </c>
      <c r="J26" s="11" t="inlineStr"/>
      <c r="K26" s="11" t="inlineStr">
        <is>
          <t>List2 ř.14 (+ dřívější JSD 85189000 00) | List2 ř.23 | List2 ř.7 | List2 ř.51 + ř.205 (díl 181-40133-1SN-CZ) | List2 ř.8 / List1 ř.4 | List2 ř.29 'MAGNET' 8518900000 – CZ popis v ref. souboru NENÍ (S753215 = kroužek 75×32×15 mm, Y30 = ferit)</t>
        </is>
      </c>
      <c r="L26" s="11" t="inlineStr">
        <is>
          <t>040-65E4-C-CZ, 210-50D3-17.5TCR-CZ, 021-88E00-9-2-CZ, 181-40133-1SN-CZ, 181-40133-2SN-CZ, 140-35D14-44XP1-CZ, 015-S753215-Y30-KS-CZ, 210-66E2-24.5TCR-1-CZ</t>
        </is>
      </c>
      <c r="M26" s="11" t="inlineStr">
        <is>
          <t>Front plate: List1/List2 uvádí 8518900090, ale dřívější JSD klienta (přední deska) = 85189000 00 – '90' byla čistá hmotnost. 015-S753215-Y30-KS-CZ = feritový magnet (kroužek 75×32×15 mm, Y30; 260 g/ks sedí) – český popis v ref. souboru klienta NENÍ, doplněn námi; dle Pozn. 2a k tř. XVI by mohl patřit pod 8505 19 – klient řadí magnety pod 8518900000 (List2 'MAGNET'). Ocelové díly (front plate, T-yoke) – viz melt and pour.</t>
        </is>
      </c>
    </row>
    <row r="27" outlineLevel="1">
      <c r="A27" s="12" t="inlineStr">
        <is>
          <t xml:space="preserve">   ↳ položka faktury</t>
        </is>
      </c>
      <c r="B27" s="12" t="inlineStr">
        <is>
          <t>CZ20260904</t>
        </is>
      </c>
      <c r="C27" s="13" t="inlineStr">
        <is>
          <t>8518900000</t>
        </is>
      </c>
      <c r="D27" s="12" t="inlineStr">
        <is>
          <t>ocelová deska (přední deska)  ← faktura: "Front plate"</t>
        </is>
      </c>
      <c r="E27" s="14" t="n">
        <v>3000</v>
      </c>
      <c r="F27" s="15" t="n">
        <v>222</v>
      </c>
      <c r="G27" s="15" t="n">
        <v>225.43</v>
      </c>
      <c r="H27" s="16" t="n">
        <v>309.9</v>
      </c>
      <c r="I27" s="12" t="inlineStr"/>
      <c r="J27" s="12" t="inlineStr"/>
      <c r="K27" s="12" t="inlineStr">
        <is>
          <t>List2 ř.14 (+ dřívější JSD 85189000 00)</t>
        </is>
      </c>
      <c r="L27" s="12" t="inlineStr">
        <is>
          <t>040-65E4-C-CZ</t>
        </is>
      </c>
      <c r="M27" s="12" t="inlineStr"/>
    </row>
    <row r="28" outlineLevel="1">
      <c r="A28" s="12" t="inlineStr">
        <is>
          <t xml:space="preserve">   ↳ položka faktury</t>
        </is>
      </c>
      <c r="B28" s="12" t="inlineStr">
        <is>
          <t>CZ20260904</t>
        </is>
      </c>
      <c r="C28" s="13" t="inlineStr">
        <is>
          <t>8518900000</t>
        </is>
      </c>
      <c r="D28" s="12" t="inlineStr">
        <is>
          <t>jádro magnetického obvodu  ← faktura: "T-yoke"</t>
        </is>
      </c>
      <c r="E28" s="14" t="n">
        <v>17160</v>
      </c>
      <c r="F28" s="15" t="n">
        <v>1115.4</v>
      </c>
      <c r="G28" s="15" t="n">
        <v>1155.4</v>
      </c>
      <c r="H28" s="16" t="n">
        <v>1395.11</v>
      </c>
      <c r="I28" s="12" t="inlineStr"/>
      <c r="J28" s="12" t="inlineStr"/>
      <c r="K28" s="12" t="inlineStr">
        <is>
          <t>List2 ř.23</t>
        </is>
      </c>
      <c r="L28" s="12" t="inlineStr">
        <is>
          <t>210-50D3-17.5TCR-CZ</t>
        </is>
      </c>
      <c r="M28" s="12" t="inlineStr"/>
    </row>
    <row r="29" outlineLevel="1">
      <c r="A29" s="12" t="inlineStr">
        <is>
          <t xml:space="preserve">   ↳ položka faktury</t>
        </is>
      </c>
      <c r="B29" s="12" t="inlineStr">
        <is>
          <t>CZ20260904</t>
        </is>
      </c>
      <c r="C29" s="13" t="inlineStr">
        <is>
          <t>8518900000</t>
        </is>
      </c>
      <c r="D29" s="12" t="inlineStr">
        <is>
          <t>Středící membrána  ← faktura: "Spider"</t>
        </is>
      </c>
      <c r="E29" s="14" t="n">
        <v>3000</v>
      </c>
      <c r="F29" s="15" t="n">
        <v>4.5</v>
      </c>
      <c r="G29" s="15" t="n">
        <v>9.5</v>
      </c>
      <c r="H29" s="16" t="n">
        <v>282.6</v>
      </c>
      <c r="I29" s="12" t="inlineStr"/>
      <c r="J29" s="12" t="inlineStr"/>
      <c r="K29" s="12" t="inlineStr">
        <is>
          <t>List2 ř.7</t>
        </is>
      </c>
      <c r="L29" s="12" t="inlineStr">
        <is>
          <t>021-88E00-9-2-CZ</t>
        </is>
      </c>
      <c r="M29" s="12" t="inlineStr"/>
    </row>
    <row r="30" outlineLevel="1">
      <c r="A30" s="12" t="inlineStr">
        <is>
          <t xml:space="preserve">   ↳ položka faktury</t>
        </is>
      </c>
      <c r="B30" s="12" t="inlineStr">
        <is>
          <t>CZ20260904</t>
        </is>
      </c>
      <c r="C30" s="13" t="inlineStr">
        <is>
          <t>8518900000</t>
        </is>
      </c>
      <c r="D30" s="12" t="inlineStr">
        <is>
          <t>Terminál  ← faktura: "Terminal"</t>
        </is>
      </c>
      <c r="E30" s="14" t="n">
        <v>150000</v>
      </c>
      <c r="F30" s="15" t="n">
        <v>75</v>
      </c>
      <c r="G30" s="15" t="n">
        <v>80</v>
      </c>
      <c r="H30" s="16" t="n">
        <v>1905</v>
      </c>
      <c r="I30" s="12" t="inlineStr"/>
      <c r="J30" s="12" t="inlineStr"/>
      <c r="K30" s="12" t="inlineStr">
        <is>
          <t>List2 ř.51 + ř.205 (díl 181-40133-1SN-CZ)</t>
        </is>
      </c>
      <c r="L30" s="12" t="inlineStr">
        <is>
          <t>181-40133-1SN-CZ</t>
        </is>
      </c>
      <c r="M30" s="12" t="inlineStr"/>
    </row>
    <row r="31" outlineLevel="1">
      <c r="A31" s="12" t="inlineStr">
        <is>
          <t xml:space="preserve">   ↳ položka faktury</t>
        </is>
      </c>
      <c r="B31" s="12" t="inlineStr">
        <is>
          <t>CZ20260904</t>
        </is>
      </c>
      <c r="C31" s="13" t="inlineStr">
        <is>
          <t>8518900000</t>
        </is>
      </c>
      <c r="D31" s="12" t="inlineStr">
        <is>
          <t>Terminál  ← faktura: "Terminal"</t>
        </is>
      </c>
      <c r="E31" s="14" t="n">
        <v>150000</v>
      </c>
      <c r="F31" s="15" t="n">
        <v>75</v>
      </c>
      <c r="G31" s="15" t="n">
        <v>80</v>
      </c>
      <c r="H31" s="16" t="n">
        <v>1905</v>
      </c>
      <c r="I31" s="12" t="inlineStr"/>
      <c r="J31" s="12" t="inlineStr"/>
      <c r="K31" s="12" t="inlineStr">
        <is>
          <t>List2 ř.51 + ř.205 (díl 181-40133-1SN-CZ)</t>
        </is>
      </c>
      <c r="L31" s="12" t="inlineStr">
        <is>
          <t>181-40133-2SN-CZ</t>
        </is>
      </c>
      <c r="M31" s="12" t="inlineStr"/>
    </row>
    <row r="32" outlineLevel="1">
      <c r="A32" s="12" t="inlineStr">
        <is>
          <t xml:space="preserve">   ↳ položka faktury</t>
        </is>
      </c>
      <c r="B32" s="12" t="inlineStr">
        <is>
          <t>CZ20260904</t>
        </is>
      </c>
      <c r="C32" s="13" t="inlineStr">
        <is>
          <t>8518900000</t>
        </is>
      </c>
      <c r="D32" s="12" t="inlineStr">
        <is>
          <t>Membrána s vlnkou  ← faktura: "Cone"</t>
        </is>
      </c>
      <c r="E32" s="14" t="n">
        <v>34000</v>
      </c>
      <c r="F32" s="15" t="n">
        <v>68</v>
      </c>
      <c r="G32" s="15" t="n">
        <v>130</v>
      </c>
      <c r="H32" s="16" t="n">
        <v>12437.2</v>
      </c>
      <c r="I32" s="12" t="inlineStr"/>
      <c r="J32" s="12" t="inlineStr"/>
      <c r="K32" s="12" t="inlineStr">
        <is>
          <t>List2 ř.8 / List1 ř.4</t>
        </is>
      </c>
      <c r="L32" s="12" t="inlineStr">
        <is>
          <t>140-35D14-44XP1-CZ</t>
        </is>
      </c>
      <c r="M32" s="12" t="inlineStr"/>
    </row>
    <row r="33" outlineLevel="1">
      <c r="A33" s="12" t="inlineStr">
        <is>
          <t xml:space="preserve">   ↳ položka faktury</t>
        </is>
      </c>
      <c r="B33" s="12" t="inlineStr">
        <is>
          <t>CZ20260904</t>
        </is>
      </c>
      <c r="C33" s="13" t="inlineStr">
        <is>
          <t>8518900000</t>
        </is>
      </c>
      <c r="D33" s="18" t="inlineStr">
        <is>
          <t>Feritový magnet ⚠ (CZ popis není v ref. souboru klienta)  ← faktura: "Speaker components"</t>
        </is>
      </c>
      <c r="E33" s="14" t="n">
        <v>21600</v>
      </c>
      <c r="F33" s="15" t="n">
        <v>5616</v>
      </c>
      <c r="G33" s="15" t="n">
        <v>5736</v>
      </c>
      <c r="H33" s="16" t="n">
        <v>5978.88</v>
      </c>
      <c r="I33" s="12" t="inlineStr"/>
      <c r="J33" s="12" t="inlineStr"/>
      <c r="K33" s="12" t="inlineStr">
        <is>
          <t>List2 ř.29 'MAGNET' 8518900000 – CZ popis v ref. souboru NENÍ (S753215 = kroužek 75×32×15 mm, Y30 = ferit)</t>
        </is>
      </c>
      <c r="L33" s="12" t="inlineStr">
        <is>
          <t>015-S753215-Y30-KS-CZ</t>
        </is>
      </c>
      <c r="M33" s="12" t="inlineStr"/>
    </row>
    <row r="34" outlineLevel="1">
      <c r="A34" s="12" t="inlineStr">
        <is>
          <t xml:space="preserve">   ↳ položka faktury</t>
        </is>
      </c>
      <c r="B34" s="12" t="inlineStr">
        <is>
          <t>CZ20260904</t>
        </is>
      </c>
      <c r="C34" s="13" t="inlineStr">
        <is>
          <t>8518900000</t>
        </is>
      </c>
      <c r="D34" s="12" t="inlineStr">
        <is>
          <t>jádro magnetického obvodu  ← faktura: "T-yoke"</t>
        </is>
      </c>
      <c r="E34" s="14" t="n">
        <v>42840</v>
      </c>
      <c r="F34" s="15" t="n">
        <v>6897.24</v>
      </c>
      <c r="G34" s="15" t="n">
        <v>7037.24</v>
      </c>
      <c r="H34" s="16" t="n">
        <v>8186.72</v>
      </c>
      <c r="I34" s="12" t="inlineStr"/>
      <c r="J34" s="12" t="inlineStr"/>
      <c r="K34" s="12" t="inlineStr">
        <is>
          <t>List2 ř.23</t>
        </is>
      </c>
      <c r="L34" s="12" t="inlineStr">
        <is>
          <t>210-66E2-24.5TCR-1-CZ</t>
        </is>
      </c>
      <c r="M34" s="12" t="inlineStr"/>
    </row>
    <row r="35">
      <c r="A35" s="6" t="inlineStr">
        <is>
          <t>Suzhou Sonavox International Trading Co., Ltd</t>
        </is>
      </c>
      <c r="B35" s="6" t="inlineStr">
        <is>
          <t>CZ20260904</t>
        </is>
      </c>
      <c r="C35" s="7" t="inlineStr">
        <is>
          <t>3926909790</t>
        </is>
      </c>
      <c r="D35" s="17" t="inlineStr">
        <is>
          <t>• plastové těsnění</t>
        </is>
      </c>
      <c r="E35" s="8" t="n">
        <v>6000</v>
      </c>
      <c r="F35" s="9" t="n">
        <v>45</v>
      </c>
      <c r="G35" s="9" t="n">
        <v>55</v>
      </c>
      <c r="H35" s="10" t="n">
        <v>270</v>
      </c>
      <c r="I35" s="11" t="inlineStr">
        <is>
          <t>6,5 %</t>
        </is>
      </c>
      <c r="J35" s="11" t="inlineStr"/>
      <c r="K35" s="11" t="inlineStr">
        <is>
          <t>List2 ř.50 (39269097); díly 142-*, ne 143-* (gumové)</t>
        </is>
      </c>
      <c r="L35" s="11" t="inlineStr">
        <is>
          <t>142-530H10-10H-CZ, 142-65580-3A-CZ</t>
        </is>
      </c>
      <c r="M35" s="11" t="inlineStr">
        <is>
          <t>Materiál těsnění nepotvrzen. Plast → 3926 90 97 (6,5 %); pokud pryž → 4016 (List1 'Těsnění 40161000'); pěna → 3921. Ověřit.</t>
        </is>
      </c>
    </row>
    <row r="36" outlineLevel="1">
      <c r="A36" s="12" t="inlineStr">
        <is>
          <t xml:space="preserve">   ↳ položka faktury</t>
        </is>
      </c>
      <c r="B36" s="12" t="inlineStr">
        <is>
          <t>CZ20260904</t>
        </is>
      </c>
      <c r="C36" s="13" t="inlineStr">
        <is>
          <t>3926909790</t>
        </is>
      </c>
      <c r="D36" s="12" t="inlineStr">
        <is>
          <t>plastové těsnění  ← faktura: "Gasket"</t>
        </is>
      </c>
      <c r="E36" s="14" t="n">
        <v>3000</v>
      </c>
      <c r="F36" s="15" t="n">
        <v>22.5</v>
      </c>
      <c r="G36" s="15" t="n">
        <v>27.5</v>
      </c>
      <c r="H36" s="16" t="n">
        <v>126</v>
      </c>
      <c r="I36" s="12" t="inlineStr"/>
      <c r="J36" s="12" t="inlineStr"/>
      <c r="K36" s="12" t="inlineStr">
        <is>
          <t>List2 ř.50 (39269097); díly 142-*, ne 143-* (gumové)</t>
        </is>
      </c>
      <c r="L36" s="12" t="inlineStr">
        <is>
          <t>142-530H10-10H-CZ</t>
        </is>
      </c>
      <c r="M36" s="12" t="inlineStr"/>
    </row>
    <row r="37" outlineLevel="1">
      <c r="A37" s="12" t="inlineStr">
        <is>
          <t xml:space="preserve">   ↳ položka faktury</t>
        </is>
      </c>
      <c r="B37" s="12" t="inlineStr">
        <is>
          <t>CZ20260904</t>
        </is>
      </c>
      <c r="C37" s="13" t="inlineStr">
        <is>
          <t>3926909790</t>
        </is>
      </c>
      <c r="D37" s="12" t="inlineStr">
        <is>
          <t>plastové těsnění  ← faktura: "Gasket"</t>
        </is>
      </c>
      <c r="E37" s="14" t="n">
        <v>3000</v>
      </c>
      <c r="F37" s="15" t="n">
        <v>22.5</v>
      </c>
      <c r="G37" s="15" t="n">
        <v>27.5</v>
      </c>
      <c r="H37" s="16" t="n">
        <v>144</v>
      </c>
      <c r="I37" s="12" t="inlineStr"/>
      <c r="J37" s="12" t="inlineStr"/>
      <c r="K37" s="12" t="inlineStr">
        <is>
          <t>List2 ř.50 (39269097); díly 142-*, ne 143-* (gumové)</t>
        </is>
      </c>
      <c r="L37" s="12" t="inlineStr">
        <is>
          <t>142-65580-3A-CZ</t>
        </is>
      </c>
      <c r="M37" s="12" t="inlineStr"/>
    </row>
    <row r="38">
      <c r="A38" s="19" t="inlineStr">
        <is>
          <t>Suzhou Sonavox International Trading Co., Ltd</t>
        </is>
      </c>
      <c r="B38" s="19" t="inlineStr">
        <is>
          <t>CZ20260904</t>
        </is>
      </c>
      <c r="C38" s="20" t="inlineStr">
        <is>
          <t>7318169290</t>
        </is>
      </c>
      <c r="D38" s="17" t="inlineStr">
        <is>
          <t>• Matice ⚠</t>
        </is>
      </c>
      <c r="E38" s="21" t="n">
        <v>100000</v>
      </c>
      <c r="F38" s="22" t="n">
        <v>166.5</v>
      </c>
      <c r="G38" s="22" t="n">
        <v>172.5</v>
      </c>
      <c r="H38" s="23" t="n">
        <v>7000</v>
      </c>
      <c r="I38" s="24" t="inlineStr">
        <is>
          <t>3,7 %</t>
        </is>
      </c>
      <c r="J38" s="24" t="inlineStr">
        <is>
          <t>CBAM, MELT&amp;POUR</t>
        </is>
      </c>
      <c r="K38" s="24" t="inlineStr">
        <is>
          <t>List2 ř.202 ('tohle řadíme pod 7318169290') – bez CZ popisu</t>
        </is>
      </c>
      <c r="L38" s="24" t="inlineStr">
        <is>
          <t>029-2513-AL-CZ</t>
        </is>
      </c>
      <c r="M38" s="24" t="inlineStr">
        <is>
          <t>CBAM zboží (ocelové matice, kap. 73). Příjemce v registru: Y137 (do 50 t ročně). Díl 029-2513-AL-CZ – přípona 'AL' může znamenat HLINÍK → pak 7616 10 00 (také CBAM). Antidumping na spojovací prvky z CN (nař. 2022/191) se týká šroubů/vrutů, NE matic 7318 16 → AD neočekáváno (ověřit). Melt and pour: hutní atest CHYBÍ.</t>
        </is>
      </c>
    </row>
    <row r="39" outlineLevel="1">
      <c r="A39" s="12" t="inlineStr">
        <is>
          <t xml:space="preserve">   ↳ položka faktury</t>
        </is>
      </c>
      <c r="B39" s="12" t="inlineStr">
        <is>
          <t>CZ20260904</t>
        </is>
      </c>
      <c r="C39" s="13" t="inlineStr">
        <is>
          <t>7318169290</t>
        </is>
      </c>
      <c r="D39" s="18" t="inlineStr">
        <is>
          <t>Matice ⚠ (CZ popis není v ref. souboru klienta)  ← faktura: "Nut"</t>
        </is>
      </c>
      <c r="E39" s="14" t="n">
        <v>100000</v>
      </c>
      <c r="F39" s="15" t="n">
        <v>166.5</v>
      </c>
      <c r="G39" s="15" t="n">
        <v>172.5</v>
      </c>
      <c r="H39" s="16" t="n">
        <v>7000</v>
      </c>
      <c r="I39" s="12" t="inlineStr"/>
      <c r="J39" s="12" t="inlineStr"/>
      <c r="K39" s="12" t="inlineStr">
        <is>
          <t>List2 ř.202 ('tohle řadíme pod 7318169290') – bez CZ popisu</t>
        </is>
      </c>
      <c r="L39" s="12" t="inlineStr">
        <is>
          <t>029-2513-AL-CZ</t>
        </is>
      </c>
      <c r="M39" s="12" t="inlineStr"/>
    </row>
    <row r="40">
      <c r="A40" s="6" t="inlineStr">
        <is>
          <t>Suzhou Yanlong Electronic Product Co., Ltd</t>
        </is>
      </c>
      <c r="B40" s="6" t="inlineStr">
        <is>
          <t>CZ20260904-2</t>
        </is>
      </c>
      <c r="C40" s="7" t="inlineStr">
        <is>
          <t>8518900000</t>
        </is>
      </c>
      <c r="D40" s="6" t="inlineStr">
        <is>
          <t>• Membrána s vlnkou
• Kopulka= krycí vložka</t>
        </is>
      </c>
      <c r="E40" s="8" t="n">
        <v>110680</v>
      </c>
      <c r="F40" s="9" t="n">
        <v>976.91</v>
      </c>
      <c r="G40" s="9" t="n">
        <v>1341.13</v>
      </c>
      <c r="H40" s="10" t="n">
        <v>30236.7</v>
      </c>
      <c r="I40" s="11" t="inlineStr">
        <is>
          <t>0 %</t>
        </is>
      </c>
      <c r="J40" s="11" t="inlineStr"/>
      <c r="K40" s="11" t="inlineStr">
        <is>
          <t>List2 ř.8 / List1 ř.4 | List2 ř.9 (uvedeno 8518 9000 99)</t>
        </is>
      </c>
      <c r="L40" s="11" t="inlineStr">
        <is>
          <t>140-65D24-179X-CZ, 140-80I27-42X-CZ, 160-B29-H-CZ, 140-65E22-203X-CZ, 140-40E17-72XC-CZ</t>
        </is>
      </c>
      <c r="M40" s="11" t="inlineStr">
        <is>
          <t>Dust cap: List2 uvádí 8518 9000 99 – sloučeno pod 8518900000 (ostatní díly 8518 90 00), ověřit.</t>
        </is>
      </c>
    </row>
    <row r="41" outlineLevel="1">
      <c r="A41" s="12" t="inlineStr">
        <is>
          <t xml:space="preserve">   ↳ položka faktury</t>
        </is>
      </c>
      <c r="B41" s="12" t="inlineStr">
        <is>
          <t>CZ20260904-2</t>
        </is>
      </c>
      <c r="C41" s="13" t="inlineStr">
        <is>
          <t>8518900000</t>
        </is>
      </c>
      <c r="D41" s="12" t="inlineStr">
        <is>
          <t>Membrána s vlnkou  ← faktura: "Cone"</t>
        </is>
      </c>
      <c r="E41" s="14" t="n">
        <v>17280</v>
      </c>
      <c r="F41" s="15" t="n">
        <v>240</v>
      </c>
      <c r="G41" s="15" t="n">
        <v>373.33</v>
      </c>
      <c r="H41" s="16" t="n">
        <v>4397.76</v>
      </c>
      <c r="I41" s="12" t="inlineStr"/>
      <c r="J41" s="12" t="inlineStr"/>
      <c r="K41" s="12" t="inlineStr">
        <is>
          <t>List2 ř.8 / List1 ř.4</t>
        </is>
      </c>
      <c r="L41" s="12" t="inlineStr">
        <is>
          <t>140-65D24-179X-CZ</t>
        </is>
      </c>
      <c r="M41" s="12" t="inlineStr"/>
    </row>
    <row r="42" outlineLevel="1">
      <c r="A42" s="12" t="inlineStr">
        <is>
          <t xml:space="preserve">   ↳ položka faktury</t>
        </is>
      </c>
      <c r="B42" s="12" t="inlineStr">
        <is>
          <t>CZ20260904-2</t>
        </is>
      </c>
      <c r="C42" s="13" t="inlineStr">
        <is>
          <t>8518900000</t>
        </is>
      </c>
      <c r="D42" s="12" t="inlineStr">
        <is>
          <t>Membrána s vlnkou  ← faktura: "Cone"</t>
        </is>
      </c>
      <c r="E42" s="14" t="n">
        <v>24000</v>
      </c>
      <c r="F42" s="15" t="n">
        <v>612</v>
      </c>
      <c r="G42" s="15" t="n">
        <v>810</v>
      </c>
      <c r="H42" s="16" t="n">
        <v>12026.4</v>
      </c>
      <c r="I42" s="12" t="inlineStr"/>
      <c r="J42" s="12" t="inlineStr"/>
      <c r="K42" s="12" t="inlineStr">
        <is>
          <t>List2 ř.8 / List1 ř.4</t>
        </is>
      </c>
      <c r="L42" s="12" t="inlineStr">
        <is>
          <t>140-80I27-42X-CZ</t>
        </is>
      </c>
      <c r="M42" s="12" t="inlineStr"/>
    </row>
    <row r="43" outlineLevel="1">
      <c r="A43" s="12" t="inlineStr">
        <is>
          <t xml:space="preserve">   ↳ položka faktury</t>
        </is>
      </c>
      <c r="B43" s="12" t="inlineStr">
        <is>
          <t>CZ20260904-2</t>
        </is>
      </c>
      <c r="C43" s="13" t="inlineStr">
        <is>
          <t>8518900000</t>
        </is>
      </c>
      <c r="D43" s="12" t="inlineStr">
        <is>
          <t>Kopulka= krycí vložka  ← faktura: "Dust cap"</t>
        </is>
      </c>
      <c r="E43" s="14" t="n">
        <v>52000</v>
      </c>
      <c r="F43" s="15" t="n">
        <v>12.6</v>
      </c>
      <c r="G43" s="15" t="n">
        <v>17.1</v>
      </c>
      <c r="H43" s="16" t="n">
        <v>8034</v>
      </c>
      <c r="I43" s="12" t="inlineStr"/>
      <c r="J43" s="12" t="inlineStr"/>
      <c r="K43" s="12" t="inlineStr">
        <is>
          <t>List2 ř.9 (uvedeno 8518 9000 99)</t>
        </is>
      </c>
      <c r="L43" s="12" t="inlineStr">
        <is>
          <t>160-B29-H-CZ</t>
        </is>
      </c>
      <c r="M43" s="12" t="inlineStr"/>
    </row>
    <row r="44" outlineLevel="1">
      <c r="A44" s="12" t="inlineStr">
        <is>
          <t xml:space="preserve">   ↳ položka faktury</t>
        </is>
      </c>
      <c r="B44" s="12" t="inlineStr">
        <is>
          <t>CZ20260904-2</t>
        </is>
      </c>
      <c r="C44" s="13" t="inlineStr">
        <is>
          <t>8518900000</t>
        </is>
      </c>
      <c r="D44" s="12" t="inlineStr">
        <is>
          <t>Membrána s vlnkou  ← faktura: "Cone"</t>
        </is>
      </c>
      <c r="E44" s="14" t="n">
        <v>3000</v>
      </c>
      <c r="F44" s="15" t="n">
        <v>25.91</v>
      </c>
      <c r="G44" s="15" t="n">
        <v>39.36</v>
      </c>
      <c r="H44" s="16" t="n">
        <v>895.5</v>
      </c>
      <c r="I44" s="12" t="inlineStr"/>
      <c r="J44" s="12" t="inlineStr"/>
      <c r="K44" s="12" t="inlineStr">
        <is>
          <t>List2 ř.8 / List1 ř.4</t>
        </is>
      </c>
      <c r="L44" s="12" t="inlineStr">
        <is>
          <t>140-65E22-203X-CZ</t>
        </is>
      </c>
      <c r="M44" s="12" t="inlineStr"/>
    </row>
    <row r="45" outlineLevel="1">
      <c r="A45" s="12" t="inlineStr">
        <is>
          <t xml:space="preserve">   ↳ položka faktury</t>
        </is>
      </c>
      <c r="B45" s="12" t="inlineStr">
        <is>
          <t>CZ20260904-2</t>
        </is>
      </c>
      <c r="C45" s="13" t="inlineStr">
        <is>
          <t>8518900000</t>
        </is>
      </c>
      <c r="D45" s="12" t="inlineStr">
        <is>
          <t>Membrána s vlnkou  ← faktura: "Cone"</t>
        </is>
      </c>
      <c r="E45" s="14" t="n">
        <v>14400</v>
      </c>
      <c r="F45" s="15" t="n">
        <v>86.40000000000001</v>
      </c>
      <c r="G45" s="15" t="n">
        <v>101.34</v>
      </c>
      <c r="H45" s="16" t="n">
        <v>4883.04</v>
      </c>
      <c r="I45" s="12" t="inlineStr"/>
      <c r="J45" s="12" t="inlineStr"/>
      <c r="K45" s="12" t="inlineStr">
        <is>
          <t>List2 ř.8 / List1 ř.4</t>
        </is>
      </c>
      <c r="L45" s="12" t="inlineStr">
        <is>
          <t>140-40E17-72XC-CZ</t>
        </is>
      </c>
      <c r="M45" s="12" t="inlineStr"/>
    </row>
    <row r="46">
      <c r="A46" s="25" t="inlineStr">
        <is>
          <t>CELKEM</t>
        </is>
      </c>
      <c r="B46" s="26" t="n"/>
      <c r="C46" s="26" t="n"/>
      <c r="D46" s="26" t="n"/>
      <c r="E46" s="27">
        <f>E14+E22+E26+E35+E38+E40</f>
        <v/>
      </c>
      <c r="F46" s="28">
        <f>F14+F22+F26+F35+F38+F40</f>
        <v/>
      </c>
      <c r="G46" s="28">
        <f>G14+G22+G26+G35+G38+G40</f>
        <v/>
      </c>
      <c r="H46" s="29">
        <f>H14+H22+H26+H35+H38+H40</f>
        <v/>
      </c>
      <c r="I46" s="26" t="n"/>
      <c r="J46" s="26" t="n"/>
      <c r="K46" s="26" t="n"/>
      <c r="L46" s="26" t="n"/>
      <c r="M46" s="26" t="n"/>
    </row>
    <row r="48">
      <c r="A48" s="2" t="inlineStr">
        <is>
          <t>Kontrola GW</t>
        </is>
      </c>
      <c r="B48" t="inlineStr">
        <is>
          <t>Součet hrubých hmotností 22 871,94 kg = FCR TECGO26090103 i CIM 38272351 (22 871,94 kg) ✓</t>
        </is>
      </c>
    </row>
    <row r="49">
      <c r="A49" s="2" t="inlineStr">
        <is>
          <t>Hodnota (Total)</t>
        </is>
      </c>
      <c r="B49" t="inlineStr">
        <is>
          <t>CZ20260904-1: 'Total Amount' 27 963,90. CZ20260904 a CZ20260904-2: pole 'Total Amount' je PRÁZDNÉ → použit 'Sub Total' (39 670,41 / 30 236,70; Duty/Freight/Insurance prázdné, sleva žádná)</t>
        </is>
      </c>
    </row>
    <row r="50">
      <c r="A50" s="2" t="inlineStr">
        <is>
          <t>Celní hodnota</t>
        </is>
      </c>
      <c r="B50" t="inlineStr">
        <is>
          <t>Dodací podmínka FOB → k hodnotě připočíst dopravu po hranici EU (Malaszewicze) dle metodiky klienta</t>
        </is>
      </c>
    </row>
    <row r="51">
      <c r="A51" s="2" t="inlineStr">
        <is>
          <t>Rozpis</t>
        </is>
      </c>
      <c r="B51" t="inlineStr">
        <is>
          <t>Pod každým HS řádkem (tučně) jsou šedé řádky ↳ = jednotlivé položky faktury: popis klienta (CZ) ← přesný popis z faktury, part number, ks, hmotnosti, EUR. CELKEM sčítá jen HS řádky. Řádky lze sbalit tlačítkem − vlevo.</t>
        </is>
      </c>
    </row>
    <row r="52">
      <c r="A52" s="2" t="inlineStr">
        <is>
          <t>🟡 žlutá</t>
        </is>
      </c>
      <c r="B52" t="inlineStr">
        <is>
          <t>CBAM zboží – uvést Y137 v JSD</t>
        </is>
      </c>
    </row>
    <row r="53">
      <c r="A53" s="2" t="inlineStr">
        <is>
          <t>🔴 červená</t>
        </is>
      </c>
      <c r="B53" t="inlineStr">
        <is>
          <t>Nutno ověřit (popis/zařazení, Incoterm místo, hutní atest). ⚠ = český popis není v ref. souboru klienta – doplněn námi</t>
        </is>
      </c>
    </row>
  </sheetData>
  <mergeCells count="15">
    <mergeCell ref="B49:L49"/>
    <mergeCell ref="B4:L4"/>
    <mergeCell ref="B50:L50"/>
    <mergeCell ref="B53:L53"/>
    <mergeCell ref="B6:L6"/>
    <mergeCell ref="B52:L52"/>
    <mergeCell ref="B48:L48"/>
    <mergeCell ref="B7:L7"/>
    <mergeCell ref="B11:L11"/>
    <mergeCell ref="B3:L3"/>
    <mergeCell ref="B5:L5"/>
    <mergeCell ref="B51:L51"/>
    <mergeCell ref="B10:L10"/>
    <mergeCell ref="B9:L9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8" customWidth="1" min="4" max="4"/>
    <col width="13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50" customWidth="1" min="11" max="11"/>
  </cols>
  <sheetData>
    <row r="1">
      <c r="A1" s="30" t="inlineStr">
        <is>
          <t>Odesílatel</t>
        </is>
      </c>
      <c r="B1" s="30" t="inlineStr">
        <is>
          <t>Faktura</t>
        </is>
      </c>
      <c r="C1" s="30" t="inlineStr">
        <is>
          <t>Part number</t>
        </is>
      </c>
      <c r="D1" s="30" t="inlineStr">
        <is>
          <t>Popis (faktura, EN)</t>
        </is>
      </c>
      <c r="E1" s="30" t="inlineStr">
        <is>
          <t>HS kód</t>
        </is>
      </c>
      <c r="F1" s="30" t="inlineStr">
        <is>
          <t>Popis CZ (klient)</t>
        </is>
      </c>
      <c r="G1" s="30" t="inlineStr">
        <is>
          <t>Množství (ks)</t>
        </is>
      </c>
      <c r="H1" s="30" t="inlineStr">
        <is>
          <t>Čistá hm. (kg)</t>
        </is>
      </c>
      <c r="I1" s="30" t="inlineStr">
        <is>
          <t>Hrubá hm. (kg)</t>
        </is>
      </c>
      <c r="J1" s="30" t="inlineStr">
        <is>
          <t>Částka EUR</t>
        </is>
      </c>
      <c r="K1" s="30" t="inlineStr">
        <is>
          <t>Zdroj</t>
        </is>
      </c>
    </row>
    <row r="2">
      <c r="A2" s="31" t="inlineStr">
        <is>
          <t>Suzhou Sonavox Electronics Co., Ltd</t>
        </is>
      </c>
      <c r="B2" s="31" t="inlineStr">
        <is>
          <t>CZ20260904-1</t>
        </is>
      </c>
      <c r="C2" s="31" t="inlineStr">
        <is>
          <t>IM-SW6515-VWCZ</t>
        </is>
      </c>
      <c r="D2" s="31" t="inlineStr">
        <is>
          <t>Car Speaker</t>
        </is>
      </c>
      <c r="E2" s="32" t="inlineStr">
        <is>
          <t>8518290090</t>
        </is>
      </c>
      <c r="F2" s="31" t="inlineStr">
        <is>
          <t>Subwoofer</t>
        </is>
      </c>
      <c r="G2" s="31" t="n">
        <v>540</v>
      </c>
      <c r="H2" s="31" t="n">
        <v>313.2</v>
      </c>
      <c r="I2" s="31" t="n">
        <v>350</v>
      </c>
      <c r="J2" s="31" t="n">
        <v>2381.4</v>
      </c>
      <c r="K2" s="31" t="inlineStr">
        <is>
          <t>List1 ř.11 'Subwoofer' + List2 ř.197 ('tohle řadíme pod 8518290090')</t>
        </is>
      </c>
    </row>
    <row r="3">
      <c r="A3" s="31" t="inlineStr">
        <is>
          <t>Suzhou Sonavox Electronics Co., Ltd</t>
        </is>
      </c>
      <c r="B3" s="31" t="inlineStr">
        <is>
          <t>CZ20260904-1</t>
        </is>
      </c>
      <c r="C3" s="31" t="inlineStr">
        <is>
          <t>IM-40138L-BMWCZ</t>
        </is>
      </c>
      <c r="D3" s="31" t="inlineStr">
        <is>
          <t>Car Speaker</t>
        </is>
      </c>
      <c r="E3" s="32" t="inlineStr">
        <is>
          <t>8518290090</t>
        </is>
      </c>
      <c r="F3" s="31" t="inlineStr">
        <is>
          <t>Hotové reproduktory</t>
        </is>
      </c>
      <c r="G3" s="31" t="n">
        <v>540</v>
      </c>
      <c r="H3" s="31" t="n">
        <v>253.8</v>
      </c>
      <c r="I3" s="31" t="n">
        <v>270</v>
      </c>
      <c r="J3" s="31" t="n">
        <v>4594.21</v>
      </c>
      <c r="K3" s="31" t="inlineStr">
        <is>
          <t>List1 ř.9–10 'Hotové reproduktory' + List2 ř.197 ('tohle řadíme pod 8518290090')</t>
        </is>
      </c>
    </row>
    <row r="4">
      <c r="A4" s="31" t="inlineStr">
        <is>
          <t>Suzhou Sonavox Electronics Co., Ltd</t>
        </is>
      </c>
      <c r="B4" s="31" t="inlineStr">
        <is>
          <t>CZ20260904-1</t>
        </is>
      </c>
      <c r="C4" s="31" t="inlineStr">
        <is>
          <t>IM-65220G-BYCZ</t>
        </is>
      </c>
      <c r="D4" s="31" t="inlineStr">
        <is>
          <t>Car Speaker</t>
        </is>
      </c>
      <c r="E4" s="32" t="inlineStr">
        <is>
          <t>8518290090</t>
        </is>
      </c>
      <c r="F4" s="31" t="inlineStr">
        <is>
          <t>Hotové reproduktory</t>
        </is>
      </c>
      <c r="G4" s="31" t="n">
        <v>360</v>
      </c>
      <c r="H4" s="31" t="n">
        <v>270</v>
      </c>
      <c r="I4" s="31" t="n">
        <v>308</v>
      </c>
      <c r="J4" s="31" t="n">
        <v>3623.72</v>
      </c>
      <c r="K4" s="31" t="inlineStr">
        <is>
          <t>List1 ř.9–10 'Hotové reproduktory' + List2 ř.197 ('tohle řadíme pod 8518290090')</t>
        </is>
      </c>
    </row>
    <row r="5">
      <c r="A5" s="31" t="inlineStr">
        <is>
          <t>Suzhou Sonavox Electronics Co., Ltd</t>
        </is>
      </c>
      <c r="B5" s="31" t="inlineStr">
        <is>
          <t>CZ20260904-1</t>
        </is>
      </c>
      <c r="C5" s="31" t="inlineStr">
        <is>
          <t>IM-SW6550-SKCZ</t>
        </is>
      </c>
      <c r="D5" s="31" t="inlineStr">
        <is>
          <t>Car Speaker</t>
        </is>
      </c>
      <c r="E5" s="32" t="inlineStr">
        <is>
          <t>8518290090</t>
        </is>
      </c>
      <c r="F5" s="31" t="inlineStr">
        <is>
          <t>Subwoofer</t>
        </is>
      </c>
      <c r="G5" s="31" t="n">
        <v>540</v>
      </c>
      <c r="H5" s="31" t="n">
        <v>664.2</v>
      </c>
      <c r="I5" s="31" t="n">
        <v>705.8200000000001</v>
      </c>
      <c r="J5" s="31" t="n">
        <v>3607.2</v>
      </c>
      <c r="K5" s="31" t="inlineStr">
        <is>
          <t>List1 ř.11 'Subwoofer' + List2 ř.197 ('tohle řadíme pod 8518290090')</t>
        </is>
      </c>
    </row>
    <row r="6">
      <c r="A6" s="31" t="inlineStr">
        <is>
          <t>Suzhou Sonavox Electronics Co., Ltd</t>
        </is>
      </c>
      <c r="B6" s="31" t="inlineStr">
        <is>
          <t>CZ20260904-1</t>
        </is>
      </c>
      <c r="C6" s="31" t="inlineStr">
        <is>
          <t>212-8061-1-CZ</t>
        </is>
      </c>
      <c r="D6" s="31" t="inlineStr">
        <is>
          <t>Speaker component</t>
        </is>
      </c>
      <c r="E6" s="32" t="inlineStr">
        <is>
          <t>8518900000</t>
        </is>
      </c>
      <c r="F6" s="31" t="inlineStr">
        <is>
          <t>magnetický obvod</t>
        </is>
      </c>
      <c r="G6" s="31" t="n">
        <v>4608</v>
      </c>
      <c r="H6" s="31" t="n">
        <v>2211.84</v>
      </c>
      <c r="I6" s="31" t="n">
        <v>2312</v>
      </c>
      <c r="J6" s="31" t="n">
        <v>3170.3</v>
      </c>
      <c r="K6" s="31" t="inlineStr">
        <is>
          <t>List2 ř.37 'magnetický obvod'; řada 212-* = magnetový obvod (List1 ř.3: 212-65163-CZ)</t>
        </is>
      </c>
    </row>
    <row r="7">
      <c r="A7" s="31" t="inlineStr">
        <is>
          <t>Suzhou Sonavox Electronics Co., Ltd</t>
        </is>
      </c>
      <c r="B7" s="31" t="inlineStr">
        <is>
          <t>CZ20260904-1</t>
        </is>
      </c>
      <c r="C7" s="31" t="inlineStr">
        <is>
          <t>IM-65386-BYCZ</t>
        </is>
      </c>
      <c r="D7" s="31" t="inlineStr">
        <is>
          <t>Car Speaker</t>
        </is>
      </c>
      <c r="E7" s="32" t="inlineStr">
        <is>
          <t>8518290090</t>
        </is>
      </c>
      <c r="F7" s="31" t="inlineStr">
        <is>
          <t>Hotové reproduktory</t>
        </is>
      </c>
      <c r="G7" s="31" t="n">
        <v>240</v>
      </c>
      <c r="H7" s="31" t="n">
        <v>175.2</v>
      </c>
      <c r="I7" s="31" t="n">
        <v>195</v>
      </c>
      <c r="J7" s="31" t="n">
        <v>2058.46</v>
      </c>
      <c r="K7" s="31" t="inlineStr">
        <is>
          <t>List1 ř.9–10 'Hotové reproduktory' + List2 ř.197 ('tohle řadíme pod 8518290090')</t>
        </is>
      </c>
    </row>
    <row r="8">
      <c r="A8" s="31" t="inlineStr">
        <is>
          <t>Suzhou Sonavox Electronics Co., Ltd</t>
        </is>
      </c>
      <c r="B8" s="31" t="inlineStr">
        <is>
          <t>CZ20260904-1</t>
        </is>
      </c>
      <c r="C8" s="31" t="inlineStr">
        <is>
          <t>IM-65387-BYCZ</t>
        </is>
      </c>
      <c r="D8" s="31" t="inlineStr">
        <is>
          <t>Car Speaker</t>
        </is>
      </c>
      <c r="E8" s="32" t="inlineStr">
        <is>
          <t>8518290090</t>
        </is>
      </c>
      <c r="F8" s="31" t="inlineStr">
        <is>
          <t>Hotové reproduktory</t>
        </is>
      </c>
      <c r="G8" s="31" t="n">
        <v>180</v>
      </c>
      <c r="H8" s="31" t="n">
        <v>133.2</v>
      </c>
      <c r="I8" s="31" t="n">
        <v>152</v>
      </c>
      <c r="J8" s="31" t="n">
        <v>1802.86</v>
      </c>
      <c r="K8" s="31" t="inlineStr">
        <is>
          <t>List1 ř.9–10 'Hotové reproduktory' + List2 ř.197 ('tohle řadíme pod 8518290090')</t>
        </is>
      </c>
    </row>
    <row r="9">
      <c r="A9" s="31" t="inlineStr">
        <is>
          <t>Suzhou Sonavox Electronics Co., Ltd</t>
        </is>
      </c>
      <c r="B9" s="31" t="inlineStr">
        <is>
          <t>CZ20260904-1</t>
        </is>
      </c>
      <c r="C9" s="31" t="inlineStr">
        <is>
          <t>IM-40137L-BMWCZ</t>
        </is>
      </c>
      <c r="D9" s="31" t="inlineStr">
        <is>
          <t>Car Speaker</t>
        </is>
      </c>
      <c r="E9" s="32" t="inlineStr">
        <is>
          <t>8518290090</t>
        </is>
      </c>
      <c r="F9" s="31" t="inlineStr">
        <is>
          <t>Hotové reproduktory</t>
        </is>
      </c>
      <c r="G9" s="31" t="n">
        <v>540</v>
      </c>
      <c r="H9" s="31" t="n">
        <v>253.8</v>
      </c>
      <c r="I9" s="31" t="n">
        <v>270</v>
      </c>
      <c r="J9" s="31" t="n">
        <v>4199.09</v>
      </c>
      <c r="K9" s="31" t="inlineStr">
        <is>
          <t>List1 ř.9–10 'Hotové reproduktory' + List2 ř.197 ('tohle řadíme pod 8518290090')</t>
        </is>
      </c>
    </row>
    <row r="10">
      <c r="A10" s="31" t="inlineStr">
        <is>
          <t>Suzhou Sonavox Electronics Co., Ltd</t>
        </is>
      </c>
      <c r="B10" s="31" t="inlineStr">
        <is>
          <t>CZ20260904-1</t>
        </is>
      </c>
      <c r="C10" s="31" t="inlineStr">
        <is>
          <t>212-65424-CZ</t>
        </is>
      </c>
      <c r="D10" s="31" t="inlineStr">
        <is>
          <t>Speaker component</t>
        </is>
      </c>
      <c r="E10" s="32" t="inlineStr">
        <is>
          <t>8518900000</t>
        </is>
      </c>
      <c r="F10" s="31" t="inlineStr">
        <is>
          <t>magnetický obvod</t>
        </is>
      </c>
      <c r="G10" s="31" t="n">
        <v>7680</v>
      </c>
      <c r="H10" s="31" t="n">
        <v>1766.4</v>
      </c>
      <c r="I10" s="31" t="n">
        <v>1797.6</v>
      </c>
      <c r="J10" s="31" t="n">
        <v>1831.68</v>
      </c>
      <c r="K10" s="31" t="inlineStr">
        <is>
          <t>List2 ř.37 'magnetický obvod'; řada 212-* = magnetový obvod (List1 ř.3: 212-65163-CZ)</t>
        </is>
      </c>
    </row>
    <row r="11">
      <c r="A11" s="31" t="inlineStr">
        <is>
          <t>Suzhou Sonavox Electronics Co., Ltd</t>
        </is>
      </c>
      <c r="B11" s="31" t="inlineStr">
        <is>
          <t>CZ20260904-1</t>
        </is>
      </c>
      <c r="C11" s="31" t="inlineStr">
        <is>
          <t>212-65581-CZ</t>
        </is>
      </c>
      <c r="D11" s="31" t="inlineStr">
        <is>
          <t>Speaker component</t>
        </is>
      </c>
      <c r="E11" s="32" t="inlineStr">
        <is>
          <t>8518900000</t>
        </is>
      </c>
      <c r="F11" s="31" t="inlineStr">
        <is>
          <t>magnetický obvod</t>
        </is>
      </c>
      <c r="G11" s="31" t="n">
        <v>1053</v>
      </c>
      <c r="H11" s="31" t="n">
        <v>452.79</v>
      </c>
      <c r="I11" s="31" t="n">
        <v>489.32</v>
      </c>
      <c r="J11" s="31" t="n">
        <v>694.98</v>
      </c>
      <c r="K11" s="31" t="inlineStr">
        <is>
          <t>List2 ř.37 'magnetický obvod'; řada 212-* = magnetový obvod (List1 ř.3: 212-65163-CZ)</t>
        </is>
      </c>
    </row>
    <row r="12">
      <c r="A12" s="31" t="inlineStr">
        <is>
          <t>Suzhou Sonavox International Trading Co., Ltd</t>
        </is>
      </c>
      <c r="B12" s="31" t="inlineStr">
        <is>
          <t>CZ20260904</t>
        </is>
      </c>
      <c r="C12" s="31" t="inlineStr">
        <is>
          <t>040-65E4-C-CZ</t>
        </is>
      </c>
      <c r="D12" s="31" t="inlineStr">
        <is>
          <t>Front plate</t>
        </is>
      </c>
      <c r="E12" s="32" t="inlineStr">
        <is>
          <t>8518900000</t>
        </is>
      </c>
      <c r="F12" s="31" t="inlineStr">
        <is>
          <t>ocelová deska (přední deska)</t>
        </is>
      </c>
      <c r="G12" s="31" t="n">
        <v>3000</v>
      </c>
      <c r="H12" s="31" t="n">
        <v>222</v>
      </c>
      <c r="I12" s="31" t="n">
        <v>225.43</v>
      </c>
      <c r="J12" s="31" t="n">
        <v>309.9</v>
      </c>
      <c r="K12" s="31" t="inlineStr">
        <is>
          <t>List2 ř.14 (+ dřívější JSD 85189000 00)</t>
        </is>
      </c>
    </row>
    <row r="13">
      <c r="A13" s="31" t="inlineStr">
        <is>
          <t>Suzhou Sonavox International Trading Co., Ltd</t>
        </is>
      </c>
      <c r="B13" s="31" t="inlineStr">
        <is>
          <t>CZ20260904</t>
        </is>
      </c>
      <c r="C13" s="31" t="inlineStr">
        <is>
          <t>210-50D3-17.5TCR-CZ</t>
        </is>
      </c>
      <c r="D13" s="31" t="inlineStr">
        <is>
          <t>T-yoke</t>
        </is>
      </c>
      <c r="E13" s="32" t="inlineStr">
        <is>
          <t>8518900000</t>
        </is>
      </c>
      <c r="F13" s="31" t="inlineStr">
        <is>
          <t>jádro magnetického obvodu</t>
        </is>
      </c>
      <c r="G13" s="31" t="n">
        <v>17160</v>
      </c>
      <c r="H13" s="31" t="n">
        <v>1115.4</v>
      </c>
      <c r="I13" s="31" t="n">
        <v>1155.4</v>
      </c>
      <c r="J13" s="31" t="n">
        <v>1395.11</v>
      </c>
      <c r="K13" s="31" t="inlineStr">
        <is>
          <t>List2 ř.23</t>
        </is>
      </c>
    </row>
    <row r="14">
      <c r="A14" s="31" t="inlineStr">
        <is>
          <t>Suzhou Sonavox International Trading Co., Ltd</t>
        </is>
      </c>
      <c r="B14" s="31" t="inlineStr">
        <is>
          <t>CZ20260904</t>
        </is>
      </c>
      <c r="C14" s="31" t="inlineStr">
        <is>
          <t>021-88E00-9-2-CZ</t>
        </is>
      </c>
      <c r="D14" s="31" t="inlineStr">
        <is>
          <t>Spider</t>
        </is>
      </c>
      <c r="E14" s="32" t="inlineStr">
        <is>
          <t>8518900000</t>
        </is>
      </c>
      <c r="F14" s="31" t="inlineStr">
        <is>
          <t>Středící membrána</t>
        </is>
      </c>
      <c r="G14" s="31" t="n">
        <v>3000</v>
      </c>
      <c r="H14" s="31" t="n">
        <v>4.5</v>
      </c>
      <c r="I14" s="31" t="n">
        <v>9.5</v>
      </c>
      <c r="J14" s="31" t="n">
        <v>282.6</v>
      </c>
      <c r="K14" s="31" t="inlineStr">
        <is>
          <t>List2 ř.7</t>
        </is>
      </c>
    </row>
    <row r="15">
      <c r="A15" s="31" t="inlineStr">
        <is>
          <t>Suzhou Sonavox International Trading Co., Ltd</t>
        </is>
      </c>
      <c r="B15" s="31" t="inlineStr">
        <is>
          <t>CZ20260904</t>
        </is>
      </c>
      <c r="C15" s="31" t="inlineStr">
        <is>
          <t>142-530H10-10H-CZ</t>
        </is>
      </c>
      <c r="D15" s="31" t="inlineStr">
        <is>
          <t>Gasket</t>
        </is>
      </c>
      <c r="E15" s="32" t="inlineStr">
        <is>
          <t>3926909790</t>
        </is>
      </c>
      <c r="F15" s="31" t="inlineStr">
        <is>
          <t>plastové těsnění</t>
        </is>
      </c>
      <c r="G15" s="31" t="n">
        <v>3000</v>
      </c>
      <c r="H15" s="31" t="n">
        <v>22.5</v>
      </c>
      <c r="I15" s="31" t="n">
        <v>27.5</v>
      </c>
      <c r="J15" s="31" t="n">
        <v>126</v>
      </c>
      <c r="K15" s="31" t="inlineStr">
        <is>
          <t>List2 ř.50 (39269097); díly 142-*, ne 143-* (gumové)</t>
        </is>
      </c>
    </row>
    <row r="16">
      <c r="A16" s="31" t="inlineStr">
        <is>
          <t>Suzhou Sonavox International Trading Co., Ltd</t>
        </is>
      </c>
      <c r="B16" s="31" t="inlineStr">
        <is>
          <t>CZ20260904</t>
        </is>
      </c>
      <c r="C16" s="31" t="inlineStr">
        <is>
          <t>142-65580-3A-CZ</t>
        </is>
      </c>
      <c r="D16" s="31" t="inlineStr">
        <is>
          <t>Gasket</t>
        </is>
      </c>
      <c r="E16" s="32" t="inlineStr">
        <is>
          <t>3926909790</t>
        </is>
      </c>
      <c r="F16" s="31" t="inlineStr">
        <is>
          <t>plastové těsnění</t>
        </is>
      </c>
      <c r="G16" s="31" t="n">
        <v>3000</v>
      </c>
      <c r="H16" s="31" t="n">
        <v>22.5</v>
      </c>
      <c r="I16" s="31" t="n">
        <v>27.5</v>
      </c>
      <c r="J16" s="31" t="n">
        <v>144</v>
      </c>
      <c r="K16" s="31" t="inlineStr">
        <is>
          <t>List2 ř.50 (39269097); díly 142-*, ne 143-* (gumové)</t>
        </is>
      </c>
    </row>
    <row r="17">
      <c r="A17" s="31" t="inlineStr">
        <is>
          <t>Suzhou Sonavox International Trading Co., Ltd</t>
        </is>
      </c>
      <c r="B17" s="31" t="inlineStr">
        <is>
          <t>CZ20260904</t>
        </is>
      </c>
      <c r="C17" s="31" t="inlineStr">
        <is>
          <t>181-40133-1SN-CZ</t>
        </is>
      </c>
      <c r="D17" s="31" t="inlineStr">
        <is>
          <t>Terminal</t>
        </is>
      </c>
      <c r="E17" s="32" t="inlineStr">
        <is>
          <t>8518900000</t>
        </is>
      </c>
      <c r="F17" s="31" t="inlineStr">
        <is>
          <t>Terminál</t>
        </is>
      </c>
      <c r="G17" s="31" t="n">
        <v>150000</v>
      </c>
      <c r="H17" s="31" t="n">
        <v>75</v>
      </c>
      <c r="I17" s="31" t="n">
        <v>80</v>
      </c>
      <c r="J17" s="31" t="n">
        <v>1905</v>
      </c>
      <c r="K17" s="31" t="inlineStr">
        <is>
          <t>List2 ř.51 + ř.205 (díl 181-40133-1SN-CZ)</t>
        </is>
      </c>
    </row>
    <row r="18">
      <c r="A18" s="31" t="inlineStr">
        <is>
          <t>Suzhou Sonavox International Trading Co., Ltd</t>
        </is>
      </c>
      <c r="B18" s="31" t="inlineStr">
        <is>
          <t>CZ20260904</t>
        </is>
      </c>
      <c r="C18" s="31" t="inlineStr">
        <is>
          <t>181-40133-2SN-CZ</t>
        </is>
      </c>
      <c r="D18" s="31" t="inlineStr">
        <is>
          <t>Terminal</t>
        </is>
      </c>
      <c r="E18" s="32" t="inlineStr">
        <is>
          <t>8518900000</t>
        </is>
      </c>
      <c r="F18" s="31" t="inlineStr">
        <is>
          <t>Terminál</t>
        </is>
      </c>
      <c r="G18" s="31" t="n">
        <v>150000</v>
      </c>
      <c r="H18" s="31" t="n">
        <v>75</v>
      </c>
      <c r="I18" s="31" t="n">
        <v>80</v>
      </c>
      <c r="J18" s="31" t="n">
        <v>1905</v>
      </c>
      <c r="K18" s="31" t="inlineStr">
        <is>
          <t>List2 ř.51 + ř.205 (díl 181-40133-1SN-CZ)</t>
        </is>
      </c>
    </row>
    <row r="19">
      <c r="A19" s="31" t="inlineStr">
        <is>
          <t>Suzhou Sonavox International Trading Co., Ltd</t>
        </is>
      </c>
      <c r="B19" s="31" t="inlineStr">
        <is>
          <t>CZ20260904</t>
        </is>
      </c>
      <c r="C19" s="31" t="inlineStr">
        <is>
          <t>029-2513-AL-CZ</t>
        </is>
      </c>
      <c r="D19" s="31" t="inlineStr">
        <is>
          <t>Nut</t>
        </is>
      </c>
      <c r="E19" s="32" t="inlineStr">
        <is>
          <t>7318169290</t>
        </is>
      </c>
      <c r="F19" s="31" t="inlineStr">
        <is>
          <t>Matice</t>
        </is>
      </c>
      <c r="G19" s="31" t="n">
        <v>100000</v>
      </c>
      <c r="H19" s="31" t="n">
        <v>166.5</v>
      </c>
      <c r="I19" s="31" t="n">
        <v>172.5</v>
      </c>
      <c r="J19" s="31" t="n">
        <v>7000</v>
      </c>
      <c r="K19" s="31" t="inlineStr">
        <is>
          <t>List2 ř.202 ('tohle řadíme pod 7318169290') – bez CZ popisu</t>
        </is>
      </c>
    </row>
    <row r="20">
      <c r="A20" s="31" t="inlineStr">
        <is>
          <t>Suzhou Sonavox International Trading Co., Ltd</t>
        </is>
      </c>
      <c r="B20" s="31" t="inlineStr">
        <is>
          <t>CZ20260904</t>
        </is>
      </c>
      <c r="C20" s="31" t="inlineStr">
        <is>
          <t>140-35D14-44XP1-CZ</t>
        </is>
      </c>
      <c r="D20" s="31" t="inlineStr">
        <is>
          <t>Cone</t>
        </is>
      </c>
      <c r="E20" s="32" t="inlineStr">
        <is>
          <t>8518900000</t>
        </is>
      </c>
      <c r="F20" s="31" t="inlineStr">
        <is>
          <t>Membrána s vlnkou</t>
        </is>
      </c>
      <c r="G20" s="31" t="n">
        <v>34000</v>
      </c>
      <c r="H20" s="31" t="n">
        <v>68</v>
      </c>
      <c r="I20" s="31" t="n">
        <v>130</v>
      </c>
      <c r="J20" s="31" t="n">
        <v>12437.2</v>
      </c>
      <c r="K20" s="31" t="inlineStr">
        <is>
          <t>List2 ř.8 / List1 ř.4</t>
        </is>
      </c>
    </row>
    <row r="21">
      <c r="A21" s="31" t="inlineStr">
        <is>
          <t>Suzhou Sonavox International Trading Co., Ltd</t>
        </is>
      </c>
      <c r="B21" s="31" t="inlineStr">
        <is>
          <t>CZ20260904</t>
        </is>
      </c>
      <c r="C21" s="31" t="inlineStr">
        <is>
          <t>015-S753215-Y30-KS-CZ</t>
        </is>
      </c>
      <c r="D21" s="31" t="inlineStr">
        <is>
          <t>Speaker components</t>
        </is>
      </c>
      <c r="E21" s="32" t="inlineStr">
        <is>
          <t>8518900000</t>
        </is>
      </c>
      <c r="F21" s="31" t="inlineStr">
        <is>
          <t>Feritový magnet</t>
        </is>
      </c>
      <c r="G21" s="31" t="n">
        <v>21600</v>
      </c>
      <c r="H21" s="31" t="n">
        <v>5616</v>
      </c>
      <c r="I21" s="31" t="n">
        <v>5736</v>
      </c>
      <c r="J21" s="31" t="n">
        <v>5978.88</v>
      </c>
      <c r="K21" s="31" t="inlineStr">
        <is>
          <t>List2 ř.29 'MAGNET' 8518900000 – CZ popis v ref. souboru NENÍ (S753215 = kroužek 75×32×15 mm, Y30 = ferit)</t>
        </is>
      </c>
    </row>
    <row r="22">
      <c r="A22" s="31" t="inlineStr">
        <is>
          <t>Suzhou Sonavox International Trading Co., Ltd</t>
        </is>
      </c>
      <c r="B22" s="31" t="inlineStr">
        <is>
          <t>CZ20260904</t>
        </is>
      </c>
      <c r="C22" s="31" t="inlineStr">
        <is>
          <t>210-66E2-24.5TCR-1-CZ</t>
        </is>
      </c>
      <c r="D22" s="31" t="inlineStr">
        <is>
          <t>T-yoke</t>
        </is>
      </c>
      <c r="E22" s="32" t="inlineStr">
        <is>
          <t>8518900000</t>
        </is>
      </c>
      <c r="F22" s="31" t="inlineStr">
        <is>
          <t>jádro magnetického obvodu</t>
        </is>
      </c>
      <c r="G22" s="31" t="n">
        <v>42840</v>
      </c>
      <c r="H22" s="31" t="n">
        <v>6897.24</v>
      </c>
      <c r="I22" s="31" t="n">
        <v>7037.24</v>
      </c>
      <c r="J22" s="31" t="n">
        <v>8186.72</v>
      </c>
      <c r="K22" s="31" t="inlineStr">
        <is>
          <t>List2 ř.23</t>
        </is>
      </c>
    </row>
    <row r="23">
      <c r="A23" s="31" t="inlineStr">
        <is>
          <t>Suzhou Yanlong Electronic Product Co., Ltd</t>
        </is>
      </c>
      <c r="B23" s="31" t="inlineStr">
        <is>
          <t>CZ20260904-2</t>
        </is>
      </c>
      <c r="C23" s="31" t="inlineStr">
        <is>
          <t>140-65D24-179X-CZ</t>
        </is>
      </c>
      <c r="D23" s="31" t="inlineStr">
        <is>
          <t>Cone</t>
        </is>
      </c>
      <c r="E23" s="32" t="inlineStr">
        <is>
          <t>8518900000</t>
        </is>
      </c>
      <c r="F23" s="31" t="inlineStr">
        <is>
          <t>Membrána s vlnkou</t>
        </is>
      </c>
      <c r="G23" s="31" t="n">
        <v>17280</v>
      </c>
      <c r="H23" s="31" t="n">
        <v>240</v>
      </c>
      <c r="I23" s="31" t="n">
        <v>373.33</v>
      </c>
      <c r="J23" s="31" t="n">
        <v>4397.76</v>
      </c>
      <c r="K23" s="31" t="inlineStr">
        <is>
          <t>List2 ř.8 / List1 ř.4</t>
        </is>
      </c>
    </row>
    <row r="24">
      <c r="A24" s="31" t="inlineStr">
        <is>
          <t>Suzhou Yanlong Electronic Product Co., Ltd</t>
        </is>
      </c>
      <c r="B24" s="31" t="inlineStr">
        <is>
          <t>CZ20260904-2</t>
        </is>
      </c>
      <c r="C24" s="31" t="inlineStr">
        <is>
          <t>140-80I27-42X-CZ</t>
        </is>
      </c>
      <c r="D24" s="31" t="inlineStr">
        <is>
          <t>Cone</t>
        </is>
      </c>
      <c r="E24" s="32" t="inlineStr">
        <is>
          <t>8518900000</t>
        </is>
      </c>
      <c r="F24" s="31" t="inlineStr">
        <is>
          <t>Membrána s vlnkou</t>
        </is>
      </c>
      <c r="G24" s="31" t="n">
        <v>24000</v>
      </c>
      <c r="H24" s="31" t="n">
        <v>612</v>
      </c>
      <c r="I24" s="31" t="n">
        <v>810</v>
      </c>
      <c r="J24" s="31" t="n">
        <v>12026.4</v>
      </c>
      <c r="K24" s="31" t="inlineStr">
        <is>
          <t>List2 ř.8 / List1 ř.4</t>
        </is>
      </c>
    </row>
    <row r="25">
      <c r="A25" s="31" t="inlineStr">
        <is>
          <t>Suzhou Yanlong Electronic Product Co., Ltd</t>
        </is>
      </c>
      <c r="B25" s="31" t="inlineStr">
        <is>
          <t>CZ20260904-2</t>
        </is>
      </c>
      <c r="C25" s="31" t="inlineStr">
        <is>
          <t>160-B29-H-CZ</t>
        </is>
      </c>
      <c r="D25" s="31" t="inlineStr">
        <is>
          <t>Dust cap</t>
        </is>
      </c>
      <c r="E25" s="32" t="inlineStr">
        <is>
          <t>8518900000</t>
        </is>
      </c>
      <c r="F25" s="31" t="inlineStr">
        <is>
          <t>Kopulka= krycí vložka</t>
        </is>
      </c>
      <c r="G25" s="31" t="n">
        <v>52000</v>
      </c>
      <c r="H25" s="31" t="n">
        <v>12.6</v>
      </c>
      <c r="I25" s="31" t="n">
        <v>17.1</v>
      </c>
      <c r="J25" s="31" t="n">
        <v>8034</v>
      </c>
      <c r="K25" s="31" t="inlineStr">
        <is>
          <t>List2 ř.9 (uvedeno 8518 9000 99)</t>
        </is>
      </c>
    </row>
    <row r="26">
      <c r="A26" s="31" t="inlineStr">
        <is>
          <t>Suzhou Yanlong Electronic Product Co., Ltd</t>
        </is>
      </c>
      <c r="B26" s="31" t="inlineStr">
        <is>
          <t>CZ20260904-2</t>
        </is>
      </c>
      <c r="C26" s="31" t="inlineStr">
        <is>
          <t>140-65E22-203X-CZ</t>
        </is>
      </c>
      <c r="D26" s="31" t="inlineStr">
        <is>
          <t>Cone</t>
        </is>
      </c>
      <c r="E26" s="32" t="inlineStr">
        <is>
          <t>8518900000</t>
        </is>
      </c>
      <c r="F26" s="31" t="inlineStr">
        <is>
          <t>Membrána s vlnkou</t>
        </is>
      </c>
      <c r="G26" s="31" t="n">
        <v>3000</v>
      </c>
      <c r="H26" s="31" t="n">
        <v>25.91</v>
      </c>
      <c r="I26" s="31" t="n">
        <v>39.36</v>
      </c>
      <c r="J26" s="31" t="n">
        <v>895.5</v>
      </c>
      <c r="K26" s="31" t="inlineStr">
        <is>
          <t>List2 ř.8 / List1 ř.4</t>
        </is>
      </c>
    </row>
    <row r="27">
      <c r="A27" s="31" t="inlineStr">
        <is>
          <t>Suzhou Yanlong Electronic Product Co., Ltd</t>
        </is>
      </c>
      <c r="B27" s="31" t="inlineStr">
        <is>
          <t>CZ20260904-2</t>
        </is>
      </c>
      <c r="C27" s="31" t="inlineStr">
        <is>
          <t>140-40E17-72XC-CZ</t>
        </is>
      </c>
      <c r="D27" s="31" t="inlineStr">
        <is>
          <t>Cone</t>
        </is>
      </c>
      <c r="E27" s="32" t="inlineStr">
        <is>
          <t>8518900000</t>
        </is>
      </c>
      <c r="F27" s="31" t="inlineStr">
        <is>
          <t>Membrána s vlnkou</t>
        </is>
      </c>
      <c r="G27" s="31" t="n">
        <v>14400</v>
      </c>
      <c r="H27" s="31" t="n">
        <v>86.40000000000001</v>
      </c>
      <c r="I27" s="31" t="n">
        <v>101.34</v>
      </c>
      <c r="J27" s="31" t="n">
        <v>4883.04</v>
      </c>
      <c r="K27" s="31" t="inlineStr">
        <is>
          <t>List2 ř.8 / List1 ř.4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33" t="inlineStr">
        <is>
          <t>PREFERENČNÍ VĚTA (COO)</t>
        </is>
      </c>
    </row>
    <row r="2">
      <c r="A2" s="34" t="inlineStr">
        <is>
          <t>Na žádné ze 3 faktur NENÍ preferenční věta. Země původu Čína → bez preferencí, platí standardní clo (8518 90 00 0 %, 8518 29 3 %*, 3926 90 97 6,5 %, 7318 16 3,7 %).</t>
        </is>
      </c>
    </row>
    <row r="3">
      <c r="A3" s="33" t="inlineStr">
        <is>
          <t>REX ČÍSLO</t>
        </is>
      </c>
    </row>
    <row r="4">
      <c r="A4" s="34" t="inlineStr">
        <is>
          <t>REX číslo NENÍ uvedeno na žádné faktuře (CZ20260904, CZ20260904-1, CZ20260904-2).</t>
        </is>
      </c>
    </row>
    <row r="5">
      <c r="A5" s="33" t="inlineStr">
        <is>
          <t>CBAM – příjemce Sonavox Technology CZ s.r.o.</t>
        </is>
      </c>
    </row>
    <row r="6">
      <c r="A6" s="34" t="inlineStr">
        <is>
          <t>CBAM HS kód: 7318169290 (matice, 166,5 kg NW, odesílatel Suzhou Sonavox International Trading).</t>
        </is>
      </c>
    </row>
    <row r="7">
      <c r="A7" s="34" t="inlineStr">
        <is>
          <t>Registr reference/CBAM_receivers_CZ.xlsx: 'Sonavox Technology CZ s.r.o.' NALEZEN → Y KÓD = Y137 (do 50 t ročně). Povolení: –, podaná žádost: –, datum vydání: neuvedeno.</t>
        </is>
      </c>
    </row>
    <row r="8">
      <c r="A8" s="35" t="inlineStr">
        <is>
          <t>⚠ NESOULAD EORI: registr uvádí EORI CZ62908227, ale ref. soubor klienta uvádí 'EORI=DIČ=CZ28632389'. CZ62908227 je na FCR uvedeno jako VAT zasílatele (Maurice Ward &amp; Co.) → pravděpodobně chyba v registru, ověřit a opravit.</t>
        </is>
      </c>
    </row>
    <row r="9">
      <c r="A9" s="34" t="inlineStr">
        <is>
          <t>Není to firma mimo EU na sdíleném účtu CBAM-CZ-2025-QGM67089385721.</t>
        </is>
      </c>
    </row>
    <row r="10">
      <c r="A10" s="33" t="inlineStr">
        <is>
          <t>MELT AND POUR (země tavby a odlití)</t>
        </is>
      </c>
    </row>
    <row r="11">
      <c r="A11" s="35" t="inlineStr">
        <is>
          <t>CHYBÍ: v dokladech není hutní atest (mill test certificate) ani země tavby a odlití. Týká se ocelových matic 7318169290 (029-2513-AL-CZ, 100 000 ks, 166,5 kg) → vyžádat hutní atest před proclením.</t>
        </is>
      </c>
    </row>
    <row r="12">
      <c r="A12" s="34" t="inlineStr">
        <is>
          <t>Ocelové díly zařazené jako díly reproduktorů 8518 90 00 (Front plate 'ocelová deska' 222 kg, T-yoke 'jádro magnetického obvodu' 8 012,64 kg) – mimo kap. 72/73, ale ocelové; hutní atest také není k dispozici – doporučuji vyžádat.</t>
        </is>
      </c>
    </row>
    <row r="13">
      <c r="A13" s="34" t="inlineStr">
        <is>
          <t>Pokud se potvrdí, že matice jsou hliníkové ('AL'), melt and pour (ocel) se na ně nevztahuje, ale CBAM ano (7616 10 00).</t>
        </is>
      </c>
    </row>
    <row r="14">
      <c r="A14" s="33" t="inlineStr">
        <is>
          <t>ANTIDUMPING</t>
        </is>
      </c>
    </row>
    <row r="15">
      <c r="A15" s="34" t="inlineStr">
        <is>
          <t>Žádná položka podle aktuálního zařazení nepodléhá antidumpingu. Matice 7318 16 nejsou v rozsahu AD cla na spojovací prvky z CN (šrouby 7318 15 – 86,5 % dle ref. klienta – v zásilce nejsou). Ověřit při podání JSD.</t>
        </is>
      </c>
    </row>
    <row r="16">
      <c r="A16" s="33" t="inlineStr">
        <is>
          <t>INCOTERM</t>
        </is>
      </c>
    </row>
    <row r="17">
      <c r="A17" s="35" t="inlineStr">
        <is>
          <t>Faktury: 'Terms of Payment: FOB' – BEZ pojmenovaného místa. FCR: místo převzetí Wuhan, Hubei; FREIGHT COLLECT. FOB je námořní doložka, zde železnice → doplnit místo (FOB Wuhan? / Suzhou?) od klienta.</t>
        </is>
      </c>
    </row>
    <row r="18">
      <c r="A18" s="33" t="inlineStr">
        <is>
          <t>HODNOTA – 'Total'</t>
        </is>
      </c>
    </row>
    <row r="19">
      <c r="A19" s="34" t="inlineStr">
        <is>
          <t>CZ20260904-1 (Sonavox Electronics): Total Amount = 27 963,90 EUR ✓.</t>
        </is>
      </c>
    </row>
    <row r="20">
      <c r="A20" s="35" t="inlineStr">
        <is>
          <t>CZ20260904 (Sonavox International Trading) a CZ20260904-2 (Yanlong): řádek 'Total Amount' je PRÁZDNÝ; 'Total :' je jen u množství. Použit Sub Total 39 670,41 a 30 236,70 EUR (Duty/Freight/Insurance prázdné, bez slevy) – potvrdit.</t>
        </is>
      </c>
    </row>
    <row r="21">
      <c r="A21" s="33" t="inlineStr">
        <is>
          <t>CCT/VPV KN</t>
        </is>
      </c>
    </row>
    <row r="22">
      <c r="A22" s="34" t="inlineStr">
        <is>
          <t>Pravidlo CCT/VPV KN nebylo použito – všechny položky mají HS kód v referenčním souboru klienta 'Celní zařazení obvyklých položek Sonavox'. Faktury samy HS kódy neuvádějí; CIM uvádí pro vše 8518900000.</t>
        </is>
      </c>
    </row>
    <row r="23">
      <c r="A23" s="33" t="inlineStr">
        <is>
          <t>ZAŘAZENÍ K OVĚŘENÍ</t>
        </is>
      </c>
    </row>
    <row r="24">
      <c r="A24" s="34" t="inlineStr">
        <is>
          <t>Gasket (142-*) – plast 3926909790 vs. pryž 4016 vs. pěna 3921; materiál nepotvrzen.</t>
        </is>
      </c>
    </row>
    <row r="25">
      <c r="A25" s="34" t="inlineStr">
        <is>
          <t>Nut (029-2513-AL-CZ) – klient nemá český popis → doplněno 'Matice' (náš překlad); 'AL' → možná hliník (7616 10 00).</t>
        </is>
      </c>
    </row>
    <row r="26">
      <c r="A26" s="34" t="inlineStr">
        <is>
          <t>Speaker components 015-S753215-Y30-KS-CZ – klient nemá český popis → doplněno 'Feritový magnet' (náš popis dle rozměru 75×32×15 mm a třídy Y30).</t>
        </is>
      </c>
    </row>
    <row r="27">
      <c r="A27" s="34" t="inlineStr">
        <is>
          <t>Speaker component 212-* – faktura bez bližšího popisu → 'magnetický obvod' dle řady part number 212-* v ref. souboru klienta; potvrdit.</t>
        </is>
      </c>
    </row>
    <row r="28">
      <c r="A28" s="34" t="inlineStr">
        <is>
          <t>Feritový magnet 015-S753215-Y30-KS-CZ (5 616 kg) – jako magnet patří spíše pod 8505 19 (Pozn. 2a k tř. XVI) než pod 8518 90 00 – případně konzultovat s customs.tariff@mauriceward.com.</t>
        </is>
      </c>
    </row>
    <row r="29">
      <c r="A29" s="34" t="inlineStr">
        <is>
          <t>Car speakers – 8518290090 (poslední poznámka klienta) vs. 8518 29 95 (List1). *Sazba 3 % dle List1 – ověřit v TARIC.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2026-10-12T12:53:20Z</dcterms:created>
  <dcterms:modified xmlns:dcterms="http://purl.org/dc/terms/" xmlns:xsi="http://www.w3.org/2001/XMLSchema-instance" xsi:type="dcterms:W3CDTF">2026-10-12T12:53:20Z</dcterms:modified>
</cp:coreProperties>
</file>