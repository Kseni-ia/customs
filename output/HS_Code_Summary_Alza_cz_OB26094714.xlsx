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3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46" customWidth="1" min="3" max="3"/>
    <col width="10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1" customWidth="1" min="10" max="10"/>
    <col width="14" customWidth="1" min="11" max="11"/>
    <col width="60" customWidth="1" min="12" max="12"/>
  </cols>
  <sheetData>
    <row r="1" ht="32" customHeight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USD (FOB)</t>
        </is>
      </c>
      <c r="I1" s="1" t="inlineStr">
        <is>
          <t>Kartony</t>
        </is>
      </c>
      <c r="J1" s="1" t="inlineStr">
        <is>
          <t>Celní sazba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>
      <c r="A2" s="2" t="inlineStr">
        <is>
          <t>GUANGDONG XINBAO ELECTRICAL APPLIANCES HOLDINGS CO., LTD. (CN)</t>
        </is>
      </c>
      <c r="B2" s="2" t="inlineStr">
        <is>
          <t>8516720000</t>
        </is>
      </c>
      <c r="C2" s="3" t="inlineStr">
        <is>
          <t>Topinkovače (opékače topinek) – ostatní elektrotepelné přístroje pro domácnost</t>
        </is>
      </c>
      <c r="D2" s="2" t="inlineStr">
        <is>
          <t>CN</t>
        </is>
      </c>
      <c r="E2" s="4" t="n">
        <v>4894</v>
      </c>
      <c r="F2" s="5" t="n">
        <v>5234.8</v>
      </c>
      <c r="G2" s="5" t="n">
        <v>6998.5</v>
      </c>
      <c r="H2" s="5" t="n">
        <v>43878.06</v>
      </c>
      <c r="I2" s="4" t="n">
        <v>999</v>
      </c>
      <c r="J2" s="6" t="n">
        <v>0.027</v>
      </c>
      <c r="K2" s="2" t="inlineStr"/>
      <c r="L2" s="3" t="inlineStr">
        <is>
          <t>Modely: SGR-T11SS-2SM, SGR-T11SS-1LSM, HM-TO-A150W, HM-TO-A150B, SGR-TO-G310DM. Třetizemní clo 2,7 % – bez preferenčního původu.</t>
        </is>
      </c>
    </row>
    <row r="3">
      <c r="A3" s="7" t="inlineStr">
        <is>
          <t>GUANGDONG XINBAO ELECTRICAL APPLIANCES HOLDINGS CO., LTD. (CN)</t>
        </is>
      </c>
      <c r="B3" s="7" t="inlineStr">
        <is>
          <t>8509800000</t>
        </is>
      </c>
      <c r="C3" s="8" t="inlineStr">
        <is>
          <t>Elektrická ústní sprcha (elektromechanický přístroj pro domácnost s vestavěným motorem)</t>
        </is>
      </c>
      <c r="D3" s="7" t="inlineStr">
        <is>
          <t>CN</t>
        </is>
      </c>
      <c r="E3" s="9" t="n">
        <v>1008</v>
      </c>
      <c r="F3" s="10" t="n">
        <v>487.2</v>
      </c>
      <c r="G3" s="10" t="n">
        <v>571.2</v>
      </c>
      <c r="H3" s="10" t="n">
        <v>12499.2</v>
      </c>
      <c r="I3" s="9" t="n">
        <v>84</v>
      </c>
      <c r="J3" s="11" t="n">
        <v>0.022</v>
      </c>
      <c r="K3" s="7" t="inlineStr"/>
      <c r="L3" s="8" t="inlineStr">
        <is>
          <t>Model SGR-OC-I430B. Třetizemní clo 2,2 % – bez preferenčního původu.</t>
        </is>
      </c>
    </row>
    <row r="4">
      <c r="A4" s="2" t="inlineStr">
        <is>
          <t>GUANGDONG XINBAO ELECTRICAL APPLIANCES HOLDINGS CO., LTD. (CN)</t>
        </is>
      </c>
      <c r="B4" s="2" t="inlineStr">
        <is>
          <t>8516900099</t>
        </is>
      </c>
      <c r="C4" s="3" t="inlineStr">
        <is>
          <t>Příslušenství ke kávovaru – náhradní páka (portafilter), části a součásti</t>
        </is>
      </c>
      <c r="D4" s="2" t="inlineStr">
        <is>
          <t>CN</t>
        </is>
      </c>
      <c r="E4" s="4" t="n">
        <v>50</v>
      </c>
      <c r="F4" s="5" t="n">
        <v>19</v>
      </c>
      <c r="G4" s="5" t="n">
        <v>20</v>
      </c>
      <c r="H4" s="5" t="n">
        <v>195</v>
      </c>
      <c r="I4" s="4" t="n">
        <v>1</v>
      </c>
      <c r="J4" s="6" t="n">
        <v>0.027</v>
      </c>
      <c r="K4" s="2" t="inlineStr"/>
      <c r="L4" s="3" t="inlineStr">
        <is>
          <t>Model SGR-EM-X420SU. Třetizemní clo 2,7 % – bez preferenčního původu.</t>
        </is>
      </c>
    </row>
    <row r="5">
      <c r="A5" s="12" t="inlineStr">
        <is>
          <t>CELKEM</t>
        </is>
      </c>
      <c r="B5" s="13" t="n"/>
      <c r="C5" s="13" t="n"/>
      <c r="D5" s="13" t="n"/>
      <c r="E5" s="14" t="n">
        <v>5952</v>
      </c>
      <c r="F5" s="15" t="n">
        <v>5741</v>
      </c>
      <c r="G5" s="15" t="n">
        <v>7589.7</v>
      </c>
      <c r="H5" s="15" t="n">
        <v>56572.26</v>
      </c>
      <c r="I5" s="14" t="n">
        <v>1084</v>
      </c>
      <c r="J5" s="13" t="n"/>
      <c r="K5" s="13" t="n"/>
      <c r="L5" s="13" t="n"/>
    </row>
    <row r="7" ht="30" customHeight="1">
      <c r="A7" s="16" t="inlineStr">
        <is>
          <t>INCOTERM</t>
        </is>
      </c>
      <c r="C7" s="17" t="inlineStr">
        <is>
          <t>FOB NANSHA (Čína) – dodací podmínka vč. místa. Přepravné COLLECT.</t>
        </is>
      </c>
    </row>
    <row r="8" ht="30" customHeight="1">
      <c r="A8" s="18" t="inlineStr">
        <is>
          <t>CELNÍ HODNOTA</t>
        </is>
      </c>
      <c r="C8" s="19" t="inlineStr">
        <is>
          <t>Fakturovaná hodnota je FOB. Pro celní hodnotu (CIF hranice EU) je nutno připočíst námořní přepravné a pojištění – přepravné je collect, dosud nevyfakturováno.</t>
        </is>
      </c>
    </row>
    <row r="9" ht="30" customHeight="1">
      <c r="A9" s="18" t="inlineStr">
        <is>
          <t>PREFERENČNÍ PŮVOD (COO)</t>
        </is>
      </c>
      <c r="C9" s="19" t="inlineStr">
        <is>
          <t>⚠ V dokladech NENÍ preferenční věta. Původ CHINA (CN) – EU nemá s ČLR preferenční dohodu. Uplatní se plné třetizemní clo (2,7 % / 2,2 %). Preferenční sazbu NELZE použít.</t>
        </is>
      </c>
    </row>
    <row r="10" ht="30" customHeight="1">
      <c r="A10" s="16" t="inlineStr">
        <is>
          <t>CBAM</t>
        </is>
      </c>
      <c r="C10" s="17" t="inlineStr">
        <is>
          <t>Netýká se. Žádný HS kód v zásilce (8516, 8509) nespadá do rozsahu CBAM (cement, železo/ocel, hliník, hnojiva, elektřina, vodík). Pozn.: příjemce Alza.cz a.s. NENÍ v registru reference/CBAM_receivers_CZ.xlsx – pro tuto zásilku to nevadí, ale doplnit před případnou CBAM zásilkou.</t>
        </is>
      </c>
    </row>
    <row r="11" ht="30" customHeight="1">
      <c r="A11" s="16" t="inlineStr">
        <is>
          <t>ANTIDUMPING</t>
        </is>
      </c>
      <c r="C11" s="17" t="inlineStr">
        <is>
          <t>Nezjištěno. Na topinkovače (8516.72), ústní sprchy (8509.80) ani části (8516.90) z ČLR nejsou uvalena antidumpingová cla. Ověřit v TARIC při podání JSD.</t>
        </is>
      </c>
    </row>
    <row r="12" ht="30" customHeight="1">
      <c r="A12" s="16" t="inlineStr">
        <is>
          <t>OBCHODNÍ SLEVA</t>
        </is>
      </c>
      <c r="C12" s="17" t="inlineStr">
        <is>
          <t>Na faktuře XBEK401E2260001 není uvedena žádná sleva – poměrné rozpuštění slevy se neuplatní.</t>
        </is>
      </c>
    </row>
  </sheetData>
  <mergeCells count="6">
    <mergeCell ref="C8:L8"/>
    <mergeCell ref="C9:L9"/>
    <mergeCell ref="C7:L7"/>
    <mergeCell ref="C12:L12"/>
    <mergeCell ref="C10:L10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0">
        <f>== ZÁSILKA ===</f>
        <v/>
      </c>
    </row>
    <row r="2">
      <c r="A2" s="21" t="inlineStr">
        <is>
          <t>Objednávka (OB): OB26094714 | Faktura: XBEK401E2260001 ze dne 17.7.2026 | Proforma: EK4025051201</t>
        </is>
      </c>
    </row>
    <row r="3">
      <c r="A3" s="21" t="inlineStr">
        <is>
          <t>B/L: F202616863 | Kontejner: MRKU6303245 / plomba CN7079834 | 1× 40'HQ, 1084 kartonů, 68,07 CBM</t>
        </is>
      </c>
    </row>
    <row r="4">
      <c r="A4" s="21" t="inlineStr">
        <is>
          <t>Loď: AL QIBLA EXPRESS 630E | Nansha (CN) → Bremerhaven → Mělník | Shipped on board 22.7.2026</t>
        </is>
      </c>
    </row>
    <row r="5">
      <c r="A5" s="21" t="inlineStr">
        <is>
          <t>Odesílatel: GUANGDONG XINBAO ELECTRICAL APPLIANCES HOLDINGS CO., LTD., Foshan, Guangdong, Čína</t>
        </is>
      </c>
    </row>
    <row r="6">
      <c r="A6" s="21" t="inlineStr">
        <is>
          <t>Příjemce (CZ): Alza.cz a.s., Jankovcova 1522/53, 170 00 Praha 7 – Holešovice | IČO 27082440 | DIČ CZ27082440</t>
        </is>
      </c>
    </row>
    <row r="7">
      <c r="A7" s="21" t="inlineStr">
        <is>
          <t>Zástupce: Maurice Ward &amp; Co. s.r.o., Airport Logistics Park, Kněževes 185, 252 68 Středokluky</t>
        </is>
      </c>
    </row>
    <row r="8">
      <c r="A8" s="21" t="inlineStr"/>
    </row>
    <row r="9">
      <c r="A9" s="20">
        <f>== PREFERENČNÍ PŮVOD – DŮLEŽITÉ ===</f>
        <v/>
      </c>
    </row>
    <row r="10">
      <c r="A10" s="21" t="inlineStr">
        <is>
          <t>⚠ V obchodní faktuře ani v ostatních dokladech NENÍ uvedena preferenční věta (prohlášení o preferenčním původu).</t>
        </is>
      </c>
    </row>
    <row r="11">
      <c r="A11" s="21" t="inlineStr">
        <is>
          <t>Země původu deklarovaná na faktuře: CHINA. EU s ČLR nemá dohodu o preferenčním obchodu.</t>
        </is>
      </c>
    </row>
    <row r="12">
      <c r="A12" s="21" t="inlineStr">
        <is>
          <t>→ Uplatní se standardní třetizemní celní sazba: 8516720000 = 2,7 %, 8509800000 = 2,2 %, 8516900099 = 2,7 %.</t>
        </is>
      </c>
    </row>
    <row r="13">
      <c r="A13" s="21" t="inlineStr">
        <is>
          <t>→ Preferenční zacházení není možné; v JSD neuvádět preferenční kód.</t>
        </is>
      </c>
    </row>
    <row r="14">
      <c r="A14" s="21" t="inlineStr"/>
    </row>
    <row r="15">
      <c r="A15" s="20">
        <f>== CBAM ===</f>
        <v/>
      </c>
    </row>
    <row r="16">
      <c r="A16" s="21" t="inlineStr">
        <is>
          <t>Zásilka neobsahuje žádné CBAM zboží – HS 8516 a 8509 nespadají do přílohy I nařízení CBAM.</t>
        </is>
      </c>
    </row>
    <row r="17">
      <c r="A17" s="21" t="inlineStr">
        <is>
          <t>Kontrola registru: příjemce "Alza.cz a.s." NENÍ uveden v reference/CBAM_receivers_CZ.xlsx (list1) ani pod IČO/EORI.</t>
        </is>
      </c>
    </row>
    <row r="18">
      <c r="A18" s="21" t="inlineStr">
        <is>
          <t>→ Pro tuto zásilku bez dopadu. Doporučuji firmu ověřit a doplnit do registru, než přijde zásilka s CBAM kódem.</t>
        </is>
      </c>
    </row>
    <row r="19">
      <c r="A19" s="21" t="inlineStr"/>
    </row>
    <row r="20">
      <c r="A20" s="20">
        <f>== ANTIDUMPING ===</f>
        <v/>
      </c>
    </row>
    <row r="21">
      <c r="A21" s="21" t="inlineStr">
        <is>
          <t>Žádná z položek nepodléhá antidumpingovému clu podle aktuálních opatření EU vůči ČLR.</t>
        </is>
      </c>
    </row>
    <row r="22">
      <c r="A22" s="21" t="inlineStr">
        <is>
          <t>Ověřeno pro: 8516720000 (opékače topinek), 8509800000 (ústní sprchy), 8516900099 (části a součásti).</t>
        </is>
      </c>
    </row>
    <row r="23">
      <c r="A23" s="21" t="inlineStr"/>
    </row>
    <row r="24">
      <c r="A24" s="20">
        <f>== INCOTERM A CELNÍ HODNOTA ===</f>
        <v/>
      </c>
    </row>
    <row r="25">
      <c r="A25" s="21" t="inlineStr">
        <is>
          <t>Incoterm: FOB NANSHA (uvedeno shodně na faktuře i packing listu).</t>
        </is>
      </c>
    </row>
    <row r="26">
      <c r="A26" s="21" t="inlineStr">
        <is>
          <t>Přepravné: FREIGHT COLLECT (B/L). Fakturovaná částka 56 572,26 USD je tedy FOB, bez přepravného a pojištění.</t>
        </is>
      </c>
    </row>
    <row r="27">
      <c r="A27" s="21" t="inlineStr">
        <is>
          <t>→ Pro celní hodnotu doplnit náklady na přepravu a pojištění do hranice EU a rozpustit poměrně na jednotlivé HS kódy.</t>
        </is>
      </c>
    </row>
    <row r="28">
      <c r="A28" s="21" t="inlineStr"/>
    </row>
    <row r="29">
      <c r="A29" s="20">
        <f>== HMOTNOSTI A MNOŽSTVÍ ===</f>
        <v/>
      </c>
    </row>
    <row r="30">
      <c r="A30" s="21" t="inlineStr">
        <is>
          <t>Čistá hmotnost celkem: 5 741,0 kg | Hrubá hmotnost celkem: 7 589,7 kg (shoda packing list i B/L).</t>
        </is>
      </c>
    </row>
    <row r="31">
      <c r="A31" s="21" t="inlineStr">
        <is>
          <t>Množství celkem: 5 952 ks v 1 084 kartonech. Hodnota celkem: 56 572,26 USD.</t>
        </is>
      </c>
    </row>
    <row r="32">
      <c r="A32" s="21" t="inlineStr">
        <is>
          <t>Váhy i množství na úrovni HS kódu jsou sečteny přímo z řádků packing listu – nejde o poměrný odhad.</t>
        </is>
      </c>
    </row>
    <row r="33">
      <c r="A33" s="21" t="inlineStr"/>
    </row>
    <row r="34">
      <c r="A34" s="20">
        <f>== POKYNY K ODBAVENÍ (Příkaz / Maurice Ward) ===</f>
        <v/>
      </c>
    </row>
    <row r="35">
      <c r="A35" s="21" t="inlineStr">
        <is>
          <t>Režim: JSD – propuštění do volného oběhu (nikoli T1).</t>
        </is>
      </c>
    </row>
    <row r="36">
      <c r="A36" s="21" t="inlineStr">
        <is>
          <t>Doručení: Alza.cz a.s. / LCZ sklad Zdiby, P3 D8 Logistic Park hala DC04, Zdibsko 615, Klecany 250 67, 6:00–17:00.</t>
        </is>
      </c>
    </row>
    <row r="37">
      <c r="A37" s="21" t="inlineStr">
        <is>
          <t>Vykládka: kamion ANO, VZV ANO, hydraulická rampa ANO.</t>
        </is>
      </c>
    </row>
    <row r="38">
      <c r="A38" s="21" t="inlineStr">
        <is>
          <t>⚠ Nutná rezervace závozového okna: https://gatebooking.alza.cz/</t>
        </is>
      </c>
    </row>
    <row r="39">
      <c r="A39" s="21" t="inlineStr">
        <is>
          <t>⚠ Do JSD je nutné uvést číslo OB: OB26094714.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2026-08-26T14:18:49Z</dcterms:created>
  <dcterms:modified xsi:type="dcterms:W3CDTF">2026-08-26T14:18:49Z</dcterms:modified>
</cp:coreProperties>
</file>