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 Summary" sheetId="1" state="visible" r:id="rId1"/>
    <sheet xmlns:r="http://schemas.openxmlformats.org/officeDocument/2006/relationships" name="Položky faktury" sheetId="2" state="visible" r:id="rId2"/>
    <sheet xmlns:r="http://schemas.openxmlformats.org/officeDocument/2006/relationships"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1" fillId="0" borderId="0" pivotButton="0" quotePrefix="0" xfId="0"/>
    <xf numFmtId="4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2" customWidth="1" min="3" max="3"/>
    <col width="18" customWidth="1" min="4" max="4"/>
    <col width="10" customWidth="1" min="5" max="5"/>
    <col width="12" customWidth="1" min="6" max="6"/>
    <col width="10" customWidth="1" min="7" max="7"/>
    <col width="13" customWidth="1" min="8" max="8"/>
    <col width="13" customWidth="1" min="9" max="9"/>
    <col width="14" customWidth="1" min="10" max="10"/>
    <col width="13" customWidth="1" min="11" max="11"/>
    <col width="8" customWidth="1" min="12" max="12"/>
    <col width="12" customWidth="1" min="13" max="13"/>
    <col width="60" customWidth="1" min="14" max="14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TARIC</t>
        </is>
      </c>
      <c r="D1" s="1" t="inlineStr">
        <is>
          <t>Popis zboží (CZ)</t>
        </is>
      </c>
      <c r="E1" s="1" t="inlineStr">
        <is>
          <t>Země původu (COO)</t>
        </is>
      </c>
      <c r="F1" s="1" t="inlineStr">
        <is>
          <t>Celkové množství (role)</t>
        </is>
      </c>
      <c r="G1" s="1" t="inlineStr">
        <is>
          <t>Plocha (m²)</t>
        </is>
      </c>
      <c r="H1" s="1" t="inlineStr">
        <is>
          <t>Čistá hmotnost (kg)</t>
        </is>
      </c>
      <c r="I1" s="1" t="inlineStr">
        <is>
          <t>Hrubá hmotnost (kg)</t>
        </is>
      </c>
      <c r="J1" s="1" t="inlineStr">
        <is>
          <t>Hodnota USD – Total</t>
        </is>
      </c>
      <c r="K1" s="1" t="inlineStr">
        <is>
          <t>Incoterm</t>
        </is>
      </c>
      <c r="L1" s="1" t="inlineStr">
        <is>
          <t>CBAM</t>
        </is>
      </c>
      <c r="M1" s="1" t="inlineStr">
        <is>
          <t>Antidumping</t>
        </is>
      </c>
      <c r="N1" s="1" t="inlineStr">
        <is>
          <t>Poznámka</t>
        </is>
      </c>
    </row>
    <row r="2">
      <c r="A2" s="2" t="inlineStr">
        <is>
          <t>QINGDAO BOTHWIN CO., LTD (CN)</t>
        </is>
      </c>
      <c r="B2" s="2" t="inlineStr">
        <is>
          <t>40082190</t>
        </is>
      </c>
      <c r="C2" s="2" t="inlineStr">
        <is>
          <t>4008219000</t>
        </is>
      </c>
      <c r="D2" s="2" t="inlineStr">
        <is>
          <t>gumové desky</t>
        </is>
      </c>
      <c r="E2" s="2" t="inlineStr">
        <is>
          <t>CN</t>
        </is>
      </c>
      <c r="F2" s="2" t="n">
        <v>237</v>
      </c>
      <c r="G2" s="2" t="n">
        <v>3262</v>
      </c>
      <c r="H2" s="3" t="n">
        <v>21460</v>
      </c>
      <c r="I2" s="3" t="n">
        <v>21750</v>
      </c>
      <c r="J2" s="3" t="n">
        <v>11905.04</v>
      </c>
      <c r="K2" s="2" t="inlineStr">
        <is>
          <t>FOB Xingang</t>
        </is>
      </c>
      <c r="L2" s="2" t="inlineStr">
        <is>
          <t>NE</t>
        </is>
      </c>
      <c r="M2" s="2" t="inlineStr">
        <is>
          <t>NE</t>
        </is>
      </c>
      <c r="N2" s="2" t="inlineStr">
        <is>
          <t>2 položky faktury sloučeny (kat. č. 0231236 + 0231336). Desky z nelehčeného kaučuku SBR, resp. EPDM/SBR.</t>
        </is>
      </c>
    </row>
    <row r="3">
      <c r="A3" s="4" t="inlineStr">
        <is>
          <t>CELKEM</t>
        </is>
      </c>
      <c r="B3" s="4" t="n"/>
      <c r="C3" s="4" t="n"/>
      <c r="D3" s="4" t="n"/>
      <c r="E3" s="4" t="n"/>
      <c r="F3" s="4">
        <f>SUM(F2:F2)</f>
        <v/>
      </c>
      <c r="G3" s="4">
        <f>SUM(G2:G2)</f>
        <v/>
      </c>
      <c r="H3" s="5">
        <f>SUM(H2:H2)</f>
        <v/>
      </c>
      <c r="I3" s="5">
        <f>SUM(I2:I2)</f>
        <v/>
      </c>
      <c r="J3" s="5">
        <f>SUM(J2:J2)</f>
        <v/>
      </c>
      <c r="K3" s="4" t="n"/>
      <c r="L3" s="4" t="n"/>
      <c r="M3" s="4" t="n"/>
      <c r="N3" s="4" t="n"/>
    </row>
    <row r="5">
      <c r="A5" s="4" t="inlineStr">
        <is>
          <t>Zásilka</t>
        </is>
      </c>
      <c r="B5" t="inlineStr">
        <is>
          <t>ADITEG s.r.o. / faktura 263500 ze dne 20.9.2026 / ref. KLI20260820005 – vyclení do VO, JSD přes Maersk Mělník</t>
        </is>
      </c>
    </row>
    <row r="6">
      <c r="A6" s="4" t="inlineStr">
        <is>
          <t>Příjemce (CZ)</t>
        </is>
      </c>
      <c r="B6" t="inlineStr">
        <is>
          <t>ADITEG s.r.o., Vrbovec 321, CZ-67124 Vrbovec</t>
        </is>
      </c>
    </row>
    <row r="7">
      <c r="A7" s="4" t="inlineStr">
        <is>
          <t>Odesílatel</t>
        </is>
      </c>
      <c r="B7" t="inlineStr">
        <is>
          <t>QINGDAO BOTHWIN CO., LTD, Qingdao Economic and Technical Development Zone, Qingdao, China</t>
        </is>
      </c>
    </row>
    <row r="8">
      <c r="A8" s="4" t="inlineStr">
        <is>
          <t>Doprava</t>
        </is>
      </c>
      <c r="B8" t="inlineStr">
        <is>
          <t>B/L AHD26090584 (Maersk), loď SANTA VIOLA / 639S, Xingang → Bremerhaven (ETA 11/11) → Mělník; kontejner MRKU9908559 / plomba CN6921545, 1×20'GP, 237 rolí, 25 CBM; FREIGHT COLLECT</t>
        </is>
      </c>
    </row>
    <row r="9">
      <c r="A9" s="4" t="inlineStr">
        <is>
          <t>Incoterm</t>
        </is>
      </c>
      <c r="B9" t="inlineStr">
        <is>
          <t>FOB Xingang – faktura uvádí ceny FOB, místo odvozeno z 'From: XINGANG, CHINA' a přístavu nakládky na B/L (místo není u FOB výslovně napsáno)</t>
        </is>
      </c>
    </row>
    <row r="10">
      <c r="A10" s="4" t="inlineStr">
        <is>
          <t>Celní hodnota</t>
        </is>
      </c>
      <c r="B10" t="inlineStr">
        <is>
          <t>FOB → k celní hodnotě je nutné připočíst dopravné (+ pojištění) do místa vstupu do EU (Bremerhaven). Faktura za dopravné (freight collect) NENÍ v dokladech – vyžádat.</t>
        </is>
      </c>
    </row>
    <row r="11">
      <c r="A11" s="4" t="inlineStr">
        <is>
          <t>Hodnota</t>
        </is>
      </c>
      <c r="B11" t="inlineStr">
        <is>
          <t>Použita částka 'Total Amount' / 'Finally Totally' z faktury: 11 905,04 USD. Žádná sleva na faktuře.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9" customWidth="1" min="4" max="4"/>
    <col width="9" customWidth="1" min="5" max="5"/>
    <col width="10" customWidth="1" min="6" max="6"/>
    <col width="10" customWidth="1" min="7" max="7"/>
    <col width="9" customWidth="1" min="8" max="8"/>
    <col width="9" customWidth="1" min="9" max="9"/>
    <col width="14" customWidth="1" min="10" max="10"/>
    <col width="13" customWidth="1" min="11" max="11"/>
    <col width="13" customWidth="1" min="12" max="12"/>
    <col width="14" customWidth="1" min="13" max="13"/>
  </cols>
  <sheetData>
    <row r="1">
      <c r="A1" s="1" t="inlineStr">
        <is>
          <t>Kat. č.</t>
        </is>
      </c>
      <c r="B1" s="1" t="inlineStr">
        <is>
          <t>Popis (faktura, EN)</t>
        </is>
      </c>
      <c r="C1" s="1" t="inlineStr">
        <is>
          <t>Tloušťka (mm)</t>
        </is>
      </c>
      <c r="D1" s="1" t="inlineStr">
        <is>
          <t>Šířka (m)</t>
        </is>
      </c>
      <c r="E1" s="1" t="inlineStr">
        <is>
          <t>Délka (m)</t>
        </is>
      </c>
      <c r="F1" s="1" t="inlineStr">
        <is>
          <t>Množství (role)</t>
        </is>
      </c>
      <c r="G1" s="1" t="inlineStr">
        <is>
          <t>Plocha (m²)</t>
        </is>
      </c>
      <c r="H1" s="1" t="inlineStr">
        <is>
          <t>USD/m²</t>
        </is>
      </c>
      <c r="I1" s="1" t="inlineStr">
        <is>
          <t>USD/role</t>
        </is>
      </c>
      <c r="J1" s="1" t="inlineStr">
        <is>
          <t>Total Amount (USD)</t>
        </is>
      </c>
      <c r="K1" s="1" t="inlineStr">
        <is>
          <t>Čistá hmotnost (kg)</t>
        </is>
      </c>
      <c r="L1" s="1" t="inlineStr">
        <is>
          <t>Hrubá hmotnost (kg)</t>
        </is>
      </c>
      <c r="M1" s="1" t="inlineStr">
        <is>
          <t>HS kód (od klienta)</t>
        </is>
      </c>
    </row>
    <row r="2">
      <c r="A2" t="inlineStr">
        <is>
          <t>0231236</t>
        </is>
      </c>
      <c r="B2" t="inlineStr">
        <is>
          <t>SBR 1 insert, black, 2-3 MPa, Hardness 65 +/- 5 Sh.</t>
        </is>
      </c>
      <c r="C2" t="n">
        <v>4</v>
      </c>
      <c r="D2" t="n">
        <v>1.4</v>
      </c>
      <c r="E2" t="n">
        <v>10</v>
      </c>
      <c r="F2" t="n">
        <v>230</v>
      </c>
      <c r="G2">
        <f>F2*D2*E2</f>
        <v/>
      </c>
      <c r="H2" t="n">
        <v>3.47</v>
      </c>
      <c r="I2" t="n">
        <v>48.58</v>
      </c>
      <c r="J2" t="n">
        <v>11173.4</v>
      </c>
      <c r="K2" t="n">
        <v>20900</v>
      </c>
      <c r="L2" t="n">
        <v>21150</v>
      </c>
      <c r="M2" t="inlineStr">
        <is>
          <t>40082190</t>
        </is>
      </c>
    </row>
    <row r="3">
      <c r="A3" t="inlineStr">
        <is>
          <t>0231336</t>
        </is>
      </c>
      <c r="B3" t="inlineStr">
        <is>
          <t>EPDM/SBR no insert, black, 2-3 MPa, Hardness 50 +/- 5 Sh.</t>
        </is>
      </c>
      <c r="C3" t="n">
        <v>10</v>
      </c>
      <c r="D3" t="n">
        <v>1.2</v>
      </c>
      <c r="E3" t="n">
        <v>5</v>
      </c>
      <c r="F3" t="n">
        <v>7</v>
      </c>
      <c r="G3">
        <f>F3*D3*E3</f>
        <v/>
      </c>
      <c r="H3" t="n">
        <v>17.42</v>
      </c>
      <c r="I3" t="n">
        <v>104.52</v>
      </c>
      <c r="J3" t="n">
        <v>731.64</v>
      </c>
      <c r="K3" t="n">
        <v>560</v>
      </c>
      <c r="L3" t="n">
        <v>600</v>
      </c>
      <c r="M3" t="inlineStr">
        <is>
          <t>40082190</t>
        </is>
      </c>
    </row>
    <row r="4">
      <c r="A4" s="4" t="inlineStr">
        <is>
          <t>CELKEM</t>
        </is>
      </c>
      <c r="B4" s="4" t="n"/>
      <c r="C4" s="4" t="n"/>
      <c r="D4" s="4" t="n"/>
      <c r="E4" s="4" t="n"/>
      <c r="F4" s="4">
        <f>SUM(F2:F3)</f>
        <v/>
      </c>
      <c r="G4" s="4">
        <f>SUM(G2:G3)</f>
        <v/>
      </c>
      <c r="H4" s="4" t="n"/>
      <c r="I4" s="4" t="n"/>
      <c r="J4" s="4">
        <f>SUM(J2:J3)</f>
        <v/>
      </c>
      <c r="K4" s="4">
        <f>SUM(K2:K3)</f>
        <v/>
      </c>
      <c r="L4" s="4">
        <f>SUM(L2:L3)</f>
        <v/>
      </c>
      <c r="M4" s="4" t="n"/>
    </row>
    <row r="6">
      <c r="A6" t="inlineStr">
        <is>
          <t>Kontrola: součty sedí s fakturou (11 905,04 USD), packing listem (NW 21 460 kg / GW 21 750 kg) i B/L (237 rolí / 21 750 kg).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4">
        <f>== PŘIJATÉ DOKUMENTY ===</f>
        <v/>
      </c>
    </row>
    <row r="2">
      <c r="A2" t="inlineStr">
        <is>
          <t>✓ Obchodní faktura č. 263500 (20.9.2026)</t>
        </is>
      </c>
    </row>
    <row r="3">
      <c r="A3" t="inlineStr">
        <is>
          <t>✓ Packing list k faktuře 263500</t>
        </is>
      </c>
    </row>
    <row r="4">
      <c r="A4" t="inlineStr">
        <is>
          <t>✓ Konosament (B/L) AHD26090584 – Maersk, 7.10.2026</t>
        </is>
      </c>
    </row>
    <row r="5">
      <c r="A5" t="inlineStr">
        <is>
          <t>✓ E-mail klienta (Pavla Mertlíková): vyclení do VO, ETA Bremerhaven 11/11, JSD přes Maersk Mělník, 'gumové desky HS 40082190', prosba o doplnění Y kódu</t>
        </is>
      </c>
    </row>
    <row r="6">
      <c r="A6" s="6" t="inlineStr">
        <is>
          <t>✗ CHYBÍ: doklad o dopravném do hranice EU (FOB + freight collect) – nutné pro celní hodnotu</t>
        </is>
      </c>
    </row>
    <row r="7">
      <c r="A7" t="inlineStr"/>
    </row>
    <row r="8">
      <c r="A8" s="4">
        <f>== POPIS ZBOŽÍ ===</f>
        <v/>
      </c>
    </row>
    <row r="9">
      <c r="A9" t="inlineStr">
        <is>
          <t>Použit český popis od klienta: 'gumové desky' (z e-mailu). HS kód 40082190 dodal klient.</t>
        </is>
      </c>
    </row>
    <row r="10">
      <c r="A10" t="inlineStr">
        <is>
          <t>Kontrola zařazení: desky z nelehčeného vulkanizovaného kaučuku (SBR, EPDM/SBR) – čís. 4008 21. Položka 0231236 má 1 textilní vložku: cca 6,5 kg/m² a textil &lt; 50 % hmotnosti → dle pozn. 4 ke kap. 59 nejde o pogumovanou textilii (5906), zůstává v 4008. Nejde o podlahové krytiny (4008 21 10) → 4008 21 90.</t>
        </is>
      </c>
    </row>
    <row r="11">
      <c r="A11" t="inlineStr"/>
    </row>
    <row r="12">
      <c r="A12" s="4">
        <f>== CBAM / Y KÓD ===</f>
        <v/>
      </c>
    </row>
    <row r="13">
      <c r="A13" t="inlineStr">
        <is>
          <t>HS 4008 (pryž) NENÍ v příloze I nařízení CBAM (cement, železo/ocel, hliník, hnojiva, vodík, elektřina) → zboží nepodléhá CBAM, CBAM Y kód (Y128/Y238/Y137) se pro tuto položku neuvádí.</t>
        </is>
      </c>
    </row>
    <row r="14">
      <c r="A14" s="6" t="inlineStr">
        <is>
          <t>⚠ ADITEG s.r.o. NENÍ v registru reference/CBAM_receivers_CZ.xlsx (hledáno podle názvu firmy). Pro tuto zásilku to nevadí, ale firmu je vhodné do registru doplnit pro budoucí CBAM zboží.</t>
        </is>
      </c>
    </row>
    <row r="15">
      <c r="A15" t="inlineStr"/>
    </row>
    <row r="16">
      <c r="A16" s="4">
        <f>== PŮVOD / PREFERENCE ===</f>
        <v/>
      </c>
    </row>
    <row r="17">
      <c r="A17" t="inlineStr">
        <is>
          <t>Země původu: Čína (CN) – 'COUNTRY OF ORIGINE: CHINA' na faktuře i PL.</t>
        </is>
      </c>
    </row>
    <row r="18">
      <c r="A18" t="inlineStr">
        <is>
          <t>Preferenční věta: NENÍ v dokladech → standardní clo pro třetí země (konvenční sazba, ověřit v TARIC).</t>
        </is>
      </c>
    </row>
    <row r="19">
      <c r="A19" t="inlineStr">
        <is>
          <t>REX číslo: NENÍ na faktuře.</t>
        </is>
      </c>
    </row>
    <row r="20">
      <c r="A20" t="inlineStr"/>
    </row>
    <row r="21">
      <c r="A21" s="4">
        <f>== ANTIDUMPING ===</f>
        <v/>
      </c>
    </row>
    <row r="22">
      <c r="A22" t="inlineStr">
        <is>
          <t>Pro 4008219000 z CN nebylo zjištěno antidumpingové clo – ověřit v TARIC při podání JSD.</t>
        </is>
      </c>
    </row>
    <row r="23">
      <c r="A23" t="inlineStr"/>
    </row>
    <row r="24">
      <c r="A24" s="4">
        <f>== MELT AND POUR ===</f>
        <v/>
      </c>
    </row>
    <row r="25">
      <c r="A25" t="inlineStr">
        <is>
          <t>Neuplatňuje se – zboží není železo/ocel.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2026-10-30T09:20:09Z</dcterms:created>
  <dcterms:modified xmlns:dcterms="http://purl.org/dc/terms/" xmlns:xsi="http://www.w3.org/2001/XMLSchema-instance" xsi:type="dcterms:W3CDTF">2026-10-30T09:20:09Z</dcterms:modified>
</cp:coreProperties>
</file>