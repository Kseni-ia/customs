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S Summary" sheetId="1" state="visible" r:id="rId1"/>
    <sheet xmlns:r="http://schemas.openxmlformats.org/officeDocument/2006/relationships" name="Kontrola zařazení" sheetId="2" state="visible" r:id="rId2"/>
    <sheet xmlns:r="http://schemas.openxmlformats.org/officeDocument/2006/relationships" name="Doklady a poznámky"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C00000"/>
    </font>
    <font>
      <b val="1"/>
      <color rgb="00FFFFFF"/>
    </font>
    <font>
      <color rgb="00C00000"/>
    </font>
    <font>
      <b val="1"/>
      <color rgb="001F4E78"/>
      <sz val="12"/>
    </font>
  </fonts>
  <fills count="7">
    <fill>
      <patternFill/>
    </fill>
    <fill>
      <patternFill patternType="gray125"/>
    </fill>
    <fill>
      <patternFill patternType="solid">
        <fgColor rgb="001F4E78"/>
      </patternFill>
    </fill>
    <fill>
      <patternFill patternType="solid">
        <fgColor rgb="00FFE699"/>
      </patternFill>
    </fill>
    <fill>
      <patternFill patternType="solid">
        <fgColor rgb="00DDEBF7"/>
      </patternFill>
    </fill>
    <fill>
      <patternFill patternType="solid">
        <fgColor rgb="00F8CBAD"/>
      </patternFill>
    </fill>
    <fill>
      <patternFill patternType="solid">
        <fgColor rgb="00E2EFD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4" fillId="0" borderId="1" applyAlignment="1" pivotButton="0" quotePrefix="0" xfId="0">
      <alignment vertical="top" wrapText="1"/>
    </xf>
    <xf numFmtId="4"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1" fillId="0" borderId="1" pivotButton="0" quotePrefix="0" xfId="0"/>
    <xf numFmtId="0" fontId="0" fillId="0" borderId="1" pivotButton="0" quotePrefix="0" xfId="0"/>
    <xf numFmtId="0" fontId="2" fillId="0" borderId="1" pivotButton="0" quotePrefix="0" xfId="0"/>
    <xf numFmtId="4" fontId="1" fillId="0" borderId="1" pivotButton="0" quotePrefix="0" xfId="0"/>
    <xf numFmtId="0" fontId="1" fillId="6" borderId="0" pivotButton="0" quotePrefix="0" xfId="0"/>
    <xf numFmtId="0" fontId="1" fillId="4" borderId="0" pivotButton="0" quotePrefix="0" xfId="0"/>
    <xf numFmtId="0" fontId="1" fillId="5"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7"/>
  <sheetViews>
    <sheetView workbookViewId="0">
      <pane xSplit="2" ySplit="10" topLeftCell="C11"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18" customWidth="1" min="4" max="4"/>
    <col width="42" customWidth="1" min="5" max="5"/>
    <col width="42" customWidth="1" min="6" max="6"/>
    <col width="12" customWidth="1" min="7" max="7"/>
    <col width="18" customWidth="1" min="8" max="8"/>
    <col width="10" customWidth="1" min="9" max="9"/>
    <col width="8" customWidth="1" min="10" max="10"/>
    <col width="12" customWidth="1" min="11" max="11"/>
    <col width="12" customWidth="1" min="12" max="12"/>
    <col width="14" customWidth="1" min="13" max="13"/>
    <col width="8" customWidth="1" min="14" max="14"/>
    <col width="24" customWidth="1" min="15" max="15"/>
    <col width="60" customWidth="1" min="16" max="16"/>
  </cols>
  <sheetData>
    <row r="1">
      <c r="A1" s="1" t="inlineStr">
        <is>
          <t>Klient / příjemce</t>
        </is>
      </c>
      <c r="B1" t="inlineStr">
        <is>
          <t>EL GAUCHO CZ, s.r.o., Dušní 905/4, 110 00 Praha 1 – IČO 07545193, DIČ CZ07545193</t>
        </is>
      </c>
    </row>
    <row r="2">
      <c r="A2" s="1" t="inlineStr">
        <is>
          <t>Zásilka</t>
        </is>
      </c>
      <c r="B2" t="inlineStr">
        <is>
          <t>GAUCHO05</t>
        </is>
      </c>
    </row>
    <row r="3">
      <c r="A3" s="1" t="inlineStr">
        <is>
          <t>Odesílatel</t>
        </is>
      </c>
      <c r="B3" t="inlineStr">
        <is>
          <t>GAUCHO COMPANY LIMITED, 74/1-74/1A Hai Ba Trung St., Sai Gon Ward, HCMC, Vietnam</t>
        </is>
      </c>
    </row>
    <row r="4">
      <c r="A4" s="1" t="inlineStr">
        <is>
          <t>Faktura</t>
        </is>
      </c>
      <c r="B4" t="inlineStr">
        <is>
          <t>C26MAB-384 ze dne 9. 10. 2026 – TOTAL 70 150,40 USD</t>
        </is>
      </c>
    </row>
    <row r="5">
      <c r="A5" s="1" t="inlineStr">
        <is>
          <t>Incoterm</t>
        </is>
      </c>
      <c r="B5" s="2" t="inlineStr">
        <is>
          <t>⚠️ NEUVEDENO – na faktuře ani PL není dodací podmínka ani místo. Nutno doplnit (term + město).</t>
        </is>
      </c>
    </row>
    <row r="6">
      <c r="A6" s="1" t="inlineStr">
        <is>
          <t>Měna</t>
        </is>
      </c>
      <c r="B6" t="inlineStr">
        <is>
          <t>USD</t>
        </is>
      </c>
    </row>
    <row r="7">
      <c r="A7" s="1" t="inlineStr">
        <is>
          <t>Kusy / hrubá hmotnost</t>
        </is>
      </c>
      <c r="B7" t="inlineStr">
        <is>
          <t>396 kartonů / 6 490.5 kg (dle PL)</t>
        </is>
      </c>
    </row>
    <row r="8">
      <c r="A8" s="1" t="inlineStr">
        <is>
          <t>Čistá hmotnost</t>
        </is>
      </c>
      <c r="B8" s="2" t="inlineStr">
        <is>
          <t>⚠️ CHYBÍ – v PL nevyplněna (Lukáš už o doplnění NW požádal)</t>
        </is>
      </c>
    </row>
    <row r="10">
      <c r="A10" s="3" t="inlineStr">
        <is>
          <t>Odesílatel</t>
        </is>
      </c>
      <c r="B10" s="3" t="inlineStr">
        <is>
          <t>HS kód (KN – návrh)</t>
        </is>
      </c>
      <c r="C10" s="3" t="inlineStr">
        <is>
          <t>HS kód odesílatele</t>
        </is>
      </c>
      <c r="D10" s="3" t="inlineStr">
        <is>
          <t>Kontrola zařazení</t>
        </is>
      </c>
      <c r="E10" s="3" t="inlineStr">
        <is>
          <t>Popis zboží (z dokladů – EN; CZ popis od klienta chybí)</t>
        </is>
      </c>
      <c r="F10" s="3" t="inlineStr">
        <is>
          <t>Pracovní CZ popis (náš překlad – ne od klienta)</t>
        </is>
      </c>
      <c r="G10" s="3" t="inlineStr">
        <is>
          <t>Pol. faktury</t>
        </is>
      </c>
      <c r="H10" s="3" t="inlineStr">
        <is>
          <t>Materiál</t>
        </is>
      </c>
      <c r="I10" s="3" t="inlineStr">
        <is>
          <t>Množství</t>
        </is>
      </c>
      <c r="J10" s="3" t="inlineStr">
        <is>
          <t>MJ</t>
        </is>
      </c>
      <c r="K10" s="3" t="inlineStr">
        <is>
          <t>Čistá hmotnost (kg)</t>
        </is>
      </c>
      <c r="L10" s="3" t="inlineStr">
        <is>
          <t>Hrubá hmotnost (kg)</t>
        </is>
      </c>
      <c r="M10" s="3" t="inlineStr">
        <is>
          <t>Hodnota USD (Total)</t>
        </is>
      </c>
      <c r="N10" s="3" t="inlineStr">
        <is>
          <t>CBAM</t>
        </is>
      </c>
      <c r="O10" s="3" t="inlineStr">
        <is>
          <t>Antidumping</t>
        </is>
      </c>
      <c r="P10" s="3" t="inlineStr">
        <is>
          <t>Poznámka</t>
        </is>
      </c>
    </row>
    <row r="11">
      <c r="A11" s="4" t="inlineStr">
        <is>
          <t>GAUCHO COMPANY LIMITED (HCMC, VN)</t>
        </is>
      </c>
      <c r="B11" s="4" t="inlineStr">
        <is>
          <t>3924 10 00</t>
        </is>
      </c>
      <c r="C11" s="4" t="inlineStr">
        <is>
          <t>39241010, 39241099</t>
        </is>
      </c>
      <c r="D11" s="5" t="inlineStr">
        <is>
          <t>FORMÁT KN + OVĚŘIT / FORMÁT KN</t>
        </is>
      </c>
      <c r="E11" s="4" t="inlineStr">
        <is>
          <t>Big tray; Bread plate; Chimichurri cup; Peanut bowl; Caviar spoon</t>
        </is>
      </c>
      <c r="F11" s="4" t="inlineStr">
        <is>
          <t>Velký plastový servírovací podnos; Melaminový talířek na chléb; Melaminová miska na chimichurri; Melaminová miska na arašídy; Lžička na kaviár</t>
        </is>
      </c>
      <c r="G11" s="4" t="inlineStr">
        <is>
          <t>20, 26, 48, 63, 64</t>
        </is>
      </c>
      <c r="H11" s="4" t="inlineStr">
        <is>
          <t>Melanine, Plastic</t>
        </is>
      </c>
      <c r="I11" s="4" t="n">
        <v>1836</v>
      </c>
      <c r="J11" s="4" t="inlineStr">
        <is>
          <t>Pc</t>
        </is>
      </c>
      <c r="K11" s="6" t="inlineStr">
        <is>
          <t>CHYBÍ</t>
        </is>
      </c>
      <c r="L11" s="7" t="n">
        <v>251.04</v>
      </c>
      <c r="M11" s="7" t="n">
        <v>1738.8</v>
      </c>
      <c r="N11" s="4" t="inlineStr">
        <is>
          <t>Ne</t>
        </is>
      </c>
      <c r="O11" s="4" t="inlineStr">
        <is>
          <t>Ne</t>
        </is>
      </c>
      <c r="P11" s="4" t="inlineStr">
        <is>
          <t>Hrubá hmotnost částečně rozpočtena podle hodnoty (sdílený karton).</t>
        </is>
      </c>
    </row>
    <row r="12">
      <c r="A12" s="4" t="inlineStr">
        <is>
          <t>GAUCHO COMPANY LIMITED (HCMC, VN)</t>
        </is>
      </c>
      <c r="B12" s="4" t="inlineStr">
        <is>
          <t>3926 90 97</t>
        </is>
      </c>
      <c r="C12" s="4" t="inlineStr">
        <is>
          <t>39269099</t>
        </is>
      </c>
      <c r="D12" s="8" t="inlineStr">
        <is>
          <t>FORMÁT KN</t>
        </is>
      </c>
      <c r="E12" s="4" t="inlineStr">
        <is>
          <t>Pin</t>
        </is>
      </c>
      <c r="F12" s="4" t="inlineStr">
        <is>
          <t>Plastový odznak</t>
        </is>
      </c>
      <c r="G12" s="4" t="inlineStr">
        <is>
          <t>51</t>
        </is>
      </c>
      <c r="H12" s="4" t="inlineStr">
        <is>
          <t>Plastic</t>
        </is>
      </c>
      <c r="I12" s="4" t="n">
        <v>150</v>
      </c>
      <c r="J12" s="4" t="inlineStr">
        <is>
          <t>Pc</t>
        </is>
      </c>
      <c r="K12" s="6" t="inlineStr">
        <is>
          <t>CHYBÍ</t>
        </is>
      </c>
      <c r="L12" s="7" t="n">
        <v>0.63</v>
      </c>
      <c r="M12" s="7" t="n">
        <v>120</v>
      </c>
      <c r="N12" s="4" t="inlineStr">
        <is>
          <t>Ne</t>
        </is>
      </c>
      <c r="O12" s="4" t="inlineStr">
        <is>
          <t>Ne</t>
        </is>
      </c>
      <c r="P12" s="4" t="inlineStr">
        <is>
          <t>Hrubá hmotnost částečně rozpočtena podle hodnoty (sdílený karton).</t>
        </is>
      </c>
    </row>
    <row r="13">
      <c r="A13" s="4" t="inlineStr">
        <is>
          <t>GAUCHO COMPANY LIMITED (HCMC, VN)</t>
        </is>
      </c>
      <c r="B13" s="4" t="inlineStr">
        <is>
          <t>4414 90 00</t>
        </is>
      </c>
      <c r="C13" s="4" t="inlineStr">
        <is>
          <t>44149000</t>
        </is>
      </c>
      <c r="D13" s="5" t="inlineStr">
        <is>
          <t>OK + OVĚŘIT</t>
        </is>
      </c>
      <c r="E13" s="4" t="inlineStr">
        <is>
          <t>Picture frame S; Picture frame M; Picture frame L; Picture frame XL; Picture frame Oval</t>
        </is>
      </c>
      <c r="F13" s="4" t="inlineStr">
        <is>
          <t>Dřevěný rámeček na obrazy S; Dřevěný rámeček na obrazy M; Dřevěný rámeček na obrazy L; Dřevěný rámeček na obrazy XL; Dřevěný rámeček na obrazy oválný</t>
        </is>
      </c>
      <c r="G13" s="4" t="inlineStr">
        <is>
          <t>39, 40, 41, 42, 43</t>
        </is>
      </c>
      <c r="H13" s="4" t="inlineStr">
        <is>
          <t>Wood</t>
        </is>
      </c>
      <c r="I13" s="4" t="n">
        <v>105</v>
      </c>
      <c r="J13" s="4" t="inlineStr">
        <is>
          <t>Pc</t>
        </is>
      </c>
      <c r="K13" s="6" t="inlineStr">
        <is>
          <t>CHYBÍ</t>
        </is>
      </c>
      <c r="L13" s="7" t="n">
        <v>117</v>
      </c>
      <c r="M13" s="7" t="n">
        <v>1375</v>
      </c>
      <c r="N13" s="4" t="inlineStr">
        <is>
          <t>Ne</t>
        </is>
      </c>
      <c r="O13" s="4" t="inlineStr">
        <is>
          <t>Ne</t>
        </is>
      </c>
      <c r="P13" s="4" t="inlineStr"/>
    </row>
    <row r="14">
      <c r="A14" s="4" t="inlineStr">
        <is>
          <t>GAUCHO COMPANY LIMITED (HCMC, VN)</t>
        </is>
      </c>
      <c r="B14" s="4" t="inlineStr">
        <is>
          <t>4419 90 00</t>
        </is>
      </c>
      <c r="C14" s="4" t="inlineStr">
        <is>
          <t>44199000</t>
        </is>
      </c>
      <c r="D14" s="5" t="inlineStr">
        <is>
          <t>OK + OVĚŘIT</t>
        </is>
      </c>
      <c r="E14" s="4" t="inlineStr">
        <is>
          <t>Round wooden bread</t>
        </is>
      </c>
      <c r="F14" s="4" t="inlineStr">
        <is>
          <t>Kulaté dřevěné prkénko na chléb</t>
        </is>
      </c>
      <c r="G14" s="4" t="inlineStr">
        <is>
          <t>30</t>
        </is>
      </c>
      <c r="H14" s="4" t="inlineStr">
        <is>
          <t>Wood</t>
        </is>
      </c>
      <c r="I14" s="4" t="n">
        <v>200</v>
      </c>
      <c r="J14" s="4" t="inlineStr">
        <is>
          <t>Pc</t>
        </is>
      </c>
      <c r="K14" s="6" t="inlineStr">
        <is>
          <t>CHYBÍ</t>
        </is>
      </c>
      <c r="L14" s="7" t="n">
        <v>170</v>
      </c>
      <c r="M14" s="7" t="n">
        <v>760</v>
      </c>
      <c r="N14" s="4" t="inlineStr">
        <is>
          <t>Ne</t>
        </is>
      </c>
      <c r="O14" s="4" t="inlineStr">
        <is>
          <t>Ne</t>
        </is>
      </c>
      <c r="P14" s="4" t="inlineStr"/>
    </row>
    <row r="15">
      <c r="A15" s="4" t="inlineStr">
        <is>
          <t>GAUCHO COMPANY LIMITED (HCMC, VN)</t>
        </is>
      </c>
      <c r="B15" s="4" t="inlineStr">
        <is>
          <t>4421 91 00</t>
        </is>
      </c>
      <c r="C15" s="4" t="inlineStr">
        <is>
          <t>44219160</t>
        </is>
      </c>
      <c r="D15" s="8" t="inlineStr">
        <is>
          <t>FORMÁT KN</t>
        </is>
      </c>
      <c r="E15" s="4" t="inlineStr">
        <is>
          <t>Toothpick</t>
        </is>
      </c>
      <c r="F15" s="4" t="inlineStr">
        <is>
          <t>Bambusová párátka (krabička)</t>
        </is>
      </c>
      <c r="G15" s="4" t="inlineStr">
        <is>
          <t>32</t>
        </is>
      </c>
      <c r="H15" s="4" t="inlineStr">
        <is>
          <t>Bamboo</t>
        </is>
      </c>
      <c r="I15" s="4" t="n">
        <v>30</v>
      </c>
      <c r="J15" s="4" t="inlineStr">
        <is>
          <t>Box</t>
        </is>
      </c>
      <c r="K15" s="6" t="inlineStr">
        <is>
          <t>CHYBÍ</t>
        </is>
      </c>
      <c r="L15" s="7" t="n">
        <v>10</v>
      </c>
      <c r="M15" s="7" t="n">
        <v>69</v>
      </c>
      <c r="N15" s="4" t="inlineStr">
        <is>
          <t>Ne</t>
        </is>
      </c>
      <c r="O15" s="4" t="inlineStr">
        <is>
          <t>Ne</t>
        </is>
      </c>
      <c r="P15" s="4" t="inlineStr"/>
    </row>
    <row r="16">
      <c r="A16" s="4" t="inlineStr">
        <is>
          <t>GAUCHO COMPANY LIMITED (HCMC, VN)</t>
        </is>
      </c>
      <c r="B16" s="4" t="inlineStr">
        <is>
          <t>4819 10 00</t>
        </is>
      </c>
      <c r="C16" s="4" t="inlineStr">
        <is>
          <t>48191000</t>
        </is>
      </c>
      <c r="D16" s="5" t="inlineStr">
        <is>
          <t>OVĚŘIT</t>
        </is>
      </c>
      <c r="E16" s="4" t="inlineStr">
        <is>
          <t>Shot glass souvernir box</t>
        </is>
      </c>
      <c r="F16" s="4" t="inlineStr">
        <is>
          <t>Papírová dárková krabička na panáky</t>
        </is>
      </c>
      <c r="G16" s="4" t="inlineStr">
        <is>
          <t>14</t>
        </is>
      </c>
      <c r="H16" s="4" t="inlineStr">
        <is>
          <t>Paper</t>
        </is>
      </c>
      <c r="I16" s="4" t="n">
        <v>100</v>
      </c>
      <c r="J16" s="4" t="inlineStr">
        <is>
          <t>Pc</t>
        </is>
      </c>
      <c r="K16" s="6" t="inlineStr">
        <is>
          <t>CHYBÍ</t>
        </is>
      </c>
      <c r="L16" s="7" t="n">
        <v>26</v>
      </c>
      <c r="M16" s="7" t="n">
        <v>230</v>
      </c>
      <c r="N16" s="4" t="inlineStr">
        <is>
          <t>Ne</t>
        </is>
      </c>
      <c r="O16" s="4" t="inlineStr">
        <is>
          <t>Ne</t>
        </is>
      </c>
      <c r="P16" s="4" t="inlineStr"/>
    </row>
    <row r="17">
      <c r="A17" s="4" t="inlineStr">
        <is>
          <t>GAUCHO COMPANY LIMITED (HCMC, VN)</t>
        </is>
      </c>
      <c r="B17" s="4" t="inlineStr">
        <is>
          <t>4819 20 00</t>
        </is>
      </c>
      <c r="C17" s="4" t="inlineStr">
        <is>
          <t>48192000</t>
        </is>
      </c>
      <c r="D17" s="5" t="inlineStr">
        <is>
          <t>OVĚŘIT / OK</t>
        </is>
      </c>
      <c r="E17" s="4" t="inlineStr">
        <is>
          <t>Take away burger box; Take away steak box S; Take away steak box M; Take away steak box L; Steakknives souvenir box</t>
        </is>
      </c>
      <c r="F17" s="4" t="inlineStr">
        <is>
          <t>Papírová krabička na burger; Papírová krabice na steak S (potištěná); Papírová krabice na steak M (potištěná); Papírová krabice na steak L (potištěná); Papírová dárková krabička na steakové nože</t>
        </is>
      </c>
      <c r="G17" s="4" t="inlineStr">
        <is>
          <t>6, 7, 8, 9, 15</t>
        </is>
      </c>
      <c r="H17" s="4" t="inlineStr">
        <is>
          <t>Paper</t>
        </is>
      </c>
      <c r="I17" s="4" t="n">
        <v>3002</v>
      </c>
      <c r="J17" s="4" t="inlineStr">
        <is>
          <t>Pc</t>
        </is>
      </c>
      <c r="K17" s="6" t="inlineStr">
        <is>
          <t>CHYBÍ</t>
        </is>
      </c>
      <c r="L17" s="7" t="n">
        <v>1230</v>
      </c>
      <c r="M17" s="7" t="n">
        <v>3994.6</v>
      </c>
      <c r="N17" s="4" t="inlineStr">
        <is>
          <t>Ne</t>
        </is>
      </c>
      <c r="O17" s="4" t="inlineStr">
        <is>
          <t>Ne</t>
        </is>
      </c>
      <c r="P17" s="4" t="inlineStr"/>
    </row>
    <row r="18">
      <c r="A18" s="4" t="inlineStr">
        <is>
          <t>GAUCHO COMPANY LIMITED (HCMC, VN)</t>
        </is>
      </c>
      <c r="B18" s="4" t="inlineStr">
        <is>
          <t>4819 40 00</t>
        </is>
      </c>
      <c r="C18" s="4" t="inlineStr">
        <is>
          <t>48195000</t>
        </is>
      </c>
      <c r="D18" s="9" t="inlineStr">
        <is>
          <t>PŘEŘAZENÍ</t>
        </is>
      </c>
      <c r="E18" s="4" t="inlineStr">
        <is>
          <t>Paper bag S; Paper bag M; Paper bag L; Wine bag</t>
        </is>
      </c>
      <c r="F18" s="4" t="inlineStr">
        <is>
          <t>Papírová taška S; Papírová taška M; Papírová taška L; Papírová taška na víno</t>
        </is>
      </c>
      <c r="G18" s="4" t="inlineStr">
        <is>
          <t>10, 11, 12, 13</t>
        </is>
      </c>
      <c r="H18" s="4" t="inlineStr">
        <is>
          <t>Paper</t>
        </is>
      </c>
      <c r="I18" s="4" t="n">
        <v>3200</v>
      </c>
      <c r="J18" s="4" t="inlineStr">
        <is>
          <t>Pc</t>
        </is>
      </c>
      <c r="K18" s="6" t="inlineStr">
        <is>
          <t>CHYBÍ</t>
        </is>
      </c>
      <c r="L18" s="7" t="n">
        <v>382</v>
      </c>
      <c r="M18" s="7" t="n">
        <v>1600</v>
      </c>
      <c r="N18" s="4" t="inlineStr">
        <is>
          <t>Ne</t>
        </is>
      </c>
      <c r="O18" s="4" t="inlineStr">
        <is>
          <t>Ne</t>
        </is>
      </c>
      <c r="P18" s="4" t="inlineStr"/>
    </row>
    <row r="19">
      <c r="A19" s="4" t="inlineStr">
        <is>
          <t>GAUCHO COMPANY LIMITED (HCMC, VN)</t>
        </is>
      </c>
      <c r="B19" s="4" t="inlineStr">
        <is>
          <t>4820 30 00</t>
        </is>
      </c>
      <c r="C19" s="4" t="inlineStr">
        <is>
          <t>48203000</t>
        </is>
      </c>
      <c r="D19" s="10" t="inlineStr">
        <is>
          <t>OK</t>
        </is>
      </c>
      <c r="E19" s="4" t="inlineStr">
        <is>
          <t>Bill Holder</t>
        </is>
      </c>
      <c r="F19" s="4" t="inlineStr">
        <is>
          <t>Papírové desky na účet</t>
        </is>
      </c>
      <c r="G19" s="4" t="inlineStr">
        <is>
          <t>49</t>
        </is>
      </c>
      <c r="H19" s="4" t="inlineStr">
        <is>
          <t>Paper</t>
        </is>
      </c>
      <c r="I19" s="4" t="n">
        <v>500</v>
      </c>
      <c r="J19" s="4" t="inlineStr">
        <is>
          <t>Pc</t>
        </is>
      </c>
      <c r="K19" s="6" t="inlineStr">
        <is>
          <t>CHYBÍ</t>
        </is>
      </c>
      <c r="L19" s="7" t="n">
        <v>22</v>
      </c>
      <c r="M19" s="7" t="n">
        <v>100</v>
      </c>
      <c r="N19" s="4" t="inlineStr">
        <is>
          <t>Ne</t>
        </is>
      </c>
      <c r="O19" s="4" t="inlineStr">
        <is>
          <t>Ne</t>
        </is>
      </c>
      <c r="P19" s="4" t="inlineStr"/>
    </row>
    <row r="20">
      <c r="A20" s="4" t="inlineStr">
        <is>
          <t>GAUCHO COMPANY LIMITED (HCMC, VN)</t>
        </is>
      </c>
      <c r="B20" s="4" t="inlineStr">
        <is>
          <t>4823 69 90</t>
        </is>
      </c>
      <c r="C20" s="4" t="inlineStr">
        <is>
          <t>48236900</t>
        </is>
      </c>
      <c r="D20" s="8" t="inlineStr">
        <is>
          <t>FORMÁT KN</t>
        </is>
      </c>
      <c r="E20" s="4" t="inlineStr">
        <is>
          <t>Take away box 120m; Take away box 210m; Take away box 500m; Take away box 1070m</t>
        </is>
      </c>
      <c r="F20" s="4" t="inlineStr">
        <is>
          <t>Papírová miska 120 ml s papírovým víčkem; Papírová miska 210 ml s papírovým víčkem; Papírová miska 500 ml s papírovým víčkem; Papírová miska 1070 ml s papírovým víčkem</t>
        </is>
      </c>
      <c r="G20" s="4" t="inlineStr">
        <is>
          <t>2, 3, 4, 5</t>
        </is>
      </c>
      <c r="H20" s="4" t="inlineStr">
        <is>
          <t>Paper</t>
        </is>
      </c>
      <c r="I20" s="4" t="n">
        <v>8100</v>
      </c>
      <c r="J20" s="4" t="inlineStr">
        <is>
          <t>Pc</t>
        </is>
      </c>
      <c r="K20" s="6" t="inlineStr">
        <is>
          <t>CHYBÍ</t>
        </is>
      </c>
      <c r="L20" s="7" t="n">
        <v>172</v>
      </c>
      <c r="M20" s="7" t="n">
        <v>1840</v>
      </c>
      <c r="N20" s="4" t="inlineStr">
        <is>
          <t>Ne</t>
        </is>
      </c>
      <c r="O20" s="4" t="inlineStr">
        <is>
          <t>Ne</t>
        </is>
      </c>
      <c r="P20" s="4" t="inlineStr"/>
    </row>
    <row r="21">
      <c r="A21" s="4" t="inlineStr">
        <is>
          <t>GAUCHO COMPANY LIMITED (HCMC, VN)</t>
        </is>
      </c>
      <c r="B21" s="4" t="inlineStr">
        <is>
          <t>4823 70 90</t>
        </is>
      </c>
      <c r="C21" s="4" t="inlineStr">
        <is>
          <t>48236900</t>
        </is>
      </c>
      <c r="D21" s="9" t="inlineStr">
        <is>
          <t>PŘEŘAZENÍ + OVĚŘIT</t>
        </is>
      </c>
      <c r="E21" s="4" t="inlineStr">
        <is>
          <t>Take away box 2oz</t>
        </is>
      </c>
      <c r="F21" s="4" t="inlineStr">
        <is>
          <t>Jednorázový kelímek 2 oz z bagasy</t>
        </is>
      </c>
      <c r="G21" s="4" t="inlineStr">
        <is>
          <t>1</t>
        </is>
      </c>
      <c r="H21" s="4" t="inlineStr">
        <is>
          <t>Paper</t>
        </is>
      </c>
      <c r="I21" s="4" t="n">
        <v>2000</v>
      </c>
      <c r="J21" s="4" t="inlineStr">
        <is>
          <t>Pc</t>
        </is>
      </c>
      <c r="K21" s="6" t="inlineStr">
        <is>
          <t>CHYBÍ</t>
        </is>
      </c>
      <c r="L21" s="7" t="n">
        <v>10</v>
      </c>
      <c r="M21" s="7" t="n">
        <v>80</v>
      </c>
      <c r="N21" s="4" t="inlineStr">
        <is>
          <t>Ne</t>
        </is>
      </c>
      <c r="O21" s="4" t="inlineStr">
        <is>
          <t>Ne</t>
        </is>
      </c>
      <c r="P21" s="4" t="inlineStr"/>
    </row>
    <row r="22">
      <c r="A22" s="4" t="inlineStr">
        <is>
          <t>GAUCHO COMPANY LIMITED (HCMC, VN)</t>
        </is>
      </c>
      <c r="B22" s="4" t="inlineStr">
        <is>
          <t>4823 90 85</t>
        </is>
      </c>
      <c r="C22" s="4" t="inlineStr">
        <is>
          <t>48239099</t>
        </is>
      </c>
      <c r="D22" s="8" t="inlineStr">
        <is>
          <t>FORMÁT KN</t>
        </is>
      </c>
      <c r="E22" s="4" t="inlineStr">
        <is>
          <t>Coaster</t>
        </is>
      </c>
      <c r="F22" s="4" t="inlineStr">
        <is>
          <t>Papírový tácek pod sklenici</t>
        </is>
      </c>
      <c r="G22" s="4" t="inlineStr">
        <is>
          <t>65</t>
        </is>
      </c>
      <c r="H22" s="4" t="inlineStr">
        <is>
          <t>Paper</t>
        </is>
      </c>
      <c r="I22" s="4" t="n">
        <v>500</v>
      </c>
      <c r="J22" s="4" t="inlineStr">
        <is>
          <t>Pc</t>
        </is>
      </c>
      <c r="K22" s="6" t="inlineStr">
        <is>
          <t>CHYBÍ</t>
        </is>
      </c>
      <c r="L22" s="7" t="n">
        <v>16</v>
      </c>
      <c r="M22" s="7" t="n">
        <v>50</v>
      </c>
      <c r="N22" s="4" t="inlineStr">
        <is>
          <t>Ne</t>
        </is>
      </c>
      <c r="O22" s="4" t="inlineStr">
        <is>
          <t>Ne</t>
        </is>
      </c>
      <c r="P22" s="4" t="inlineStr"/>
    </row>
    <row r="23">
      <c r="A23" s="4" t="inlineStr">
        <is>
          <t>GAUCHO COMPANY LIMITED (HCMC, VN)</t>
        </is>
      </c>
      <c r="B23" s="4" t="inlineStr">
        <is>
          <t>4911 99 00</t>
        </is>
      </c>
      <c r="C23" s="4" t="inlineStr">
        <is>
          <t>49119990</t>
        </is>
      </c>
      <c r="D23" s="8" t="inlineStr">
        <is>
          <t>FORMÁT KN</t>
        </is>
      </c>
      <c r="E23" s="4" t="inlineStr">
        <is>
          <t>Paper Flags all kinds</t>
        </is>
      </c>
      <c r="F23" s="4" t="inlineStr">
        <is>
          <t>Papírové vlaječky různé</t>
        </is>
      </c>
      <c r="G23" s="4" t="inlineStr">
        <is>
          <t>34</t>
        </is>
      </c>
      <c r="H23" s="4" t="inlineStr">
        <is>
          <t>Paper</t>
        </is>
      </c>
      <c r="I23" s="4" t="n">
        <v>63000</v>
      </c>
      <c r="J23" s="4" t="inlineStr">
        <is>
          <t>Pc</t>
        </is>
      </c>
      <c r="K23" s="6" t="inlineStr">
        <is>
          <t>CHYBÍ</t>
        </is>
      </c>
      <c r="L23" s="7" t="n">
        <v>24</v>
      </c>
      <c r="M23" s="7" t="n">
        <v>1260</v>
      </c>
      <c r="N23" s="4" t="inlineStr">
        <is>
          <t>Ne</t>
        </is>
      </c>
      <c r="O23" s="4" t="inlineStr">
        <is>
          <t>Ne</t>
        </is>
      </c>
      <c r="P23" s="4" t="inlineStr"/>
    </row>
    <row r="24">
      <c r="A24" s="4" t="inlineStr">
        <is>
          <t>GAUCHO COMPANY LIMITED (HCMC, VN)</t>
        </is>
      </c>
      <c r="B24" s="4" t="inlineStr">
        <is>
          <t>6105 10 00</t>
        </is>
      </c>
      <c r="C24" s="4" t="inlineStr">
        <is>
          <t>61051000</t>
        </is>
      </c>
      <c r="D24" s="5" t="inlineStr">
        <is>
          <t>OK + OVĚŘIT</t>
        </is>
      </c>
      <c r="E24" s="4" t="inlineStr">
        <is>
          <t>Polo; Polo Long Sleeve</t>
        </is>
      </c>
      <c r="F24" s="4" t="inlineStr">
        <is>
          <t>Polokošile; Polokošile s dlouhým rukávem</t>
        </is>
      </c>
      <c r="G24" s="4" t="inlineStr">
        <is>
          <t>67, 69</t>
        </is>
      </c>
      <c r="H24" s="4" t="inlineStr">
        <is>
          <t>Fabric</t>
        </is>
      </c>
      <c r="I24" s="4" t="n">
        <v>543</v>
      </c>
      <c r="J24" s="4" t="inlineStr">
        <is>
          <t>Pc</t>
        </is>
      </c>
      <c r="K24" s="6" t="inlineStr">
        <is>
          <t>CHYBÍ</t>
        </is>
      </c>
      <c r="L24" s="7" t="n">
        <v>182</v>
      </c>
      <c r="M24" s="7" t="n">
        <v>4445</v>
      </c>
      <c r="N24" s="4" t="inlineStr">
        <is>
          <t>Ne</t>
        </is>
      </c>
      <c r="O24" s="4" t="inlineStr">
        <is>
          <t>Ne</t>
        </is>
      </c>
      <c r="P24" s="4" t="inlineStr"/>
    </row>
    <row r="25">
      <c r="A25" s="4" t="inlineStr">
        <is>
          <t>GAUCHO COMPANY LIMITED (HCMC, VN)</t>
        </is>
      </c>
      <c r="B25" s="4" t="inlineStr">
        <is>
          <t>6109 10 00</t>
        </is>
      </c>
      <c r="C25" s="4" t="inlineStr">
        <is>
          <t>61091010</t>
        </is>
      </c>
      <c r="D25" s="8" t="inlineStr">
        <is>
          <t>FORMÁT KN</t>
        </is>
      </c>
      <c r="E25" s="4" t="inlineStr">
        <is>
          <t>T-Shirt</t>
        </is>
      </c>
      <c r="F25" s="4" t="inlineStr">
        <is>
          <t>Tričko</t>
        </is>
      </c>
      <c r="G25" s="4" t="inlineStr">
        <is>
          <t>68</t>
        </is>
      </c>
      <c r="H25" s="4" t="inlineStr">
        <is>
          <t>Fabric</t>
        </is>
      </c>
      <c r="I25" s="4" t="n">
        <v>245</v>
      </c>
      <c r="J25" s="4" t="inlineStr">
        <is>
          <t>Pc</t>
        </is>
      </c>
      <c r="K25" s="6" t="inlineStr">
        <is>
          <t>CHYBÍ</t>
        </is>
      </c>
      <c r="L25" s="7" t="n">
        <v>48</v>
      </c>
      <c r="M25" s="7" t="n">
        <v>1715</v>
      </c>
      <c r="N25" s="4" t="inlineStr">
        <is>
          <t>Ne</t>
        </is>
      </c>
      <c r="O25" s="4" t="inlineStr">
        <is>
          <t>Ne</t>
        </is>
      </c>
      <c r="P25" s="4" t="inlineStr"/>
    </row>
    <row r="26">
      <c r="A26" s="4" t="inlineStr">
        <is>
          <t>GAUCHO COMPANY LIMITED (HCMC, VN)</t>
        </is>
      </c>
      <c r="B26" s="4" t="inlineStr">
        <is>
          <t>6203 42 35</t>
        </is>
      </c>
      <c r="C26" s="4" t="inlineStr">
        <is>
          <t>62034290</t>
        </is>
      </c>
      <c r="D26" s="9" t="inlineStr">
        <is>
          <t>PŘEŘAZENÍ</t>
        </is>
      </c>
      <c r="E26" s="4" t="inlineStr">
        <is>
          <t>Trouser</t>
        </is>
      </c>
      <c r="F26" s="4" t="inlineStr">
        <is>
          <t>Kalhoty dlouhé</t>
        </is>
      </c>
      <c r="G26" s="4" t="inlineStr">
        <is>
          <t>70</t>
        </is>
      </c>
      <c r="H26" s="4" t="inlineStr">
        <is>
          <t>Fabric</t>
        </is>
      </c>
      <c r="I26" s="4" t="n">
        <v>63</v>
      </c>
      <c r="J26" s="4" t="inlineStr">
        <is>
          <t>Pc</t>
        </is>
      </c>
      <c r="K26" s="6" t="inlineStr">
        <is>
          <t>CHYBÍ</t>
        </is>
      </c>
      <c r="L26" s="7" t="n">
        <v>30</v>
      </c>
      <c r="M26" s="7" t="n">
        <v>945</v>
      </c>
      <c r="N26" s="4" t="inlineStr">
        <is>
          <t>Ne</t>
        </is>
      </c>
      <c r="O26" s="4" t="inlineStr">
        <is>
          <t>Ne</t>
        </is>
      </c>
      <c r="P26" s="4" t="inlineStr"/>
    </row>
    <row r="27">
      <c r="A27" s="4" t="inlineStr">
        <is>
          <t>GAUCHO COMPANY LIMITED (HCMC, VN)</t>
        </is>
      </c>
      <c r="B27" s="4" t="inlineStr">
        <is>
          <t>6205 20 00</t>
        </is>
      </c>
      <c r="C27" s="4" t="inlineStr">
        <is>
          <t>61051000</t>
        </is>
      </c>
      <c r="D27" s="9" t="inlineStr">
        <is>
          <t>PŘEŘAZENÍ + OVĚŘIT</t>
        </is>
      </c>
      <c r="E27" s="4" t="inlineStr">
        <is>
          <t>Floor Uniform - Men</t>
        </is>
      </c>
      <c r="F27" s="4" t="inlineStr">
        <is>
          <t>Pánská košile – uniforma obsluhy</t>
        </is>
      </c>
      <c r="G27" s="4" t="inlineStr">
        <is>
          <t>71</t>
        </is>
      </c>
      <c r="H27" s="4" t="inlineStr">
        <is>
          <t>Fabric</t>
        </is>
      </c>
      <c r="I27" s="4" t="n">
        <v>411</v>
      </c>
      <c r="J27" s="4" t="inlineStr">
        <is>
          <t>Pc</t>
        </is>
      </c>
      <c r="K27" s="6" t="inlineStr">
        <is>
          <t>CHYBÍ</t>
        </is>
      </c>
      <c r="L27" s="7" t="n">
        <v>143</v>
      </c>
      <c r="M27" s="7" t="n">
        <v>3699</v>
      </c>
      <c r="N27" s="4" t="inlineStr">
        <is>
          <t>Ne</t>
        </is>
      </c>
      <c r="O27" s="4" t="inlineStr">
        <is>
          <t>Ne</t>
        </is>
      </c>
      <c r="P27" s="4" t="inlineStr"/>
    </row>
    <row r="28">
      <c r="A28" s="4" t="inlineStr">
        <is>
          <t>GAUCHO COMPANY LIMITED (HCMC, VN)</t>
        </is>
      </c>
      <c r="B28" s="4" t="inlineStr">
        <is>
          <t>6206 30 00</t>
        </is>
      </c>
      <c r="C28" s="4" t="inlineStr">
        <is>
          <t>62063090</t>
        </is>
      </c>
      <c r="D28" s="8" t="inlineStr">
        <is>
          <t>FORMÁT KN</t>
        </is>
      </c>
      <c r="E28" s="4" t="inlineStr">
        <is>
          <t>Floor Uniform - Women</t>
        </is>
      </c>
      <c r="F28" s="4" t="inlineStr">
        <is>
          <t>Dámská košile – uniforma obsluhy</t>
        </is>
      </c>
      <c r="G28" s="4" t="inlineStr">
        <is>
          <t>72</t>
        </is>
      </c>
      <c r="H28" s="4" t="inlineStr">
        <is>
          <t>Fabric</t>
        </is>
      </c>
      <c r="I28" s="4" t="n">
        <v>337</v>
      </c>
      <c r="J28" s="4" t="inlineStr">
        <is>
          <t>Pc</t>
        </is>
      </c>
      <c r="K28" s="6" t="inlineStr">
        <is>
          <t>CHYBÍ</t>
        </is>
      </c>
      <c r="L28" s="7" t="n">
        <v>84</v>
      </c>
      <c r="M28" s="7" t="n">
        <v>3033</v>
      </c>
      <c r="N28" s="4" t="inlineStr">
        <is>
          <t>Ne</t>
        </is>
      </c>
      <c r="O28" s="4" t="inlineStr">
        <is>
          <t>Ne</t>
        </is>
      </c>
      <c r="P28" s="4" t="inlineStr"/>
    </row>
    <row r="29">
      <c r="A29" s="4" t="inlineStr">
        <is>
          <t>GAUCHO COMPANY LIMITED (HCMC, VN)</t>
        </is>
      </c>
      <c r="B29" s="4" t="inlineStr">
        <is>
          <t>6211 32 10</t>
        </is>
      </c>
      <c r="C29" s="4" t="inlineStr">
        <is>
          <t>62113290</t>
        </is>
      </c>
      <c r="D29" s="5" t="inlineStr">
        <is>
          <t>FORMÁT KN + OVĚŘIT</t>
        </is>
      </c>
      <c r="E29" s="4" t="inlineStr">
        <is>
          <t>Kitchen</t>
        </is>
      </c>
      <c r="F29" s="4" t="inlineStr">
        <is>
          <t>Kuchařský rondon</t>
        </is>
      </c>
      <c r="G29" s="4" t="inlineStr">
        <is>
          <t>66</t>
        </is>
      </c>
      <c r="H29" s="4" t="inlineStr">
        <is>
          <t>Fabric</t>
        </is>
      </c>
      <c r="I29" s="4" t="n">
        <v>317</v>
      </c>
      <c r="J29" s="4" t="inlineStr">
        <is>
          <t>Pc</t>
        </is>
      </c>
      <c r="K29" s="6" t="inlineStr">
        <is>
          <t>CHYBÍ</t>
        </is>
      </c>
      <c r="L29" s="7" t="n">
        <v>144</v>
      </c>
      <c r="M29" s="7" t="n">
        <v>7291</v>
      </c>
      <c r="N29" s="4" t="inlineStr">
        <is>
          <t>Ne</t>
        </is>
      </c>
      <c r="O29" s="4" t="inlineStr">
        <is>
          <t>Ne</t>
        </is>
      </c>
      <c r="P29" s="4" t="inlineStr"/>
    </row>
    <row r="30">
      <c r="A30" s="4" t="inlineStr">
        <is>
          <t>GAUCHO COMPANY LIMITED (HCMC, VN)</t>
        </is>
      </c>
      <c r="B30" s="4" t="inlineStr">
        <is>
          <t>6211 43 10</t>
        </is>
      </c>
      <c r="C30" s="4" t="inlineStr">
        <is>
          <t>62114390</t>
        </is>
      </c>
      <c r="D30" s="5" t="inlineStr">
        <is>
          <t>FORMÁT KN + OVĚŘIT</t>
        </is>
      </c>
      <c r="E30" s="4" t="inlineStr">
        <is>
          <t>Apron</t>
        </is>
      </c>
      <c r="F30" s="4" t="inlineStr">
        <is>
          <t>Zástěra</t>
        </is>
      </c>
      <c r="G30" s="4" t="inlineStr">
        <is>
          <t>59</t>
        </is>
      </c>
      <c r="H30" s="4" t="inlineStr">
        <is>
          <t>Fabric</t>
        </is>
      </c>
      <c r="I30" s="4" t="n">
        <v>154</v>
      </c>
      <c r="J30" s="4" t="inlineStr">
        <is>
          <t>Pc</t>
        </is>
      </c>
      <c r="K30" s="6" t="inlineStr">
        <is>
          <t>CHYBÍ</t>
        </is>
      </c>
      <c r="L30" s="7" t="n">
        <v>24</v>
      </c>
      <c r="M30" s="7" t="n">
        <v>1386</v>
      </c>
      <c r="N30" s="4" t="inlineStr">
        <is>
          <t>Ne</t>
        </is>
      </c>
      <c r="O30" s="4" t="inlineStr">
        <is>
          <t>Ne</t>
        </is>
      </c>
      <c r="P30" s="4" t="inlineStr"/>
    </row>
    <row r="31">
      <c r="A31" s="4" t="inlineStr">
        <is>
          <t>GAUCHO COMPANY LIMITED (HCMC, VN)</t>
        </is>
      </c>
      <c r="B31" s="4" t="inlineStr">
        <is>
          <t>6215 20 00</t>
        </is>
      </c>
      <c r="C31" s="4" t="inlineStr">
        <is>
          <t>62152090</t>
        </is>
      </c>
      <c r="D31" s="5" t="inlineStr">
        <is>
          <t>FORMÁT KN + OVĚŘIT</t>
        </is>
      </c>
      <c r="E31" s="4" t="inlineStr">
        <is>
          <t>Tie</t>
        </is>
      </c>
      <c r="F31" s="4" t="inlineStr">
        <is>
          <t>Kravata</t>
        </is>
      </c>
      <c r="G31" s="4" t="inlineStr">
        <is>
          <t>53</t>
        </is>
      </c>
      <c r="H31" s="4" t="inlineStr">
        <is>
          <t>Fabric</t>
        </is>
      </c>
      <c r="I31" s="4" t="n">
        <v>150</v>
      </c>
      <c r="J31" s="4" t="inlineStr">
        <is>
          <t>Pc</t>
        </is>
      </c>
      <c r="K31" s="6" t="inlineStr">
        <is>
          <t>CHYBÍ</t>
        </is>
      </c>
      <c r="L31" s="7" t="n">
        <v>6</v>
      </c>
      <c r="M31" s="7" t="n">
        <v>450</v>
      </c>
      <c r="N31" s="4" t="inlineStr">
        <is>
          <t>Ne</t>
        </is>
      </c>
      <c r="O31" s="4" t="inlineStr">
        <is>
          <t>Ne</t>
        </is>
      </c>
      <c r="P31" s="4" t="inlineStr">
        <is>
          <t>Hrubá hmotnost částečně rozpočtena podle hodnoty (sdílený karton).</t>
        </is>
      </c>
    </row>
    <row r="32">
      <c r="A32" s="4" t="inlineStr">
        <is>
          <t>GAUCHO COMPANY LIMITED (HCMC, VN)</t>
        </is>
      </c>
      <c r="B32" s="4" t="inlineStr">
        <is>
          <t>6216 00 00</t>
        </is>
      </c>
      <c r="C32" s="4" t="inlineStr">
        <is>
          <t>62160099</t>
        </is>
      </c>
      <c r="D32" s="8" t="inlineStr">
        <is>
          <t>FORMÁT KN</t>
        </is>
      </c>
      <c r="E32" s="4" t="inlineStr">
        <is>
          <t>Hot Plate Glove</t>
        </is>
      </c>
      <c r="F32" s="4" t="inlineStr">
        <is>
          <t>Chňapka / rukavice na horké talíře (pár)</t>
        </is>
      </c>
      <c r="G32" s="4" t="inlineStr">
        <is>
          <t>60</t>
        </is>
      </c>
      <c r="H32" s="4" t="inlineStr">
        <is>
          <t>Fabric</t>
        </is>
      </c>
      <c r="I32" s="4" t="n">
        <v>30</v>
      </c>
      <c r="J32" s="4" t="inlineStr">
        <is>
          <t>Pair</t>
        </is>
      </c>
      <c r="K32" s="6" t="inlineStr">
        <is>
          <t>CHYBÍ</t>
        </is>
      </c>
      <c r="L32" s="7" t="n">
        <v>2.15</v>
      </c>
      <c r="M32" s="7" t="n">
        <v>39</v>
      </c>
      <c r="N32" s="4" t="inlineStr">
        <is>
          <t>Ne</t>
        </is>
      </c>
      <c r="O32" s="4" t="inlineStr">
        <is>
          <t>Ne</t>
        </is>
      </c>
      <c r="P32" s="4" t="inlineStr">
        <is>
          <t>Hrubá hmotnost částečně rozpočtena podle hodnoty (sdílený karton).</t>
        </is>
      </c>
    </row>
    <row r="33">
      <c r="A33" s="4" t="inlineStr">
        <is>
          <t>GAUCHO COMPANY LIMITED (HCMC, VN)</t>
        </is>
      </c>
      <c r="B33" s="4" t="inlineStr">
        <is>
          <t>6302 51 00</t>
        </is>
      </c>
      <c r="C33" s="4" t="inlineStr">
        <is>
          <t>63026000</t>
        </is>
      </c>
      <c r="D33" s="9" t="inlineStr">
        <is>
          <t>PŘEŘAZENÍ + OVĚŘIT</t>
        </is>
      </c>
      <c r="E33" s="4" t="inlineStr">
        <is>
          <t>Napkin fabric set up</t>
        </is>
      </c>
      <c r="F33" s="4" t="inlineStr">
        <is>
          <t>Látkový ubrousek</t>
        </is>
      </c>
      <c r="G33" s="4" t="inlineStr">
        <is>
          <t>33</t>
        </is>
      </c>
      <c r="H33" s="4" t="inlineStr">
        <is>
          <t>Fabric</t>
        </is>
      </c>
      <c r="I33" s="4" t="n">
        <v>2000</v>
      </c>
      <c r="J33" s="4" t="inlineStr">
        <is>
          <t>Pc</t>
        </is>
      </c>
      <c r="K33" s="6" t="inlineStr">
        <is>
          <t>CHYBÍ</t>
        </is>
      </c>
      <c r="L33" s="7" t="n">
        <v>122</v>
      </c>
      <c r="M33" s="7" t="n">
        <v>7200</v>
      </c>
      <c r="N33" s="4" t="inlineStr">
        <is>
          <t>Ne</t>
        </is>
      </c>
      <c r="O33" s="4" t="inlineStr">
        <is>
          <t>Ne</t>
        </is>
      </c>
      <c r="P33" s="4" t="inlineStr"/>
    </row>
    <row r="34">
      <c r="A34" s="4" t="inlineStr">
        <is>
          <t>GAUCHO COMPANY LIMITED (HCMC, VN)</t>
        </is>
      </c>
      <c r="B34" s="4" t="inlineStr">
        <is>
          <t>6302 60 00</t>
        </is>
      </c>
      <c r="C34" s="4" t="inlineStr">
        <is>
          <t>63026000</t>
        </is>
      </c>
      <c r="D34" s="5" t="inlineStr">
        <is>
          <t>OK + OVĚŘIT</t>
        </is>
      </c>
      <c r="E34" s="4" t="inlineStr">
        <is>
          <t>Black Towel</t>
        </is>
      </c>
      <c r="F34" s="4" t="inlineStr">
        <is>
          <t>Černý ručník</t>
        </is>
      </c>
      <c r="G34" s="4" t="inlineStr">
        <is>
          <t>62</t>
        </is>
      </c>
      <c r="H34" s="4" t="inlineStr">
        <is>
          <t>Fabric</t>
        </is>
      </c>
      <c r="I34" s="4" t="n">
        <v>500</v>
      </c>
      <c r="J34" s="4" t="inlineStr">
        <is>
          <t>Pc</t>
        </is>
      </c>
      <c r="K34" s="6" t="inlineStr">
        <is>
          <t>CHYBÍ</t>
        </is>
      </c>
      <c r="L34" s="7" t="n">
        <v>37</v>
      </c>
      <c r="M34" s="7" t="n">
        <v>500</v>
      </c>
      <c r="N34" s="4" t="inlineStr">
        <is>
          <t>Ne</t>
        </is>
      </c>
      <c r="O34" s="4" t="inlineStr">
        <is>
          <t>Ne</t>
        </is>
      </c>
      <c r="P34" s="4" t="inlineStr"/>
    </row>
    <row r="35">
      <c r="A35" s="4" t="inlineStr">
        <is>
          <t>GAUCHO COMPANY LIMITED (HCMC, VN)</t>
        </is>
      </c>
      <c r="B35" s="4" t="inlineStr">
        <is>
          <t>6505 00 30</t>
        </is>
      </c>
      <c r="C35" s="4" t="inlineStr">
        <is>
          <t>65050090</t>
        </is>
      </c>
      <c r="D35" s="5" t="inlineStr">
        <is>
          <t>FORMÁT KN + OVĚŘIT</t>
        </is>
      </c>
      <c r="E35" s="4" t="inlineStr">
        <is>
          <t>Cap</t>
        </is>
      </c>
      <c r="F35" s="4" t="inlineStr">
        <is>
          <t>Kšiltovka</t>
        </is>
      </c>
      <c r="G35" s="4" t="inlineStr">
        <is>
          <t>61</t>
        </is>
      </c>
      <c r="H35" s="4" t="inlineStr">
        <is>
          <t>Fabric</t>
        </is>
      </c>
      <c r="I35" s="4" t="n">
        <v>50</v>
      </c>
      <c r="J35" s="4" t="inlineStr">
        <is>
          <t>Pc</t>
        </is>
      </c>
      <c r="K35" s="6" t="inlineStr">
        <is>
          <t>CHYBÍ</t>
        </is>
      </c>
      <c r="L35" s="7" t="n">
        <v>2</v>
      </c>
      <c r="M35" s="7" t="n">
        <v>150</v>
      </c>
      <c r="N35" s="4" t="inlineStr">
        <is>
          <t>Ne</t>
        </is>
      </c>
      <c r="O35" s="4" t="inlineStr">
        <is>
          <t>Ne</t>
        </is>
      </c>
      <c r="P35" s="4" t="inlineStr">
        <is>
          <t>Hrubá hmotnost částečně rozpočtena podle hodnoty (sdílený karton).</t>
        </is>
      </c>
    </row>
    <row r="36">
      <c r="A36" s="4" t="inlineStr">
        <is>
          <t>GAUCHO COMPANY LIMITED (HCMC, VN)</t>
        </is>
      </c>
      <c r="B36" s="4" t="inlineStr">
        <is>
          <t>6911 10 00</t>
        </is>
      </c>
      <c r="C36" s="4" t="inlineStr">
        <is>
          <t>69111000</t>
        </is>
      </c>
      <c r="D36" s="5" t="inlineStr">
        <is>
          <t>OK + OVĚŘIT</t>
        </is>
      </c>
      <c r="E36" s="4" t="inlineStr">
        <is>
          <t>FF-bowl big; Side dish bowl &amp; cover; Sauce bowl; Medium plate; Milk jug; Sugar jug  small one; Dressing  jug small one</t>
        </is>
      </c>
      <c r="F36" s="4" t="inlineStr">
        <is>
          <t>Velká keramická mísa; Keramická miska na přílohy s víčkem; Keramická miska na omáčku; Keramický talíř střední; Keramická konvička na mléko; Keramická cukřenka malá; Keramická konvička na dresink malá</t>
        </is>
      </c>
      <c r="G36" s="4" t="inlineStr">
        <is>
          <t>17, 18, 19, 25, 27, 28, 29</t>
        </is>
      </c>
      <c r="H36" s="4" t="inlineStr">
        <is>
          <t>Ceramic</t>
        </is>
      </c>
      <c r="I36" s="4" t="n">
        <v>670</v>
      </c>
      <c r="J36" s="4" t="inlineStr">
        <is>
          <t>Pc</t>
        </is>
      </c>
      <c r="K36" s="6" t="inlineStr">
        <is>
          <t>CHYBÍ</t>
        </is>
      </c>
      <c r="L36" s="7" t="n">
        <v>250.96</v>
      </c>
      <c r="M36" s="7" t="n">
        <v>1684</v>
      </c>
      <c r="N36" s="4" t="inlineStr">
        <is>
          <t>Ne</t>
        </is>
      </c>
      <c r="O36" s="9" t="inlineStr">
        <is>
          <t>AD clo na keramické nádobí platí jen při původu ČLR – ověřit, že původ je VN.</t>
        </is>
      </c>
      <c r="P36" s="4" t="inlineStr">
        <is>
          <t>Hrubá hmotnost částečně rozpočtena podle hodnoty (sdílený karton).</t>
        </is>
      </c>
    </row>
    <row r="37">
      <c r="A37" s="4" t="inlineStr">
        <is>
          <t>GAUCHO COMPANY LIMITED (HCMC, VN)</t>
        </is>
      </c>
      <c r="B37" s="4" t="inlineStr">
        <is>
          <t>7010 90 43</t>
        </is>
      </c>
      <c r="C37" s="4" t="inlineStr">
        <is>
          <t>70109099</t>
        </is>
      </c>
      <c r="D37" s="9" t="inlineStr">
        <is>
          <t>PŘEŘAZENÍ + OVĚŘIT</t>
        </is>
      </c>
      <c r="E37" s="4" t="inlineStr">
        <is>
          <t>Vodka bottle</t>
        </is>
      </c>
      <c r="F37" s="4" t="inlineStr">
        <is>
          <t>Skleněná láhev na vodku (prázdná)</t>
        </is>
      </c>
      <c r="G37" s="4" t="inlineStr">
        <is>
          <t>16</t>
        </is>
      </c>
      <c r="H37" s="4" t="inlineStr">
        <is>
          <t>Glass</t>
        </is>
      </c>
      <c r="I37" s="4" t="n">
        <v>1368</v>
      </c>
      <c r="J37" s="4" t="inlineStr">
        <is>
          <t>Pc</t>
        </is>
      </c>
      <c r="K37" s="6" t="inlineStr">
        <is>
          <t>CHYBÍ</t>
        </is>
      </c>
      <c r="L37" s="7" t="n">
        <v>860.5</v>
      </c>
      <c r="M37" s="7" t="n">
        <v>2736</v>
      </c>
      <c r="N37" s="4" t="inlineStr">
        <is>
          <t>Ne</t>
        </is>
      </c>
      <c r="O37" s="4" t="inlineStr">
        <is>
          <t>Ne</t>
        </is>
      </c>
      <c r="P37" s="4" t="inlineStr"/>
    </row>
    <row r="38">
      <c r="A38" s="4" t="inlineStr">
        <is>
          <t>GAUCHO COMPANY LIMITED (HCMC, VN)</t>
        </is>
      </c>
      <c r="B38" s="4" t="inlineStr">
        <is>
          <t>7117 19 00</t>
        </is>
      </c>
      <c r="C38" s="4" t="inlineStr">
        <is>
          <t>83089090</t>
        </is>
      </c>
      <c r="D38" s="9" t="inlineStr">
        <is>
          <t>PŘEŘAZENÍ</t>
        </is>
      </c>
      <c r="E38" s="4" t="inlineStr">
        <is>
          <t>Clip</t>
        </is>
      </c>
      <c r="F38" s="4" t="inlineStr">
        <is>
          <t>Kovová spona na kravatu</t>
        </is>
      </c>
      <c r="G38" s="4" t="inlineStr">
        <is>
          <t>52</t>
        </is>
      </c>
      <c r="H38" s="4" t="inlineStr">
        <is>
          <t>Metal</t>
        </is>
      </c>
      <c r="I38" s="4" t="n">
        <v>100</v>
      </c>
      <c r="J38" s="4" t="inlineStr">
        <is>
          <t>Pc</t>
        </is>
      </c>
      <c r="K38" s="6" t="inlineStr">
        <is>
          <t>CHYBÍ</t>
        </is>
      </c>
      <c r="L38" s="7" t="n">
        <v>1.37</v>
      </c>
      <c r="M38" s="7" t="n">
        <v>260</v>
      </c>
      <c r="N38" s="4" t="inlineStr">
        <is>
          <t>Ne</t>
        </is>
      </c>
      <c r="O38" s="4" t="inlineStr">
        <is>
          <t>Ne</t>
        </is>
      </c>
      <c r="P38" s="4" t="inlineStr">
        <is>
          <t>Ocel/kov: chybí hutní atest (melt &amp; pour) – viz list Doklady a poznámky. Hrubá hmotnost částečně rozpočtena podle hodnoty (sdílený karton).</t>
        </is>
      </c>
    </row>
    <row r="39">
      <c r="A39" s="4" t="inlineStr">
        <is>
          <t>GAUCHO COMPANY LIMITED (HCMC, VN)</t>
        </is>
      </c>
      <c r="B39" s="4" t="inlineStr">
        <is>
          <t>7323 93 10</t>
        </is>
      </c>
      <c r="C39" s="4" t="inlineStr">
        <is>
          <t>82159900</t>
        </is>
      </c>
      <c r="D39" s="9" t="inlineStr">
        <is>
          <t>PŘEŘAZENÍ</t>
        </is>
      </c>
      <c r="E39" s="4" t="inlineStr">
        <is>
          <t>Paricha; Paricha plate Small; Paricha plate big</t>
        </is>
      </c>
      <c r="F39" s="4" t="inlineStr">
        <is>
          <t>Nerezový servírovací tác s držadlem (parrilla); Nerezový talíř na parrillu malý; Nerezový talíř na parrillu velký</t>
        </is>
      </c>
      <c r="G39" s="4" t="inlineStr">
        <is>
          <t>36, 37, 38</t>
        </is>
      </c>
      <c r="H39" s="4" t="inlineStr">
        <is>
          <t>Stainless steel</t>
        </is>
      </c>
      <c r="I39" s="4" t="n">
        <v>100</v>
      </c>
      <c r="J39" s="4" t="inlineStr">
        <is>
          <t>Pc</t>
        </is>
      </c>
      <c r="K39" s="6" t="inlineStr">
        <is>
          <t>CHYBÍ</t>
        </is>
      </c>
      <c r="L39" s="7" t="n">
        <v>38</v>
      </c>
      <c r="M39" s="7" t="n">
        <v>440</v>
      </c>
      <c r="N39" s="4" t="inlineStr">
        <is>
          <t>Ne</t>
        </is>
      </c>
      <c r="O39" s="4" t="inlineStr">
        <is>
          <t>Ne</t>
        </is>
      </c>
      <c r="P39" s="4" t="inlineStr">
        <is>
          <t>Ocel/kov: chybí hutní atest (melt &amp; pour) – viz list Doklady a poznámky. Hrubá hmotnost částečně rozpočtena podle hodnoty (sdílený karton).</t>
        </is>
      </c>
    </row>
    <row r="40">
      <c r="A40" s="4" t="inlineStr">
        <is>
          <t>GAUCHO COMPANY LIMITED (HCMC, VN)</t>
        </is>
      </c>
      <c r="B40" s="4" t="inlineStr">
        <is>
          <t>7323 99 00</t>
        </is>
      </c>
      <c r="C40" s="4" t="inlineStr">
        <is>
          <t>73239920</t>
        </is>
      </c>
      <c r="D40" s="5" t="inlineStr">
        <is>
          <t>FORMÁT KN + OVĚŘIT</t>
        </is>
      </c>
      <c r="E40" s="4" t="inlineStr">
        <is>
          <t>Astray</t>
        </is>
      </c>
      <c r="F40" s="4" t="inlineStr">
        <is>
          <t>Kovový popelník</t>
        </is>
      </c>
      <c r="G40" s="4" t="inlineStr">
        <is>
          <t>31</t>
        </is>
      </c>
      <c r="H40" s="4" t="inlineStr">
        <is>
          <t>Metal</t>
        </is>
      </c>
      <c r="I40" s="4" t="n">
        <v>120</v>
      </c>
      <c r="J40" s="4" t="inlineStr">
        <is>
          <t>Pc</t>
        </is>
      </c>
      <c r="K40" s="6" t="inlineStr">
        <is>
          <t>CHYBÍ</t>
        </is>
      </c>
      <c r="L40" s="7" t="n">
        <v>35</v>
      </c>
      <c r="M40" s="7" t="n">
        <v>4680</v>
      </c>
      <c r="N40" s="4" t="inlineStr">
        <is>
          <t>Ne</t>
        </is>
      </c>
      <c r="O40" s="4" t="inlineStr">
        <is>
          <t>Ne</t>
        </is>
      </c>
      <c r="P40" s="4" t="inlineStr">
        <is>
          <t>Ocel/kov: chybí hutní atest (melt &amp; pour) – viz list Doklady a poznámky.</t>
        </is>
      </c>
    </row>
    <row r="41">
      <c r="A41" s="4" t="inlineStr">
        <is>
          <t>GAUCHO COMPANY LIMITED (HCMC, VN)</t>
        </is>
      </c>
      <c r="B41" s="4" t="inlineStr">
        <is>
          <t>8211 91 00</t>
        </is>
      </c>
      <c r="C41" s="4" t="inlineStr">
        <is>
          <t>82159900</t>
        </is>
      </c>
      <c r="D41" s="9" t="inlineStr">
        <is>
          <t>PŘEŘAZENÍ</t>
        </is>
      </c>
      <c r="E41" s="4" t="inlineStr">
        <is>
          <t>Steak knives; Setup Knife</t>
        </is>
      </c>
      <c r="F41" s="4" t="inlineStr">
        <is>
          <t>Nerezový steakový nůž; Nerezový jídelní nůž</t>
        </is>
      </c>
      <c r="G41" s="4" t="inlineStr">
        <is>
          <t>24, 47</t>
        </is>
      </c>
      <c r="H41" s="4" t="inlineStr">
        <is>
          <t>Stainless steel</t>
        </is>
      </c>
      <c r="I41" s="4" t="n">
        <v>1200</v>
      </c>
      <c r="J41" s="4" t="inlineStr">
        <is>
          <t>Pc</t>
        </is>
      </c>
      <c r="K41" s="6" t="inlineStr">
        <is>
          <t>CHYBÍ</t>
        </is>
      </c>
      <c r="L41" s="7" t="n">
        <v>108.82</v>
      </c>
      <c r="M41" s="7" t="n">
        <v>5660</v>
      </c>
      <c r="N41" s="4" t="inlineStr">
        <is>
          <t>Ne</t>
        </is>
      </c>
      <c r="O41" s="4" t="inlineStr">
        <is>
          <t>Ne</t>
        </is>
      </c>
      <c r="P41" s="4" t="inlineStr">
        <is>
          <t>Ocel/kov: chybí hutní atest (melt &amp; pour) – viz list Doklady a poznámky. Hrubá hmotnost částečně rozpočtena podle hodnoty (sdílený karton).</t>
        </is>
      </c>
    </row>
    <row r="42">
      <c r="A42" s="4" t="inlineStr">
        <is>
          <t>GAUCHO COMPANY LIMITED (HCMC, VN)</t>
        </is>
      </c>
      <c r="B42" s="4" t="inlineStr">
        <is>
          <t>8215 99 10</t>
        </is>
      </c>
      <c r="C42" s="4" t="inlineStr">
        <is>
          <t>82159900</t>
        </is>
      </c>
      <c r="D42" s="8" t="inlineStr">
        <is>
          <t>FORMÁT KN</t>
        </is>
      </c>
      <c r="E42" s="4" t="inlineStr">
        <is>
          <t>Salsa spoon espresso; Capucino spoon sauce; Setup folk; Latte spoon; Dessert Spoon; Dessert Fork; Small spoon</t>
        </is>
      </c>
      <c r="F42" s="4" t="inlineStr">
        <is>
          <t>Nerezová lžička na espresso / salsu; Nerezová lžička na cappuccino / omáčku; Nerezová jídelní vidlička; Nerezová lžička na latte; Nerezová dezertní lžička; Nerezová dezertní vidlička; Nerezová malá lžička</t>
        </is>
      </c>
      <c r="G42" s="4" t="inlineStr">
        <is>
          <t>21, 22, 23, 55, 56, 57, 58</t>
        </is>
      </c>
      <c r="H42" s="4" t="inlineStr">
        <is>
          <t>Stainless steel</t>
        </is>
      </c>
      <c r="I42" s="4" t="n">
        <v>1320</v>
      </c>
      <c r="J42" s="4" t="inlineStr">
        <is>
          <t>Pc</t>
        </is>
      </c>
      <c r="K42" s="6" t="inlineStr">
        <is>
          <t>CHYBÍ</t>
        </is>
      </c>
      <c r="L42" s="7" t="n">
        <v>37.03</v>
      </c>
      <c r="M42" s="7" t="n">
        <v>672</v>
      </c>
      <c r="N42" s="4" t="inlineStr">
        <is>
          <t>Ne</t>
        </is>
      </c>
      <c r="O42" s="4" t="inlineStr">
        <is>
          <t>Ne</t>
        </is>
      </c>
      <c r="P42" s="4" t="inlineStr">
        <is>
          <t>Ocel/kov: chybí hutní atest (melt &amp; pour) – viz list Doklady a poznámky. Hrubá hmotnost částečně rozpočtena podle hodnoty (sdílený karton).</t>
        </is>
      </c>
    </row>
    <row r="43">
      <c r="A43" s="4" t="inlineStr">
        <is>
          <t>GAUCHO COMPANY LIMITED (HCMC, VN)</t>
        </is>
      </c>
      <c r="B43" s="4" t="inlineStr">
        <is>
          <t>8310 00 00</t>
        </is>
      </c>
      <c r="C43" s="4" t="inlineStr">
        <is>
          <t>83100000</t>
        </is>
      </c>
      <c r="D43" s="5" t="inlineStr">
        <is>
          <t>OK + OVĚŘIT</t>
        </is>
      </c>
      <c r="E43" s="4" t="inlineStr">
        <is>
          <t>Round sign; Butcher sign</t>
        </is>
      </c>
      <c r="F43" s="4" t="inlineStr">
        <is>
          <t>Kulatá reklamní cedule (kov, plast, nerez); Cedule 'Butcher' (kov, plast, nerez)</t>
        </is>
      </c>
      <c r="G43" s="4" t="inlineStr">
        <is>
          <t>50, 54</t>
        </is>
      </c>
      <c r="H43" s="4" t="inlineStr">
        <is>
          <t>Metal, plastic and stainless steel</t>
        </is>
      </c>
      <c r="I43" s="4" t="n">
        <v>7</v>
      </c>
      <c r="J43" s="4" t="inlineStr">
        <is>
          <t>Pc</t>
        </is>
      </c>
      <c r="K43" s="6" t="inlineStr">
        <is>
          <t>CHYBÍ</t>
        </is>
      </c>
      <c r="L43" s="7" t="n">
        <v>126</v>
      </c>
      <c r="M43" s="7" t="n">
        <v>2140</v>
      </c>
      <c r="N43" s="4" t="inlineStr">
        <is>
          <t>Ne</t>
        </is>
      </c>
      <c r="O43" s="4" t="inlineStr">
        <is>
          <t>Ne</t>
        </is>
      </c>
      <c r="P43" s="4" t="inlineStr">
        <is>
          <t>Ocel/kov: chybí hutní atest (melt &amp; pour) – viz list Doklady a poznámky.</t>
        </is>
      </c>
    </row>
    <row r="44">
      <c r="A44" s="4" t="inlineStr">
        <is>
          <t>GAUCHO COMPANY LIMITED (HCMC, VN)</t>
        </is>
      </c>
      <c r="B44" s="4" t="inlineStr">
        <is>
          <t>8438 10 10</t>
        </is>
      </c>
      <c r="C44" s="4" t="inlineStr">
        <is>
          <t>84381000</t>
        </is>
      </c>
      <c r="D44" s="5" t="inlineStr">
        <is>
          <t>FORMÁT KN + OVĚŘIT</t>
        </is>
      </c>
      <c r="E44" s="4" t="inlineStr">
        <is>
          <t>Proofer</t>
        </is>
      </c>
      <c r="F44" s="4" t="inlineStr">
        <is>
          <t>Kynárna na těsto</t>
        </is>
      </c>
      <c r="G44" s="4" t="inlineStr">
        <is>
          <t>73</t>
        </is>
      </c>
      <c r="H44" s="4" t="inlineStr">
        <is>
          <t>Metal</t>
        </is>
      </c>
      <c r="I44" s="4" t="n">
        <v>2</v>
      </c>
      <c r="J44" s="4" t="inlineStr">
        <is>
          <t>Pc</t>
        </is>
      </c>
      <c r="K44" s="6" t="inlineStr">
        <is>
          <t>CHYBÍ</t>
        </is>
      </c>
      <c r="L44" s="7" t="n">
        <v>446</v>
      </c>
      <c r="M44" s="7" t="n">
        <v>1112</v>
      </c>
      <c r="N44" s="4" t="inlineStr">
        <is>
          <t>Ne</t>
        </is>
      </c>
      <c r="O44" s="4" t="inlineStr">
        <is>
          <t>Ne</t>
        </is>
      </c>
      <c r="P44" s="4" t="inlineStr">
        <is>
          <t>Ocel/kov: chybí hutní atest (melt &amp; pour) – viz list Doklady a poznámky.</t>
        </is>
      </c>
    </row>
    <row r="45">
      <c r="A45" s="4" t="inlineStr">
        <is>
          <t>GAUCHO COMPANY LIMITED (HCMC, VN)</t>
        </is>
      </c>
      <c r="B45" s="4" t="inlineStr">
        <is>
          <t>9401 69 00</t>
        </is>
      </c>
      <c r="C45" s="4" t="inlineStr">
        <is>
          <t>94034000</t>
        </is>
      </c>
      <c r="D45" s="9" t="inlineStr">
        <is>
          <t>PŘEŘAZENÍ</t>
        </is>
      </c>
      <c r="E45" s="4" t="inlineStr">
        <is>
          <t>Low chair</t>
        </is>
      </c>
      <c r="F45" s="4" t="inlineStr">
        <is>
          <t>Nízká dřevěná židle</t>
        </is>
      </c>
      <c r="G45" s="4" t="inlineStr">
        <is>
          <t>44</t>
        </is>
      </c>
      <c r="H45" s="4" t="inlineStr">
        <is>
          <t>Wood</t>
        </is>
      </c>
      <c r="I45" s="4" t="n">
        <v>30</v>
      </c>
      <c r="J45" s="4" t="inlineStr">
        <is>
          <t>Pc</t>
        </is>
      </c>
      <c r="K45" s="6" t="inlineStr">
        <is>
          <t>CHYBÍ</t>
        </is>
      </c>
      <c r="L45" s="7" t="n">
        <v>270</v>
      </c>
      <c r="M45" s="7" t="n">
        <v>2400</v>
      </c>
      <c r="N45" s="4" t="inlineStr">
        <is>
          <t>Ne</t>
        </is>
      </c>
      <c r="O45" s="4" t="inlineStr">
        <is>
          <t>Ne</t>
        </is>
      </c>
      <c r="P45" s="4" t="inlineStr"/>
    </row>
    <row r="46">
      <c r="A46" s="4" t="inlineStr">
        <is>
          <t>GAUCHO COMPANY LIMITED (HCMC, VN)</t>
        </is>
      </c>
      <c r="B46" s="4" t="inlineStr">
        <is>
          <t>9403 91 00</t>
        </is>
      </c>
      <c r="C46" s="4" t="inlineStr">
        <is>
          <t>94034000</t>
        </is>
      </c>
      <c r="D46" s="9" t="inlineStr">
        <is>
          <t>PŘEŘAZENÍ + OVĚŘIT</t>
        </is>
      </c>
      <c r="E46" s="4" t="inlineStr">
        <is>
          <t>Table face</t>
        </is>
      </c>
      <c r="F46" s="4" t="inlineStr">
        <is>
          <t>Dřevěná stolní deska</t>
        </is>
      </c>
      <c r="G46" s="4" t="inlineStr">
        <is>
          <t>46</t>
        </is>
      </c>
      <c r="H46" s="4" t="inlineStr">
        <is>
          <t>Wood</t>
        </is>
      </c>
      <c r="I46" s="4" t="n">
        <v>24</v>
      </c>
      <c r="J46" s="4" t="inlineStr">
        <is>
          <t>Pc</t>
        </is>
      </c>
      <c r="K46" s="6" t="inlineStr">
        <is>
          <t>CHYBÍ</t>
        </is>
      </c>
      <c r="L46" s="7" t="n">
        <v>432</v>
      </c>
      <c r="M46" s="7" t="n">
        <v>2808</v>
      </c>
      <c r="N46" s="4" t="inlineStr">
        <is>
          <t>Ne</t>
        </is>
      </c>
      <c r="O46" s="4" t="inlineStr">
        <is>
          <t>Ne</t>
        </is>
      </c>
      <c r="P46" s="4" t="inlineStr">
        <is>
          <t>Ocel/kov: chybí hutní atest (melt &amp; pour) – viz list Doklady a poznámky.</t>
        </is>
      </c>
    </row>
    <row r="47">
      <c r="A47" s="4" t="inlineStr">
        <is>
          <t>GAUCHO COMPANY LIMITED (HCMC, VN)</t>
        </is>
      </c>
      <c r="B47" s="4" t="inlineStr">
        <is>
          <t>9403 99 10</t>
        </is>
      </c>
      <c r="C47" s="4" t="inlineStr">
        <is>
          <t>94039990</t>
        </is>
      </c>
      <c r="D47" s="5" t="inlineStr">
        <is>
          <t>FORMÁT KN + OVĚŘIT</t>
        </is>
      </c>
      <c r="E47" s="4" t="inlineStr">
        <is>
          <t>Low table leg</t>
        </is>
      </c>
      <c r="F47" s="4" t="inlineStr">
        <is>
          <t>Kovová podnož nízkého stolu</t>
        </is>
      </c>
      <c r="G47" s="4" t="inlineStr">
        <is>
          <t>45</t>
        </is>
      </c>
      <c r="H47" s="4" t="inlineStr">
        <is>
          <t>Metal</t>
        </is>
      </c>
      <c r="I47" s="4" t="n">
        <v>24</v>
      </c>
      <c r="J47" s="4" t="inlineStr">
        <is>
          <t>Pc</t>
        </is>
      </c>
      <c r="K47" s="6" t="inlineStr">
        <is>
          <t>CHYBÍ</t>
        </is>
      </c>
      <c r="L47" s="7" t="n">
        <v>600</v>
      </c>
      <c r="M47" s="7" t="n">
        <v>888</v>
      </c>
      <c r="N47" s="4" t="inlineStr">
        <is>
          <t>Ne</t>
        </is>
      </c>
      <c r="O47" s="4" t="inlineStr">
        <is>
          <t>Ne</t>
        </is>
      </c>
      <c r="P47" s="4" t="inlineStr">
        <is>
          <t>Ocel/kov: chybí hutní atest (melt &amp; pour) – viz list Doklady a poznámky.</t>
        </is>
      </c>
    </row>
    <row r="48">
      <c r="A48" s="4" t="inlineStr">
        <is>
          <t>GAUCHO COMPANY LIMITED (HCMC, VN)</t>
        </is>
      </c>
      <c r="B48" s="4" t="inlineStr">
        <is>
          <t>9405 21 40</t>
        </is>
      </c>
      <c r="C48" s="4" t="inlineStr">
        <is>
          <t>94052190</t>
        </is>
      </c>
      <c r="D48" s="5" t="inlineStr">
        <is>
          <t>FORMÁT KN + OVĚŘIT</t>
        </is>
      </c>
      <c r="E48" s="4" t="inlineStr">
        <is>
          <t>Table lamp</t>
        </is>
      </c>
      <c r="F48" s="4" t="inlineStr">
        <is>
          <t>Stolní LED lampa (plast)</t>
        </is>
      </c>
      <c r="G48" s="4" t="inlineStr">
        <is>
          <t>35</t>
        </is>
      </c>
      <c r="H48" s="4" t="inlineStr">
        <is>
          <t>Plastic</t>
        </is>
      </c>
      <c r="I48" s="4" t="n">
        <v>50</v>
      </c>
      <c r="J48" s="4" t="inlineStr">
        <is>
          <t>Pc</t>
        </is>
      </c>
      <c r="K48" s="6" t="inlineStr">
        <is>
          <t>CHYBÍ</t>
        </is>
      </c>
      <c r="L48" s="7" t="n">
        <v>30</v>
      </c>
      <c r="M48" s="7" t="n">
        <v>600</v>
      </c>
      <c r="N48" s="4" t="inlineStr">
        <is>
          <t>Ne</t>
        </is>
      </c>
      <c r="O48" s="4" t="inlineStr">
        <is>
          <t>Ne</t>
        </is>
      </c>
      <c r="P48" s="4" t="inlineStr"/>
    </row>
    <row r="49">
      <c r="A49" s="11" t="inlineStr">
        <is>
          <t>CELKEM</t>
        </is>
      </c>
      <c r="B49" s="12" t="n"/>
      <c r="C49" s="12" t="n"/>
      <c r="D49" s="12" t="n"/>
      <c r="E49" s="12" t="n"/>
      <c r="F49" s="12" t="n"/>
      <c r="G49" s="12" t="n"/>
      <c r="H49" s="12" t="n"/>
      <c r="I49" s="12" t="n"/>
      <c r="J49" s="12" t="n"/>
      <c r="K49" s="13" t="inlineStr">
        <is>
          <t>CHYBÍ</t>
        </is>
      </c>
      <c r="L49" s="14">
        <f>SUM(L11:L48)</f>
        <v/>
      </c>
      <c r="M49" s="14">
        <f>SUM(M11:M48)</f>
        <v/>
      </c>
      <c r="N49" s="12" t="n"/>
      <c r="O49" s="12" t="n"/>
      <c r="P49" s="12" t="n"/>
    </row>
    <row r="51">
      <c r="A51" s="1" t="inlineStr">
        <is>
          <t>Legenda</t>
        </is>
      </c>
      <c r="B51" t="inlineStr"/>
    </row>
    <row r="52">
      <c r="A52" s="15" t="inlineStr">
        <is>
          <t>OK</t>
        </is>
      </c>
      <c r="B52" t="inlineStr">
        <is>
          <t>kód odesílatele je platný v KN a odpovídá zboží</t>
        </is>
      </c>
    </row>
    <row r="53">
      <c r="A53" s="16" t="inlineStr">
        <is>
          <t>FORMÁT KN</t>
        </is>
      </c>
      <c r="B53" t="inlineStr">
        <is>
          <t>stejné zařazení, ale kód odesílatele je vietnamský AHTN – převedeno na platný 8místný kód KN</t>
        </is>
      </c>
    </row>
    <row r="54">
      <c r="A54" s="17" t="inlineStr">
        <is>
          <t>PŘEŘAZENÍ</t>
        </is>
      </c>
      <c r="B54" t="inlineStr">
        <is>
          <t>kód odesílatele je věcně chybný – navrženo jiné zařazení</t>
        </is>
      </c>
    </row>
    <row r="55">
      <c r="A55" s="18" t="inlineStr">
        <is>
          <t>OVĚŘIT</t>
        </is>
      </c>
      <c r="B55" t="inlineStr">
        <is>
          <t>zařazení závisí na chybějící informaci (materiál, složení, objem…) – viz list Kontrola zařazení</t>
        </is>
      </c>
    </row>
    <row r="56">
      <c r="A56" s="1" t="inlineStr">
        <is>
          <t>Hrubá hmotnost</t>
        </is>
      </c>
      <c r="B56" t="inlineStr">
        <is>
          <t>z PL (TOTAL WEIGHT). Kde je více položek v jednom kartonu, váha kartonu rozpočtena podle hodnoty.</t>
        </is>
      </c>
    </row>
    <row r="57">
      <c r="A57" s="1" t="inlineStr">
        <is>
          <t>Hodnota</t>
        </is>
      </c>
      <c r="B57" t="inlineStr">
        <is>
          <t>částka ve sloupci „Total (USD)“ faktury; součet = TOTAL 70 150,40 USD. Sleva na faktuře není.</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18" customWidth="1" min="4" max="4"/>
    <col width="10" customWidth="1" min="5" max="5"/>
    <col width="6" customWidth="1" min="6" max="6"/>
    <col width="12" customWidth="1" min="7" max="7"/>
    <col width="12" customWidth="1" min="8" max="8"/>
    <col width="14" customWidth="1" min="9" max="9"/>
    <col width="14" customWidth="1" min="10" max="10"/>
    <col width="20" customWidth="1" min="11" max="11"/>
    <col width="80" customWidth="1" min="12" max="12"/>
    <col width="38" customWidth="1" min="13" max="13"/>
  </cols>
  <sheetData>
    <row r="1">
      <c r="A1" s="3" t="inlineStr">
        <is>
          <t>Pol.</t>
        </is>
      </c>
      <c r="B1" s="3" t="inlineStr">
        <is>
          <t>Item (EN)</t>
        </is>
      </c>
      <c r="C1" s="3" t="inlineStr">
        <is>
          <t>Popis VN</t>
        </is>
      </c>
      <c r="D1" s="3" t="inlineStr">
        <is>
          <t>Materiál</t>
        </is>
      </c>
      <c r="E1" s="3" t="inlineStr">
        <is>
          <t>Množství</t>
        </is>
      </c>
      <c r="F1" s="3" t="inlineStr">
        <is>
          <t>MJ</t>
        </is>
      </c>
      <c r="G1" s="3" t="inlineStr">
        <is>
          <t>Total USD</t>
        </is>
      </c>
      <c r="H1" s="3" t="inlineStr">
        <is>
          <t>Hrubá hm. (kg)</t>
        </is>
      </c>
      <c r="I1" s="3" t="inlineStr">
        <is>
          <t>HS odesílatele</t>
        </is>
      </c>
      <c r="J1" s="3" t="inlineStr">
        <is>
          <t>HS KN – návrh</t>
        </is>
      </c>
      <c r="K1" s="3" t="inlineStr">
        <is>
          <t>Výsledek</t>
        </is>
      </c>
      <c r="L1" s="3" t="inlineStr">
        <is>
          <t>Zdůvodnění</t>
        </is>
      </c>
      <c r="M1" s="3" t="inlineStr">
        <is>
          <t>Pracovní CZ popis (náš překlad)</t>
        </is>
      </c>
    </row>
    <row r="2">
      <c r="A2" s="4" t="n">
        <v>1</v>
      </c>
      <c r="B2" s="4" t="inlineStr">
        <is>
          <t>Take away box 2oz</t>
        </is>
      </c>
      <c r="C2" s="4" t="inlineStr">
        <is>
          <t>Cốc bả mía 2oz</t>
        </is>
      </c>
      <c r="D2" s="4" t="inlineStr">
        <is>
          <t>Paper</t>
        </is>
      </c>
      <c r="E2" s="4" t="n">
        <v>2000</v>
      </c>
      <c r="F2" s="4" t="inlineStr">
        <is>
          <t>Pc</t>
        </is>
      </c>
      <c r="G2" s="4" t="n">
        <v>80</v>
      </c>
      <c r="H2" s="4" t="n">
        <v>10</v>
      </c>
      <c r="I2" s="4" t="inlineStr">
        <is>
          <t>48236900</t>
        </is>
      </c>
      <c r="J2" s="4" t="inlineStr">
        <is>
          <t>4823 70 90</t>
        </is>
      </c>
      <c r="K2" s="9" t="inlineStr">
        <is>
          <t>PŘEŘAZENÍ + OVĚŘIT</t>
        </is>
      </c>
      <c r="L2" s="4" t="inlineStr">
        <is>
          <t>VN popis 'Cốc bả mía' = kelímek z bagasy (cukrová třtina), tj. lisovaný výrobek z papírové buničiny → 4823 70 90. Pokud je opravdu z papíru/kartonu → 4823 69 90. 48236900 = kód odesílatele je vietnamský AHTN, v KN neexistuje.</t>
        </is>
      </c>
      <c r="M2" s="4" t="inlineStr">
        <is>
          <t>Jednorázový kelímek 2 oz z bagasy</t>
        </is>
      </c>
    </row>
    <row r="3">
      <c r="A3" s="4" t="n">
        <v>2</v>
      </c>
      <c r="B3" s="4" t="inlineStr">
        <is>
          <t>Take away box 120m</t>
        </is>
      </c>
      <c r="C3" s="4" t="inlineStr">
        <is>
          <t>Tô giấy 120m+ nắp giấy 74mm</t>
        </is>
      </c>
      <c r="D3" s="4" t="inlineStr">
        <is>
          <t>Paper</t>
        </is>
      </c>
      <c r="E3" s="4" t="n">
        <v>1000</v>
      </c>
      <c r="F3" s="4" t="inlineStr">
        <is>
          <t>Pc</t>
        </is>
      </c>
      <c r="G3" s="4" t="n">
        <v>200</v>
      </c>
      <c r="H3" s="4" t="n">
        <v>10</v>
      </c>
      <c r="I3" s="4" t="inlineStr">
        <is>
          <t>48236900</t>
        </is>
      </c>
      <c r="J3" s="4" t="inlineStr">
        <is>
          <t>4823 69 90</t>
        </is>
      </c>
      <c r="K3" s="8" t="inlineStr">
        <is>
          <t>FORMÁT KN</t>
        </is>
      </c>
      <c r="L3" s="4" t="inlineStr">
        <is>
          <t>Papírová miska s papírovým víčkem. 48236900 = kód odesílatele je vietnamský AHTN, v KN neexistuje; KN dělí 4823 69 na 10 (podnosy, mísy, talíře) a 90 (ostatní). Miska s víčkem na odnos → 4823 69 90 (alternativa 4823 69 10).</t>
        </is>
      </c>
      <c r="M3" s="4" t="inlineStr">
        <is>
          <t>Papírová miska 120 ml s papírovým víčkem</t>
        </is>
      </c>
    </row>
    <row r="4">
      <c r="A4" s="4" t="n">
        <v>3</v>
      </c>
      <c r="B4" s="4" t="inlineStr">
        <is>
          <t>Take away box 210m</t>
        </is>
      </c>
      <c r="C4" s="4" t="inlineStr">
        <is>
          <t>Tô giấy 210m+ nắp giấy 90mm</t>
        </is>
      </c>
      <c r="D4" s="4" t="inlineStr">
        <is>
          <t>Paper</t>
        </is>
      </c>
      <c r="E4" s="4" t="n">
        <v>2000</v>
      </c>
      <c r="F4" s="4" t="inlineStr">
        <is>
          <t>Pc</t>
        </is>
      </c>
      <c r="G4" s="4" t="n">
        <v>200</v>
      </c>
      <c r="H4" s="4" t="n">
        <v>32</v>
      </c>
      <c r="I4" s="4" t="inlineStr">
        <is>
          <t>48236900</t>
        </is>
      </c>
      <c r="J4" s="4" t="inlineStr">
        <is>
          <t>4823 69 90</t>
        </is>
      </c>
      <c r="K4" s="8" t="inlineStr">
        <is>
          <t>FORMÁT KN</t>
        </is>
      </c>
      <c r="L4" s="4" t="inlineStr">
        <is>
          <t>Viz pol. 2.</t>
        </is>
      </c>
      <c r="M4" s="4" t="inlineStr">
        <is>
          <t>Papírová miska 210 ml s papírovým víčkem</t>
        </is>
      </c>
    </row>
    <row r="5">
      <c r="A5" s="4" t="n">
        <v>4</v>
      </c>
      <c r="B5" s="4" t="inlineStr">
        <is>
          <t>Take away box 500m</t>
        </is>
      </c>
      <c r="C5" s="4" t="inlineStr">
        <is>
          <t>Tô giấy 500m+ nắp giấy 98mm</t>
        </is>
      </c>
      <c r="D5" s="4" t="inlineStr">
        <is>
          <t>Paper</t>
        </is>
      </c>
      <c r="E5" s="4" t="n">
        <v>3000</v>
      </c>
      <c r="F5" s="4" t="inlineStr">
        <is>
          <t>Pc</t>
        </is>
      </c>
      <c r="G5" s="4" t="n">
        <v>600</v>
      </c>
      <c r="H5" s="4" t="n">
        <v>22</v>
      </c>
      <c r="I5" s="4" t="inlineStr">
        <is>
          <t>48236900</t>
        </is>
      </c>
      <c r="J5" s="4" t="inlineStr">
        <is>
          <t>4823 69 90</t>
        </is>
      </c>
      <c r="K5" s="8" t="inlineStr">
        <is>
          <t>FORMÁT KN</t>
        </is>
      </c>
      <c r="L5" s="4" t="inlineStr">
        <is>
          <t>Viz pol. 2.</t>
        </is>
      </c>
      <c r="M5" s="4" t="inlineStr">
        <is>
          <t>Papírová miska 500 ml s papírovým víčkem</t>
        </is>
      </c>
    </row>
    <row r="6">
      <c r="A6" s="4" t="n">
        <v>5</v>
      </c>
      <c r="B6" s="4" t="inlineStr">
        <is>
          <t>Take away box 1070m</t>
        </is>
      </c>
      <c r="C6" s="4" t="inlineStr">
        <is>
          <t>Tô giấy 1070m+ nắp giấy 183mm</t>
        </is>
      </c>
      <c r="D6" s="4" t="inlineStr">
        <is>
          <t>Paper</t>
        </is>
      </c>
      <c r="E6" s="4" t="n">
        <v>2100</v>
      </c>
      <c r="F6" s="4" t="inlineStr">
        <is>
          <t>Pc</t>
        </is>
      </c>
      <c r="G6" s="4" t="n">
        <v>840</v>
      </c>
      <c r="H6" s="4" t="n">
        <v>108</v>
      </c>
      <c r="I6" s="4" t="inlineStr">
        <is>
          <t>48236900</t>
        </is>
      </c>
      <c r="J6" s="4" t="inlineStr">
        <is>
          <t>4823 69 90</t>
        </is>
      </c>
      <c r="K6" s="8" t="inlineStr">
        <is>
          <t>FORMÁT KN</t>
        </is>
      </c>
      <c r="L6" s="4" t="inlineStr">
        <is>
          <t>Viz pol. 2.</t>
        </is>
      </c>
      <c r="M6" s="4" t="inlineStr">
        <is>
          <t>Papírová miska 1070 ml s papírovým víčkem</t>
        </is>
      </c>
    </row>
    <row r="7">
      <c r="A7" s="4" t="n">
        <v>6</v>
      </c>
      <c r="B7" s="4" t="inlineStr">
        <is>
          <t>Take away burger box</t>
        </is>
      </c>
      <c r="C7" s="4" t="inlineStr">
        <is>
          <t>Hộp hamburger mang đi</t>
        </is>
      </c>
      <c r="D7" s="4" t="inlineStr">
        <is>
          <t>Paper</t>
        </is>
      </c>
      <c r="E7" s="4" t="n">
        <v>1000</v>
      </c>
      <c r="F7" s="4" t="inlineStr">
        <is>
          <t>Pc</t>
        </is>
      </c>
      <c r="G7" s="4" t="n">
        <v>600</v>
      </c>
      <c r="H7" s="4" t="n">
        <v>104</v>
      </c>
      <c r="I7" s="4" t="inlineStr">
        <is>
          <t>48192000</t>
        </is>
      </c>
      <c r="J7" s="4" t="inlineStr">
        <is>
          <t>4819 20 00</t>
        </is>
      </c>
      <c r="K7" s="10" t="inlineStr">
        <is>
          <t>OK</t>
        </is>
      </c>
      <c r="L7" s="4" t="inlineStr">
        <is>
          <t>Skládací krabice z nevlnité lepenky. Pokud z vlnité lepenky → 4819 10 00.</t>
        </is>
      </c>
      <c r="M7" s="4" t="inlineStr">
        <is>
          <t>Papírová krabička na burger</t>
        </is>
      </c>
    </row>
    <row r="8">
      <c r="A8" s="4" t="n">
        <v>7</v>
      </c>
      <c r="B8" s="4" t="inlineStr">
        <is>
          <t>Take away steak box S</t>
        </is>
      </c>
      <c r="C8" s="4" t="inlineStr">
        <is>
          <t>In hộp nhỏ - Hộp bít tết mang đi S</t>
        </is>
      </c>
      <c r="D8" s="4" t="inlineStr">
        <is>
          <t>Paper</t>
        </is>
      </c>
      <c r="E8" s="4" t="n">
        <v>1000</v>
      </c>
      <c r="F8" s="4" t="inlineStr">
        <is>
          <t>Pc</t>
        </is>
      </c>
      <c r="G8" s="4" t="n">
        <v>1200</v>
      </c>
      <c r="H8" s="4" t="n">
        <v>263</v>
      </c>
      <c r="I8" s="4" t="inlineStr">
        <is>
          <t>48192000</t>
        </is>
      </c>
      <c r="J8" s="4" t="inlineStr">
        <is>
          <t>4819 20 00</t>
        </is>
      </c>
      <c r="K8" s="10" t="inlineStr">
        <is>
          <t>OK</t>
        </is>
      </c>
      <c r="L8" s="4" t="inlineStr">
        <is>
          <t>Viz pol. 6.</t>
        </is>
      </c>
      <c r="M8" s="4" t="inlineStr">
        <is>
          <t>Papírová krabice na steak S (potištěná)</t>
        </is>
      </c>
    </row>
    <row r="9">
      <c r="A9" s="4" t="n">
        <v>8</v>
      </c>
      <c r="B9" s="4" t="inlineStr">
        <is>
          <t>Take away steak box M</t>
        </is>
      </c>
      <c r="C9" s="4" t="inlineStr">
        <is>
          <t>In hộp trung- Hộp bít tết mang đi M</t>
        </is>
      </c>
      <c r="D9" s="4" t="inlineStr">
        <is>
          <t>Paper</t>
        </is>
      </c>
      <c r="E9" s="4" t="n">
        <v>500</v>
      </c>
      <c r="F9" s="4" t="inlineStr">
        <is>
          <t>Pc</t>
        </is>
      </c>
      <c r="G9" s="4" t="n">
        <v>800</v>
      </c>
      <c r="H9" s="4" t="n">
        <v>176</v>
      </c>
      <c r="I9" s="4" t="inlineStr">
        <is>
          <t>48192000</t>
        </is>
      </c>
      <c r="J9" s="4" t="inlineStr">
        <is>
          <t>4819 20 00</t>
        </is>
      </c>
      <c r="K9" s="10" t="inlineStr">
        <is>
          <t>OK</t>
        </is>
      </c>
      <c r="L9" s="4" t="inlineStr">
        <is>
          <t>Viz pol. 6.</t>
        </is>
      </c>
      <c r="M9" s="4" t="inlineStr">
        <is>
          <t>Papírová krabice na steak M (potištěná)</t>
        </is>
      </c>
    </row>
    <row r="10">
      <c r="A10" s="4" t="n">
        <v>9</v>
      </c>
      <c r="B10" s="4" t="inlineStr">
        <is>
          <t>Take away steak box L</t>
        </is>
      </c>
      <c r="C10" s="4" t="inlineStr">
        <is>
          <t>In hộp lớn- Hộp bít tết mang đi L</t>
        </is>
      </c>
      <c r="D10" s="4" t="inlineStr">
        <is>
          <t>Paper</t>
        </is>
      </c>
      <c r="E10" s="4" t="n">
        <v>200</v>
      </c>
      <c r="F10" s="4" t="inlineStr">
        <is>
          <t>Pc</t>
        </is>
      </c>
      <c r="G10" s="4" t="n">
        <v>700</v>
      </c>
      <c r="H10" s="4" t="n">
        <v>604</v>
      </c>
      <c r="I10" s="4" t="inlineStr">
        <is>
          <t>48192000</t>
        </is>
      </c>
      <c r="J10" s="4" t="inlineStr">
        <is>
          <t>4819 20 00</t>
        </is>
      </c>
      <c r="K10" s="10" t="inlineStr">
        <is>
          <t>OK</t>
        </is>
      </c>
      <c r="L10" s="4" t="inlineStr">
        <is>
          <t>Viz pol. 6.</t>
        </is>
      </c>
      <c r="M10" s="4" t="inlineStr">
        <is>
          <t>Papírová krabice na steak L (potištěná)</t>
        </is>
      </c>
    </row>
    <row r="11">
      <c r="A11" s="4" t="n">
        <v>10</v>
      </c>
      <c r="B11" s="4" t="inlineStr">
        <is>
          <t>Paper bag S</t>
        </is>
      </c>
      <c r="C11" s="4" t="inlineStr">
        <is>
          <t>Túi giấy S</t>
        </is>
      </c>
      <c r="D11" s="4" t="inlineStr">
        <is>
          <t>Paper</t>
        </is>
      </c>
      <c r="E11" s="4" t="n">
        <v>1000</v>
      </c>
      <c r="F11" s="4" t="inlineStr">
        <is>
          <t>Pc</t>
        </is>
      </c>
      <c r="G11" s="4" t="n">
        <v>400</v>
      </c>
      <c r="H11" s="4" t="n">
        <v>69</v>
      </c>
      <c r="I11" s="4" t="inlineStr">
        <is>
          <t>48195000</t>
        </is>
      </c>
      <c r="J11" s="4" t="inlineStr">
        <is>
          <t>4819 40 00</t>
        </is>
      </c>
      <c r="K11" s="9" t="inlineStr">
        <is>
          <t>PŘEŘAZENÍ</t>
        </is>
      </c>
      <c r="L11" s="4" t="inlineStr">
        <is>
          <t>Papírové tašky = pytle a sáčky → 4819 40 00 (šířka dna &lt; 40 cm; při ≥ 40 cm → 4819 30 00). 4819 50 00 (ostatní obaly) je chybně.</t>
        </is>
      </c>
      <c r="M11" s="4" t="inlineStr">
        <is>
          <t>Papírová taška S</t>
        </is>
      </c>
    </row>
    <row r="12">
      <c r="A12" s="4" t="n">
        <v>11</v>
      </c>
      <c r="B12" s="4" t="inlineStr">
        <is>
          <t>Paper bag M</t>
        </is>
      </c>
      <c r="C12" s="4" t="inlineStr">
        <is>
          <t>Túi giấy M</t>
        </is>
      </c>
      <c r="D12" s="4" t="inlineStr">
        <is>
          <t>Paper</t>
        </is>
      </c>
      <c r="E12" s="4" t="n">
        <v>1000</v>
      </c>
      <c r="F12" s="4" t="inlineStr">
        <is>
          <t>Pc</t>
        </is>
      </c>
      <c r="G12" s="4" t="n">
        <v>500</v>
      </c>
      <c r="H12" s="4" t="n">
        <v>110</v>
      </c>
      <c r="I12" s="4" t="inlineStr">
        <is>
          <t>48195000</t>
        </is>
      </c>
      <c r="J12" s="4" t="inlineStr">
        <is>
          <t>4819 40 00</t>
        </is>
      </c>
      <c r="K12" s="9" t="inlineStr">
        <is>
          <t>PŘEŘAZENÍ</t>
        </is>
      </c>
      <c r="L12" s="4" t="inlineStr">
        <is>
          <t>Viz pol. 10.</t>
        </is>
      </c>
      <c r="M12" s="4" t="inlineStr">
        <is>
          <t>Papírová taška M</t>
        </is>
      </c>
    </row>
    <row r="13">
      <c r="A13" s="4" t="n">
        <v>12</v>
      </c>
      <c r="B13" s="4" t="inlineStr">
        <is>
          <t>Paper bag L</t>
        </is>
      </c>
      <c r="C13" s="4" t="inlineStr">
        <is>
          <t>Túi giấy L</t>
        </is>
      </c>
      <c r="D13" s="4" t="inlineStr">
        <is>
          <t>Paper</t>
        </is>
      </c>
      <c r="E13" s="4" t="n">
        <v>1000</v>
      </c>
      <c r="F13" s="4" t="inlineStr">
        <is>
          <t>Pc</t>
        </is>
      </c>
      <c r="G13" s="4" t="n">
        <v>600</v>
      </c>
      <c r="H13" s="4" t="n">
        <v>189</v>
      </c>
      <c r="I13" s="4" t="inlineStr">
        <is>
          <t>48195000</t>
        </is>
      </c>
      <c r="J13" s="4" t="inlineStr">
        <is>
          <t>4819 40 00</t>
        </is>
      </c>
      <c r="K13" s="9" t="inlineStr">
        <is>
          <t>PŘEŘAZENÍ</t>
        </is>
      </c>
      <c r="L13" s="4" t="inlineStr">
        <is>
          <t>Viz pol. 10.</t>
        </is>
      </c>
      <c r="M13" s="4" t="inlineStr">
        <is>
          <t>Papírová taška L</t>
        </is>
      </c>
    </row>
    <row r="14">
      <c r="A14" s="4" t="n">
        <v>13</v>
      </c>
      <c r="B14" s="4" t="inlineStr">
        <is>
          <t>Wine bag</t>
        </is>
      </c>
      <c r="C14" s="4" t="inlineStr">
        <is>
          <t>Túi rượu</t>
        </is>
      </c>
      <c r="D14" s="4" t="inlineStr">
        <is>
          <t>Paper</t>
        </is>
      </c>
      <c r="E14" s="4" t="n">
        <v>200</v>
      </c>
      <c r="F14" s="4" t="inlineStr">
        <is>
          <t>Pc</t>
        </is>
      </c>
      <c r="G14" s="4" t="n">
        <v>100</v>
      </c>
      <c r="H14" s="4" t="n">
        <v>14</v>
      </c>
      <c r="I14" s="4" t="inlineStr">
        <is>
          <t>48195000</t>
        </is>
      </c>
      <c r="J14" s="4" t="inlineStr">
        <is>
          <t>4819 40 00</t>
        </is>
      </c>
      <c r="K14" s="9" t="inlineStr">
        <is>
          <t>PŘEŘAZENÍ</t>
        </is>
      </c>
      <c r="L14" s="4" t="inlineStr">
        <is>
          <t>Viz pol. 10.</t>
        </is>
      </c>
      <c r="M14" s="4" t="inlineStr">
        <is>
          <t>Papírová taška na víno</t>
        </is>
      </c>
    </row>
    <row r="15">
      <c r="A15" s="4" t="n">
        <v>14</v>
      </c>
      <c r="B15" s="4" t="inlineStr">
        <is>
          <t>Shot glass souvernir box</t>
        </is>
      </c>
      <c r="C15" s="4" t="inlineStr">
        <is>
          <t>Hộp ly</t>
        </is>
      </c>
      <c r="D15" s="4" t="inlineStr">
        <is>
          <t>Paper</t>
        </is>
      </c>
      <c r="E15" s="4" t="n">
        <v>100</v>
      </c>
      <c r="F15" s="4" t="inlineStr">
        <is>
          <t>Pc</t>
        </is>
      </c>
      <c r="G15" s="4" t="n">
        <v>230</v>
      </c>
      <c r="H15" s="4" t="n">
        <v>26</v>
      </c>
      <c r="I15" s="4" t="inlineStr">
        <is>
          <t>48191000</t>
        </is>
      </c>
      <c r="J15" s="4" t="inlineStr">
        <is>
          <t>4819 10 00</t>
        </is>
      </c>
      <c r="K15" s="5" t="inlineStr">
        <is>
          <t>OVĚŘIT</t>
        </is>
      </c>
      <c r="L15" s="4" t="inlineStr">
        <is>
          <t>Odesílatel dal 4819 10 00 (vlnitá lepenka), ale u stejného typu krabičky pol. 15 (stejná cena 49 000 VND) dal 4819 20 00 – nekonzistentní. Ověřit materiál krabičky.</t>
        </is>
      </c>
      <c r="M15" s="4" t="inlineStr">
        <is>
          <t>Papírová dárková krabička na panáky</t>
        </is>
      </c>
    </row>
    <row r="16">
      <c r="A16" s="4" t="n">
        <v>15</v>
      </c>
      <c r="B16" s="4" t="inlineStr">
        <is>
          <t>Steakknives souvenir box</t>
        </is>
      </c>
      <c r="C16" s="4" t="inlineStr">
        <is>
          <t>Hộp dao</t>
        </is>
      </c>
      <c r="D16" s="4" t="inlineStr">
        <is>
          <t>Paper</t>
        </is>
      </c>
      <c r="E16" s="4" t="n">
        <v>302</v>
      </c>
      <c r="F16" s="4" t="inlineStr">
        <is>
          <t>Pc</t>
        </is>
      </c>
      <c r="G16" s="4" t="n">
        <v>694.6</v>
      </c>
      <c r="H16" s="4" t="n">
        <v>83</v>
      </c>
      <c r="I16" s="4" t="inlineStr">
        <is>
          <t>48192000</t>
        </is>
      </c>
      <c r="J16" s="4" t="inlineStr">
        <is>
          <t>4819 20 00</t>
        </is>
      </c>
      <c r="K16" s="5" t="inlineStr">
        <is>
          <t>OVĚŘIT</t>
        </is>
      </c>
      <c r="L16" s="4" t="inlineStr">
        <is>
          <t>Viz pol. 14 – ověřit, zda vlnitá (4819 10 00) nebo nevlnitá lepenka (4819 20 00).</t>
        </is>
      </c>
      <c r="M16" s="4" t="inlineStr">
        <is>
          <t>Papírová dárková krabička na steakové nože</t>
        </is>
      </c>
    </row>
    <row r="17">
      <c r="A17" s="4" t="n">
        <v>16</v>
      </c>
      <c r="B17" s="4" t="inlineStr">
        <is>
          <t>Vodka bottle</t>
        </is>
      </c>
      <c r="C17" s="4" t="inlineStr">
        <is>
          <t>Chai thủy tinh</t>
        </is>
      </c>
      <c r="D17" s="4" t="inlineStr">
        <is>
          <t>Glass</t>
        </is>
      </c>
      <c r="E17" s="4" t="n">
        <v>1368</v>
      </c>
      <c r="F17" s="4" t="inlineStr">
        <is>
          <t>Pc</t>
        </is>
      </c>
      <c r="G17" s="4" t="n">
        <v>2736</v>
      </c>
      <c r="H17" s="4" t="n">
        <v>860.5</v>
      </c>
      <c r="I17" s="4" t="inlineStr">
        <is>
          <t>70109099</t>
        </is>
      </c>
      <c r="J17" s="4" t="inlineStr">
        <is>
          <t>7010 90 43</t>
        </is>
      </c>
      <c r="K17" s="9" t="inlineStr">
        <is>
          <t>PŘEŘAZENÍ + OVĚŘIT</t>
        </is>
      </c>
      <c r="L17" s="4" t="inlineStr">
        <is>
          <t>70109099 v KN = obaly na jiné výrobky než nápoje/potraviny, z barevného skla. Láhev na vodku → 7010 90 41–57 podle objemu a barvy; navrhujeme 7010 90 43 (bezbarvé sklo, &gt; 0,33 l a &lt; 1 l). Potvrdit objem a barvu.</t>
        </is>
      </c>
      <c r="M17" s="4" t="inlineStr">
        <is>
          <t>Skleněná láhev na vodku (prázdná)</t>
        </is>
      </c>
    </row>
    <row r="18">
      <c r="A18" s="4" t="n">
        <v>17</v>
      </c>
      <c r="B18" s="4" t="inlineStr">
        <is>
          <t>FF-bowl big</t>
        </is>
      </c>
      <c r="C18" s="4" t="inlineStr">
        <is>
          <t>Tô lớn</t>
        </is>
      </c>
      <c r="D18" s="4" t="inlineStr">
        <is>
          <t>Ceramic</t>
        </is>
      </c>
      <c r="E18" s="4" t="n">
        <v>20</v>
      </c>
      <c r="F18" s="4" t="inlineStr">
        <is>
          <t>Pc</t>
        </is>
      </c>
      <c r="G18" s="4" t="n">
        <v>100</v>
      </c>
      <c r="H18" s="4" t="n">
        <v>8</v>
      </c>
      <c r="I18" s="4" t="inlineStr">
        <is>
          <t>69111000</t>
        </is>
      </c>
      <c r="J18" s="4" t="inlineStr">
        <is>
          <t>6911 10 00</t>
        </is>
      </c>
      <c r="K18" s="5" t="inlineStr">
        <is>
          <t>OK + OVĚŘIT</t>
        </is>
      </c>
      <c r="L18" s="4" t="inlineStr">
        <is>
          <t>Platí, pokud jde o porcelán. Jiná keramika (kamenina, fajáns) → 6912 00 xx. Ověřit materiál.</t>
        </is>
      </c>
      <c r="M18" s="4" t="inlineStr">
        <is>
          <t>Velká keramická mísa</t>
        </is>
      </c>
    </row>
    <row r="19">
      <c r="A19" s="4" t="n">
        <v>18</v>
      </c>
      <c r="B19" s="4" t="inlineStr">
        <is>
          <t>Side dish bowl &amp; cover</t>
        </is>
      </c>
      <c r="C19" s="4" t="inlineStr">
        <is>
          <t>Tô món ăn kèm &amp; nắp</t>
        </is>
      </c>
      <c r="D19" s="4" t="inlineStr">
        <is>
          <t>Ceramic</t>
        </is>
      </c>
      <c r="E19" s="4" t="n">
        <v>180</v>
      </c>
      <c r="F19" s="4" t="inlineStr">
        <is>
          <t>Pc</t>
        </is>
      </c>
      <c r="G19" s="4" t="n">
        <v>252</v>
      </c>
      <c r="H19" s="4" t="n">
        <v>69</v>
      </c>
      <c r="I19" s="4" t="inlineStr">
        <is>
          <t>69111000</t>
        </is>
      </c>
      <c r="J19" s="4" t="inlineStr">
        <is>
          <t>6911 10 00</t>
        </is>
      </c>
      <c r="K19" s="5" t="inlineStr">
        <is>
          <t>OK + OVĚŘIT</t>
        </is>
      </c>
      <c r="L19" s="4" t="inlineStr">
        <is>
          <t>Viz pol. 17.</t>
        </is>
      </c>
      <c r="M19" s="4" t="inlineStr">
        <is>
          <t>Keramická miska na přílohy s víčkem</t>
        </is>
      </c>
    </row>
    <row r="20">
      <c r="A20" s="4" t="n">
        <v>19</v>
      </c>
      <c r="B20" s="4" t="inlineStr">
        <is>
          <t>Sauce bowl</t>
        </is>
      </c>
      <c r="C20" s="4" t="inlineStr">
        <is>
          <t>Chén đựng sốt</t>
        </is>
      </c>
      <c r="D20" s="4" t="inlineStr">
        <is>
          <t>Ceramic</t>
        </is>
      </c>
      <c r="E20" s="4" t="n">
        <v>120</v>
      </c>
      <c r="F20" s="4" t="inlineStr">
        <is>
          <t>Pc</t>
        </is>
      </c>
      <c r="G20" s="4" t="n">
        <v>240</v>
      </c>
      <c r="H20" s="4" t="n">
        <v>30</v>
      </c>
      <c r="I20" s="4" t="inlineStr">
        <is>
          <t>69111000</t>
        </is>
      </c>
      <c r="J20" s="4" t="inlineStr">
        <is>
          <t>6911 10 00</t>
        </is>
      </c>
      <c r="K20" s="5" t="inlineStr">
        <is>
          <t>OK + OVĚŘIT</t>
        </is>
      </c>
      <c r="L20" s="4" t="inlineStr">
        <is>
          <t>Viz pol. 17.</t>
        </is>
      </c>
      <c r="M20" s="4" t="inlineStr">
        <is>
          <t>Keramická miska na omáčku</t>
        </is>
      </c>
    </row>
    <row r="21">
      <c r="A21" s="4" t="n">
        <v>20</v>
      </c>
      <c r="B21" s="4" t="inlineStr">
        <is>
          <t>Big tray</t>
        </is>
      </c>
      <c r="C21" s="4" t="inlineStr">
        <is>
          <t>Khay lớn</t>
        </is>
      </c>
      <c r="D21" s="4" t="inlineStr">
        <is>
          <t>Plastic</t>
        </is>
      </c>
      <c r="E21" s="4" t="n">
        <v>12</v>
      </c>
      <c r="F21" s="4" t="inlineStr">
        <is>
          <t>Pc</t>
        </is>
      </c>
      <c r="G21" s="4" t="n">
        <v>432</v>
      </c>
      <c r="H21" s="4" t="n">
        <v>27</v>
      </c>
      <c r="I21" s="4" t="inlineStr">
        <is>
          <t>39241099</t>
        </is>
      </c>
      <c r="J21" s="4" t="inlineStr">
        <is>
          <t>3924 10 00</t>
        </is>
      </c>
      <c r="K21" s="8" t="inlineStr">
        <is>
          <t>FORMÁT KN</t>
        </is>
      </c>
      <c r="L21" s="4" t="inlineStr">
        <is>
          <t>39241099 = kód odesílatele je vietnamský AHTN, v KN neexistuje; KN 3924 10 00 (stolní a kuchyňské nádobí z plastů).</t>
        </is>
      </c>
      <c r="M21" s="4" t="inlineStr">
        <is>
          <t>Velký plastový servírovací podnos</t>
        </is>
      </c>
    </row>
    <row r="22">
      <c r="A22" s="4" t="n">
        <v>21</v>
      </c>
      <c r="B22" s="4" t="inlineStr">
        <is>
          <t>Salsa spoon espresso</t>
        </is>
      </c>
      <c r="C22" s="4" t="inlineStr">
        <is>
          <t>Muỗng espresso</t>
        </is>
      </c>
      <c r="D22" s="4" t="inlineStr">
        <is>
          <t>Stainless steel</t>
        </is>
      </c>
      <c r="E22" s="4" t="n">
        <v>200</v>
      </c>
      <c r="F22" s="4" t="inlineStr">
        <is>
          <t>Pc</t>
        </is>
      </c>
      <c r="G22" s="4" t="n">
        <v>80</v>
      </c>
      <c r="H22" s="4" t="n">
        <v>4.41</v>
      </c>
      <c r="I22" s="4" t="inlineStr">
        <is>
          <t>82159900</t>
        </is>
      </c>
      <c r="J22" s="4" t="inlineStr">
        <is>
          <t>8215 99 10</t>
        </is>
      </c>
      <c r="K22" s="8" t="inlineStr">
        <is>
          <t>FORMÁT KN</t>
        </is>
      </c>
      <c r="L22" s="4" t="inlineStr">
        <is>
          <t>82159900 = kód odesílatele je vietnamský AHTN, v KN neexistuje; KN 8215 99 10 (z nerezavějící oceli). Hrubá hmotnost: karton sdílen s pol. 22, 23, 47, 55, 56, 57, 58, 60, rozpočteno podle hodnoty.</t>
        </is>
      </c>
      <c r="M22" s="4" t="inlineStr">
        <is>
          <t>Nerezová lžička na espresso / salsu</t>
        </is>
      </c>
    </row>
    <row r="23">
      <c r="A23" s="4" t="n">
        <v>22</v>
      </c>
      <c r="B23" s="4" t="inlineStr">
        <is>
          <t>Capucino spoon sauce</t>
        </is>
      </c>
      <c r="C23" s="4" t="inlineStr">
        <is>
          <t>Muỗng capucino</t>
        </is>
      </c>
      <c r="D23" s="4" t="inlineStr">
        <is>
          <t>Stainless steel</t>
        </is>
      </c>
      <c r="E23" s="4" t="n">
        <v>200</v>
      </c>
      <c r="F23" s="4" t="inlineStr">
        <is>
          <t>Pc</t>
        </is>
      </c>
      <c r="G23" s="4" t="n">
        <v>80</v>
      </c>
      <c r="H23" s="4" t="n">
        <v>4.41</v>
      </c>
      <c r="I23" s="4" t="inlineStr">
        <is>
          <t>82159900</t>
        </is>
      </c>
      <c r="J23" s="4" t="inlineStr">
        <is>
          <t>8215 99 10</t>
        </is>
      </c>
      <c r="K23" s="8" t="inlineStr">
        <is>
          <t>FORMÁT KN</t>
        </is>
      </c>
      <c r="L23" s="4" t="inlineStr">
        <is>
          <t>Viz pol. 21. Hrubá hmotnost: karton sdílen s pol. 21, 23, 47, 55, 56, 57, 58, 60, rozpočteno podle hodnoty.</t>
        </is>
      </c>
      <c r="M23" s="4" t="inlineStr">
        <is>
          <t>Nerezová lžička na cappuccino / omáčku</t>
        </is>
      </c>
    </row>
    <row r="24">
      <c r="A24" s="4" t="n">
        <v>23</v>
      </c>
      <c r="B24" s="4" t="inlineStr">
        <is>
          <t>Setup folk</t>
        </is>
      </c>
      <c r="C24" s="4" t="inlineStr">
        <is>
          <t>Nĩa</t>
        </is>
      </c>
      <c r="D24" s="4" t="inlineStr">
        <is>
          <t>Stainless steel</t>
        </is>
      </c>
      <c r="E24" s="4" t="n">
        <v>600</v>
      </c>
      <c r="F24" s="4" t="inlineStr">
        <is>
          <t>Pc</t>
        </is>
      </c>
      <c r="G24" s="4" t="n">
        <v>360</v>
      </c>
      <c r="H24" s="4" t="n">
        <v>19.84</v>
      </c>
      <c r="I24" s="4" t="inlineStr">
        <is>
          <t>82159900</t>
        </is>
      </c>
      <c r="J24" s="4" t="inlineStr">
        <is>
          <t>8215 99 10</t>
        </is>
      </c>
      <c r="K24" s="8" t="inlineStr">
        <is>
          <t>FORMÁT KN</t>
        </is>
      </c>
      <c r="L24" s="4" t="inlineStr">
        <is>
          <t>Viz pol. 21. Hrubá hmotnost: karton sdílen s pol. 21, 22, 47, 55, 56, 57, 58, 60, rozpočteno podle hodnoty.</t>
        </is>
      </c>
      <c r="M24" s="4" t="inlineStr">
        <is>
          <t>Nerezová jídelní vidlička</t>
        </is>
      </c>
    </row>
    <row r="25">
      <c r="A25" s="4" t="n">
        <v>24</v>
      </c>
      <c r="B25" s="4" t="inlineStr">
        <is>
          <t>Steak knives</t>
        </is>
      </c>
      <c r="C25" s="4" t="inlineStr">
        <is>
          <t>Dao steak</t>
        </is>
      </c>
      <c r="D25" s="4" t="inlineStr">
        <is>
          <t>Stainless steel</t>
        </is>
      </c>
      <c r="E25" s="4" t="n">
        <v>1000</v>
      </c>
      <c r="F25" s="4" t="inlineStr">
        <is>
          <t>Pc</t>
        </is>
      </c>
      <c r="G25" s="4" t="n">
        <v>5500</v>
      </c>
      <c r="H25" s="4" t="n">
        <v>100</v>
      </c>
      <c r="I25" s="4" t="inlineStr">
        <is>
          <t>82159900</t>
        </is>
      </c>
      <c r="J25" s="4" t="inlineStr">
        <is>
          <t>8211 91 00</t>
        </is>
      </c>
      <c r="K25" s="9" t="inlineStr">
        <is>
          <t>PŘEŘAZENÍ</t>
        </is>
      </c>
      <c r="L25" s="4" t="inlineStr">
        <is>
          <t>Nože s pevnou čepelí nepatří do 8215 (tam jen nože na ryby a na máslo) → 8211 91 00 (jídelní nože s pevnou čepelí).</t>
        </is>
      </c>
      <c r="M25" s="4" t="inlineStr">
        <is>
          <t>Nerezový steakový nůž</t>
        </is>
      </c>
    </row>
    <row r="26">
      <c r="A26" s="4" t="n">
        <v>25</v>
      </c>
      <c r="B26" s="4" t="inlineStr">
        <is>
          <t>Medium plate</t>
        </is>
      </c>
      <c r="C26" s="4" t="inlineStr">
        <is>
          <t>Đĩa cỡ vừa</t>
        </is>
      </c>
      <c r="D26" s="4" t="inlineStr">
        <is>
          <t>Ceramic</t>
        </is>
      </c>
      <c r="E26" s="4" t="n">
        <v>140</v>
      </c>
      <c r="F26" s="4" t="inlineStr">
        <is>
          <t>Pc</t>
        </is>
      </c>
      <c r="G26" s="4" t="n">
        <v>882</v>
      </c>
      <c r="H26" s="4" t="n">
        <v>126</v>
      </c>
      <c r="I26" s="4" t="inlineStr">
        <is>
          <t>69111000</t>
        </is>
      </c>
      <c r="J26" s="4" t="inlineStr">
        <is>
          <t>6911 10 00</t>
        </is>
      </c>
      <c r="K26" s="5" t="inlineStr">
        <is>
          <t>OK + OVĚŘIT</t>
        </is>
      </c>
      <c r="L26" s="4" t="inlineStr">
        <is>
          <t>Viz pol. 17.</t>
        </is>
      </c>
      <c r="M26" s="4" t="inlineStr">
        <is>
          <t>Keramický talíř střední</t>
        </is>
      </c>
    </row>
    <row r="27">
      <c r="A27" s="4" t="n">
        <v>26</v>
      </c>
      <c r="B27" s="4" t="inlineStr">
        <is>
          <t>Bread plate</t>
        </is>
      </c>
      <c r="C27" s="4" t="inlineStr">
        <is>
          <t>Đĩa bánh mì</t>
        </is>
      </c>
      <c r="D27" s="4" t="inlineStr">
        <is>
          <t>Melanine</t>
        </is>
      </c>
      <c r="E27" s="4" t="n">
        <v>300</v>
      </c>
      <c r="F27" s="4" t="inlineStr">
        <is>
          <t>Pc</t>
        </is>
      </c>
      <c r="G27" s="4" t="n">
        <v>540</v>
      </c>
      <c r="H27" s="4" t="n">
        <v>97</v>
      </c>
      <c r="I27" s="4" t="inlineStr">
        <is>
          <t>39241099</t>
        </is>
      </c>
      <c r="J27" s="4" t="inlineStr">
        <is>
          <t>3924 10 00</t>
        </is>
      </c>
      <c r="K27" s="8" t="inlineStr">
        <is>
          <t>FORMÁT KN</t>
        </is>
      </c>
      <c r="L27" s="4" t="inlineStr">
        <is>
          <t>Melamin = plast; 39241099 = kód odesílatele je vietnamský AHTN, v KN neexistuje → KN 3924 10 00.</t>
        </is>
      </c>
      <c r="M27" s="4" t="inlineStr">
        <is>
          <t>Melaminový talířek na chléb</t>
        </is>
      </c>
    </row>
    <row r="28">
      <c r="A28" s="4" t="n">
        <v>27</v>
      </c>
      <c r="B28" s="4" t="inlineStr">
        <is>
          <t>Milk jug</t>
        </is>
      </c>
      <c r="C28" s="4" t="inlineStr">
        <is>
          <t>Bình đựng sữa</t>
        </is>
      </c>
      <c r="D28" s="4" t="inlineStr">
        <is>
          <t>Ceramic</t>
        </is>
      </c>
      <c r="E28" s="4" t="n">
        <v>100</v>
      </c>
      <c r="F28" s="4" t="inlineStr">
        <is>
          <t>Pc</t>
        </is>
      </c>
      <c r="G28" s="4" t="n">
        <v>100</v>
      </c>
      <c r="H28" s="4" t="n">
        <v>12.5</v>
      </c>
      <c r="I28" s="4" t="inlineStr">
        <is>
          <t>69111000</t>
        </is>
      </c>
      <c r="J28" s="4" t="inlineStr">
        <is>
          <t>6911 10 00</t>
        </is>
      </c>
      <c r="K28" s="5" t="inlineStr">
        <is>
          <t>OK + OVĚŘIT</t>
        </is>
      </c>
      <c r="L28" s="4" t="inlineStr">
        <is>
          <t>Viz pol. 17.</t>
        </is>
      </c>
      <c r="M28" s="4" t="inlineStr">
        <is>
          <t>Keramická konvička na mléko</t>
        </is>
      </c>
    </row>
    <row r="29">
      <c r="A29" s="4" t="n">
        <v>28</v>
      </c>
      <c r="B29" s="4" t="inlineStr">
        <is>
          <t>Sugar jug  small one</t>
        </is>
      </c>
      <c r="C29" s="4" t="inlineStr">
        <is>
          <t>Bình đựng đường nhỏ</t>
        </is>
      </c>
      <c r="D29" s="4" t="inlineStr">
        <is>
          <t>Ceramic</t>
        </is>
      </c>
      <c r="E29" s="4" t="n">
        <v>70</v>
      </c>
      <c r="F29" s="4" t="inlineStr">
        <is>
          <t>Pc</t>
        </is>
      </c>
      <c r="G29" s="4" t="n">
        <v>70</v>
      </c>
      <c r="H29" s="4" t="n">
        <v>3</v>
      </c>
      <c r="I29" s="4" t="inlineStr">
        <is>
          <t>69111000</t>
        </is>
      </c>
      <c r="J29" s="4" t="inlineStr">
        <is>
          <t>6911 10 00</t>
        </is>
      </c>
      <c r="K29" s="5" t="inlineStr">
        <is>
          <t>OK + OVĚŘIT</t>
        </is>
      </c>
      <c r="L29" s="4" t="inlineStr">
        <is>
          <t>Viz pol. 17.</t>
        </is>
      </c>
      <c r="M29" s="4" t="inlineStr">
        <is>
          <t>Keramická cukřenka malá</t>
        </is>
      </c>
    </row>
    <row r="30">
      <c r="A30" s="4" t="n">
        <v>29</v>
      </c>
      <c r="B30" s="4" t="inlineStr">
        <is>
          <t>Dressing  jug small one</t>
        </is>
      </c>
      <c r="C30" s="4" t="inlineStr">
        <is>
          <t>Bình đựng sốt nhỏ</t>
        </is>
      </c>
      <c r="D30" s="4" t="inlineStr">
        <is>
          <t>Ceramic</t>
        </is>
      </c>
      <c r="E30" s="4" t="n">
        <v>40</v>
      </c>
      <c r="F30" s="4" t="inlineStr">
        <is>
          <t>Pc</t>
        </is>
      </c>
      <c r="G30" s="4" t="n">
        <v>40</v>
      </c>
      <c r="H30" s="4" t="n">
        <v>2.46</v>
      </c>
      <c r="I30" s="4" t="inlineStr">
        <is>
          <t>69111000</t>
        </is>
      </c>
      <c r="J30" s="4" t="inlineStr">
        <is>
          <t>6911 10 00</t>
        </is>
      </c>
      <c r="K30" s="5" t="inlineStr">
        <is>
          <t>OK + OVĚŘIT</t>
        </is>
      </c>
      <c r="L30" s="4" t="inlineStr">
        <is>
          <t>Viz pol. 17. Hrubá hmotnost: karton sdílen s pol. 64, rozpočteno podle hodnoty.</t>
        </is>
      </c>
      <c r="M30" s="4" t="inlineStr">
        <is>
          <t>Keramická konvička na dresink malá</t>
        </is>
      </c>
    </row>
    <row r="31">
      <c r="A31" s="4" t="n">
        <v>30</v>
      </c>
      <c r="B31" s="4" t="inlineStr">
        <is>
          <t>Round wooden bread</t>
        </is>
      </c>
      <c r="C31" s="4" t="inlineStr">
        <is>
          <t>Thớt gỗ tròn</t>
        </is>
      </c>
      <c r="D31" s="4" t="inlineStr">
        <is>
          <t>Wood</t>
        </is>
      </c>
      <c r="E31" s="4" t="n">
        <v>200</v>
      </c>
      <c r="F31" s="4" t="inlineStr">
        <is>
          <t>Pc</t>
        </is>
      </c>
      <c r="G31" s="4" t="n">
        <v>760</v>
      </c>
      <c r="H31" s="4" t="n">
        <v>170</v>
      </c>
      <c r="I31" s="4" t="inlineStr">
        <is>
          <t>44199000</t>
        </is>
      </c>
      <c r="J31" s="4" t="inlineStr">
        <is>
          <t>4419 90 00</t>
        </is>
      </c>
      <c r="K31" s="5" t="inlineStr">
        <is>
          <t>OK + OVĚŘIT</t>
        </is>
      </c>
      <c r="L31" s="4" t="inlineStr">
        <is>
          <t>VN 'Thớt gỗ tròn' = kulaté dřevěné prkénko. 4419 90 00 platí pro netropické dřevo; bambus → 4419 11 00, tropické dřevo → 4419 20 00. Ověřit druh dřeva.</t>
        </is>
      </c>
      <c r="M31" s="4" t="inlineStr">
        <is>
          <t>Kulaté dřevěné prkénko na chléb</t>
        </is>
      </c>
    </row>
    <row r="32">
      <c r="A32" s="4" t="n">
        <v>31</v>
      </c>
      <c r="B32" s="4" t="inlineStr">
        <is>
          <t>Astray</t>
        </is>
      </c>
      <c r="C32" s="4" t="inlineStr">
        <is>
          <t>Gạt tàn</t>
        </is>
      </c>
      <c r="D32" s="4" t="inlineStr">
        <is>
          <t>Metal</t>
        </is>
      </c>
      <c r="E32" s="4" t="n">
        <v>120</v>
      </c>
      <c r="F32" s="4" t="inlineStr">
        <is>
          <t>Pc</t>
        </is>
      </c>
      <c r="G32" s="4" t="n">
        <v>4680</v>
      </c>
      <c r="H32" s="4" t="n">
        <v>35</v>
      </c>
      <c r="I32" s="4" t="inlineStr">
        <is>
          <t>73239920</t>
        </is>
      </c>
      <c r="J32" s="4" t="inlineStr">
        <is>
          <t>7323 99 00</t>
        </is>
      </c>
      <c r="K32" s="5" t="inlineStr">
        <is>
          <t>FORMÁT KN + OVĚŘIT</t>
        </is>
      </c>
      <c r="L32" s="4" t="inlineStr">
        <is>
          <t>73239920 = kód odesílatele je vietnamský AHTN, v KN neexistuje → KN 7323 99 00 (železo/ocel kromě nerezu). Upřesnit kov: nerez → 7323 93 xx, hliník → 7615 10, měď/mosaz → 7418 10.</t>
        </is>
      </c>
      <c r="M32" s="4" t="inlineStr">
        <is>
          <t>Kovový popelník</t>
        </is>
      </c>
    </row>
    <row r="33">
      <c r="A33" s="4" t="n">
        <v>32</v>
      </c>
      <c r="B33" s="4" t="inlineStr">
        <is>
          <t>Toothpick</t>
        </is>
      </c>
      <c r="C33" s="4" t="inlineStr">
        <is>
          <t>Tăm</t>
        </is>
      </c>
      <c r="D33" s="4" t="inlineStr">
        <is>
          <t>Bamboo</t>
        </is>
      </c>
      <c r="E33" s="4" t="n">
        <v>30</v>
      </c>
      <c r="F33" s="4" t="inlineStr">
        <is>
          <t>Box</t>
        </is>
      </c>
      <c r="G33" s="4" t="n">
        <v>69</v>
      </c>
      <c r="H33" s="4" t="n">
        <v>10</v>
      </c>
      <c r="I33" s="4" t="inlineStr">
        <is>
          <t>44219160</t>
        </is>
      </c>
      <c r="J33" s="4" t="inlineStr">
        <is>
          <t>4421 91 00</t>
        </is>
      </c>
      <c r="K33" s="8" t="inlineStr">
        <is>
          <t>FORMÁT KN</t>
        </is>
      </c>
      <c r="L33" s="4" t="inlineStr">
        <is>
          <t>44219160 = kód odesílatele je vietnamský AHTN, v KN neexistuje → KN 4421 91 00 (ostatní výrobky z bambusu).</t>
        </is>
      </c>
      <c r="M33" s="4" t="inlineStr">
        <is>
          <t>Bambusová párátka (krabička)</t>
        </is>
      </c>
    </row>
    <row r="34">
      <c r="A34" s="4" t="n">
        <v>33</v>
      </c>
      <c r="B34" s="4" t="inlineStr">
        <is>
          <t>Napkin fabric set up</t>
        </is>
      </c>
      <c r="C34" s="4" t="inlineStr">
        <is>
          <t>Khăn ăn</t>
        </is>
      </c>
      <c r="D34" s="4" t="inlineStr">
        <is>
          <t>Fabric</t>
        </is>
      </c>
      <c r="E34" s="4" t="n">
        <v>2000</v>
      </c>
      <c r="F34" s="4" t="inlineStr">
        <is>
          <t>Pc</t>
        </is>
      </c>
      <c r="G34" s="4" t="n">
        <v>7200</v>
      </c>
      <c r="H34" s="4" t="n">
        <v>122</v>
      </c>
      <c r="I34" s="4" t="inlineStr">
        <is>
          <t>63026000</t>
        </is>
      </c>
      <c r="J34" s="4" t="inlineStr">
        <is>
          <t>6302 51 00</t>
        </is>
      </c>
      <c r="K34" s="9" t="inlineStr">
        <is>
          <t>PŘEŘAZENÍ + OVĚŘIT</t>
        </is>
      </c>
      <c r="L34" s="4" t="inlineStr">
        <is>
          <t>Látkové ubrousky = stolní prádlo (6302 51–59), ne froté toaletní/kuchyňské prádlo 6302 60 00. Bavlna → 6302 51 00; chemická vlákna → 6302 53 90. Doplnit materiálové složení.</t>
        </is>
      </c>
      <c r="M34" s="4" t="inlineStr">
        <is>
          <t>Látkový ubrousek</t>
        </is>
      </c>
    </row>
    <row r="35">
      <c r="A35" s="4" t="n">
        <v>34</v>
      </c>
      <c r="B35" s="4" t="inlineStr">
        <is>
          <t>Paper Flags all kinds</t>
        </is>
      </c>
      <c r="C35" s="4" t="inlineStr">
        <is>
          <t>Cờ giấy các loại</t>
        </is>
      </c>
      <c r="D35" s="4" t="inlineStr">
        <is>
          <t>Paper</t>
        </is>
      </c>
      <c r="E35" s="4" t="n">
        <v>63000</v>
      </c>
      <c r="F35" s="4" t="inlineStr">
        <is>
          <t>Pc</t>
        </is>
      </c>
      <c r="G35" s="4" t="n">
        <v>1260</v>
      </c>
      <c r="H35" s="4" t="n">
        <v>24</v>
      </c>
      <c r="I35" s="4" t="inlineStr">
        <is>
          <t>49119990</t>
        </is>
      </c>
      <c r="J35" s="4" t="inlineStr">
        <is>
          <t>4911 99 00</t>
        </is>
      </c>
      <c r="K35" s="8" t="inlineStr">
        <is>
          <t>FORMÁT KN</t>
        </is>
      </c>
      <c r="L35" s="4" t="inlineStr">
        <is>
          <t>49119990 = kód odesílatele je vietnamský AHTN, v KN neexistuje → KN 4911 99 00 (potištěné papírové vlaječky). Pokud nepotištěné → 4823 90 85.</t>
        </is>
      </c>
      <c r="M35" s="4" t="inlineStr">
        <is>
          <t>Papírové vlaječky různé</t>
        </is>
      </c>
    </row>
    <row r="36">
      <c r="A36" s="4" t="n">
        <v>35</v>
      </c>
      <c r="B36" s="4" t="inlineStr">
        <is>
          <t>Table lamp</t>
        </is>
      </c>
      <c r="C36" s="4" t="inlineStr">
        <is>
          <t>Đèn led để bàn</t>
        </is>
      </c>
      <c r="D36" s="4" t="inlineStr">
        <is>
          <t>Plastic</t>
        </is>
      </c>
      <c r="E36" s="4" t="n">
        <v>50</v>
      </c>
      <c r="F36" s="4" t="inlineStr">
        <is>
          <t>Pc</t>
        </is>
      </c>
      <c r="G36" s="4" t="n">
        <v>600</v>
      </c>
      <c r="H36" s="4" t="n">
        <v>30</v>
      </c>
      <c r="I36" s="4" t="inlineStr">
        <is>
          <t>94052190</t>
        </is>
      </c>
      <c r="J36" s="4" t="inlineStr">
        <is>
          <t>9405 21 40</t>
        </is>
      </c>
      <c r="K36" s="5" t="inlineStr">
        <is>
          <t>FORMÁT KN + OVĚŘIT</t>
        </is>
      </c>
      <c r="L36" s="4" t="inlineStr">
        <is>
          <t>VN 'Đèn led để bàn' = stolní LED lampa z plastu → 9405 21 40 (ověřit v TARIC). Pokud je bezšňůrová s vlastní baterií/akumulátorem → 8513 10 00 (přenosná svítidla).</t>
        </is>
      </c>
      <c r="M36" s="4" t="inlineStr">
        <is>
          <t>Stolní LED lampa (plast)</t>
        </is>
      </c>
    </row>
    <row r="37">
      <c r="A37" s="4" t="n">
        <v>36</v>
      </c>
      <c r="B37" s="4" t="inlineStr">
        <is>
          <t>Paricha</t>
        </is>
      </c>
      <c r="C37" s="4" t="inlineStr">
        <is>
          <t>Khay inox có tay cầm</t>
        </is>
      </c>
      <c r="D37" s="4" t="inlineStr">
        <is>
          <t>Stainless steel</t>
        </is>
      </c>
      <c r="E37" s="4" t="n">
        <v>20</v>
      </c>
      <c r="F37" s="4" t="inlineStr">
        <is>
          <t>Pc</t>
        </is>
      </c>
      <c r="G37" s="4" t="n">
        <v>360</v>
      </c>
      <c r="H37" s="4" t="n">
        <v>16</v>
      </c>
      <c r="I37" s="4" t="inlineStr">
        <is>
          <t>82159900</t>
        </is>
      </c>
      <c r="J37" s="4" t="inlineStr">
        <is>
          <t>7323 93 10</t>
        </is>
      </c>
      <c r="K37" s="9" t="inlineStr">
        <is>
          <t>PŘEŘAZENÍ</t>
        </is>
      </c>
      <c r="L37" s="4" t="inlineStr">
        <is>
          <t>VN 'Khay inox có tay cầm' = nerezový tác s držadlem (servírovací 'parrilla'). Nejde o lžíce/vidličky 8215 → 7323 93 10 (stolní potřeby z nerezavějící oceli).</t>
        </is>
      </c>
      <c r="M37" s="4" t="inlineStr">
        <is>
          <t>Nerezový servírovací tác s držadlem (parrilla)</t>
        </is>
      </c>
    </row>
    <row r="38">
      <c r="A38" s="4" t="n">
        <v>37</v>
      </c>
      <c r="B38" s="4" t="inlineStr">
        <is>
          <t>Paricha plate Small</t>
        </is>
      </c>
      <c r="C38" s="4" t="inlineStr">
        <is>
          <t>Đĩa Paricha nhỏ</t>
        </is>
      </c>
      <c r="D38" s="4" t="inlineStr">
        <is>
          <t>Stainless Steel</t>
        </is>
      </c>
      <c r="E38" s="4" t="n">
        <v>50</v>
      </c>
      <c r="F38" s="4" t="inlineStr">
        <is>
          <t>Pc</t>
        </is>
      </c>
      <c r="G38" s="4" t="n">
        <v>50</v>
      </c>
      <c r="H38" s="4" t="n">
        <v>13.75</v>
      </c>
      <c r="I38" s="4" t="inlineStr">
        <is>
          <t>82159900</t>
        </is>
      </c>
      <c r="J38" s="4" t="inlineStr">
        <is>
          <t>7323 93 10</t>
        </is>
      </c>
      <c r="K38" s="9" t="inlineStr">
        <is>
          <t>PŘEŘAZENÍ</t>
        </is>
      </c>
      <c r="L38" s="4" t="inlineStr">
        <is>
          <t>Nerezový talíř → 7323 93 10, viz pol. 36. Hrubá hmotnost: karton sdílen s pol. 38, rozpočteno podle hodnoty.</t>
        </is>
      </c>
      <c r="M38" s="4" t="inlineStr">
        <is>
          <t>Nerezový talíř na parrillu malý</t>
        </is>
      </c>
    </row>
    <row r="39">
      <c r="A39" s="4" t="n">
        <v>38</v>
      </c>
      <c r="B39" s="4" t="inlineStr">
        <is>
          <t>Paricha plate big</t>
        </is>
      </c>
      <c r="C39" s="4" t="inlineStr">
        <is>
          <t>Đĩa Paricha lớn</t>
        </is>
      </c>
      <c r="D39" s="4" t="inlineStr">
        <is>
          <t>Stainless steel</t>
        </is>
      </c>
      <c r="E39" s="4" t="n">
        <v>30</v>
      </c>
      <c r="F39" s="4" t="inlineStr">
        <is>
          <t>Pc</t>
        </is>
      </c>
      <c r="G39" s="4" t="n">
        <v>30</v>
      </c>
      <c r="H39" s="4" t="n">
        <v>8.25</v>
      </c>
      <c r="I39" s="4" t="inlineStr">
        <is>
          <t>82159900</t>
        </is>
      </c>
      <c r="J39" s="4" t="inlineStr">
        <is>
          <t>7323 93 10</t>
        </is>
      </c>
      <c r="K39" s="9" t="inlineStr">
        <is>
          <t>PŘEŘAZENÍ</t>
        </is>
      </c>
      <c r="L39" s="4" t="inlineStr">
        <is>
          <t>Viz pol. 37. Hrubá hmotnost: karton sdílen s pol. 37, rozpočteno podle hodnoty.</t>
        </is>
      </c>
      <c r="M39" s="4" t="inlineStr">
        <is>
          <t>Nerezový talíř na parrillu velký</t>
        </is>
      </c>
    </row>
    <row r="40">
      <c r="A40" s="4" t="n">
        <v>39</v>
      </c>
      <c r="B40" s="4" t="inlineStr">
        <is>
          <t>Picture frame S</t>
        </is>
      </c>
      <c r="C40" s="4" t="inlineStr">
        <is>
          <t>Khung tranh S</t>
        </is>
      </c>
      <c r="D40" s="4" t="inlineStr">
        <is>
          <t>Wood</t>
        </is>
      </c>
      <c r="E40" s="4" t="n">
        <v>30</v>
      </c>
      <c r="F40" s="4" t="inlineStr">
        <is>
          <t>Pc</t>
        </is>
      </c>
      <c r="G40" s="4" t="n">
        <v>210</v>
      </c>
      <c r="H40" s="4" t="n">
        <v>14</v>
      </c>
      <c r="I40" s="4" t="inlineStr">
        <is>
          <t>44149000</t>
        </is>
      </c>
      <c r="J40" s="4" t="inlineStr">
        <is>
          <t>4414 90 00</t>
        </is>
      </c>
      <c r="K40" s="5" t="inlineStr">
        <is>
          <t>OK + OVĚŘIT</t>
        </is>
      </c>
      <c r="L40" s="4" t="inlineStr">
        <is>
          <t>Platí pro netropické dřevo; tropické → 4414 10 00.</t>
        </is>
      </c>
      <c r="M40" s="4" t="inlineStr">
        <is>
          <t>Dřevěný rámeček na obrazy S</t>
        </is>
      </c>
    </row>
    <row r="41">
      <c r="A41" s="4" t="n">
        <v>40</v>
      </c>
      <c r="B41" s="4" t="inlineStr">
        <is>
          <t>Picture frame M</t>
        </is>
      </c>
      <c r="C41" s="4" t="inlineStr">
        <is>
          <t>Khung tranh M</t>
        </is>
      </c>
      <c r="D41" s="4" t="inlineStr">
        <is>
          <t>Wood</t>
        </is>
      </c>
      <c r="E41" s="4" t="n">
        <v>30</v>
      </c>
      <c r="F41" s="4" t="inlineStr">
        <is>
          <t>Pc</t>
        </is>
      </c>
      <c r="G41" s="4" t="n">
        <v>240</v>
      </c>
      <c r="H41" s="4" t="n">
        <v>20</v>
      </c>
      <c r="I41" s="4" t="inlineStr">
        <is>
          <t>44149000</t>
        </is>
      </c>
      <c r="J41" s="4" t="inlineStr">
        <is>
          <t>4414 90 00</t>
        </is>
      </c>
      <c r="K41" s="5" t="inlineStr">
        <is>
          <t>OK + OVĚŘIT</t>
        </is>
      </c>
      <c r="L41" s="4" t="inlineStr">
        <is>
          <t>Viz pol. 39.</t>
        </is>
      </c>
      <c r="M41" s="4" t="inlineStr">
        <is>
          <t>Dřevěný rámeček na obrazy M</t>
        </is>
      </c>
    </row>
    <row r="42">
      <c r="A42" s="4" t="n">
        <v>41</v>
      </c>
      <c r="B42" s="4" t="inlineStr">
        <is>
          <t>Picture frame L</t>
        </is>
      </c>
      <c r="C42" s="4" t="inlineStr">
        <is>
          <t>Khung tranh L</t>
        </is>
      </c>
      <c r="D42" s="4" t="inlineStr">
        <is>
          <t>Wood</t>
        </is>
      </c>
      <c r="E42" s="4" t="n">
        <v>25</v>
      </c>
      <c r="F42" s="4" t="inlineStr">
        <is>
          <t>Pc</t>
        </is>
      </c>
      <c r="G42" s="4" t="n">
        <v>275</v>
      </c>
      <c r="H42" s="4" t="n">
        <v>20</v>
      </c>
      <c r="I42" s="4" t="inlineStr">
        <is>
          <t>44149000</t>
        </is>
      </c>
      <c r="J42" s="4" t="inlineStr">
        <is>
          <t>4414 90 00</t>
        </is>
      </c>
      <c r="K42" s="5" t="inlineStr">
        <is>
          <t>OK + OVĚŘIT</t>
        </is>
      </c>
      <c r="L42" s="4" t="inlineStr">
        <is>
          <t>Viz pol. 39.</t>
        </is>
      </c>
      <c r="M42" s="4" t="inlineStr">
        <is>
          <t>Dřevěný rámeček na obrazy L</t>
        </is>
      </c>
    </row>
    <row r="43">
      <c r="A43" s="4" t="n">
        <v>42</v>
      </c>
      <c r="B43" s="4" t="inlineStr">
        <is>
          <t>Picture frame XL</t>
        </is>
      </c>
      <c r="C43" s="4" t="inlineStr">
        <is>
          <t>Khung tranh XL</t>
        </is>
      </c>
      <c r="D43" s="4" t="inlineStr">
        <is>
          <t>Wood</t>
        </is>
      </c>
      <c r="E43" s="4" t="n">
        <v>15</v>
      </c>
      <c r="F43" s="4" t="inlineStr">
        <is>
          <t>Pc</t>
        </is>
      </c>
      <c r="G43" s="4" t="n">
        <v>390</v>
      </c>
      <c r="H43" s="4" t="n">
        <v>54</v>
      </c>
      <c r="I43" s="4" t="inlineStr">
        <is>
          <t>44149000</t>
        </is>
      </c>
      <c r="J43" s="4" t="inlineStr">
        <is>
          <t>4414 90 00</t>
        </is>
      </c>
      <c r="K43" s="5" t="inlineStr">
        <is>
          <t>OK + OVĚŘIT</t>
        </is>
      </c>
      <c r="L43" s="4" t="inlineStr">
        <is>
          <t>Viz pol. 39.</t>
        </is>
      </c>
      <c r="M43" s="4" t="inlineStr">
        <is>
          <t>Dřevěný rámeček na obrazy XL</t>
        </is>
      </c>
    </row>
    <row r="44">
      <c r="A44" s="4" t="n">
        <v>43</v>
      </c>
      <c r="B44" s="4" t="inlineStr">
        <is>
          <t>Picture frame Oval</t>
        </is>
      </c>
      <c r="C44" s="4" t="inlineStr">
        <is>
          <t>Khung tranh Oval</t>
        </is>
      </c>
      <c r="D44" s="4" t="inlineStr">
        <is>
          <t>Wood</t>
        </is>
      </c>
      <c r="E44" s="4" t="n">
        <v>5</v>
      </c>
      <c r="F44" s="4" t="inlineStr">
        <is>
          <t>Pc</t>
        </is>
      </c>
      <c r="G44" s="4" t="n">
        <v>260</v>
      </c>
      <c r="H44" s="4" t="n">
        <v>9</v>
      </c>
      <c r="I44" s="4" t="inlineStr">
        <is>
          <t>44149000</t>
        </is>
      </c>
      <c r="J44" s="4" t="inlineStr">
        <is>
          <t>4414 90 00</t>
        </is>
      </c>
      <c r="K44" s="5" t="inlineStr">
        <is>
          <t>OK + OVĚŘIT</t>
        </is>
      </c>
      <c r="L44" s="4" t="inlineStr">
        <is>
          <t>Viz pol. 39.</t>
        </is>
      </c>
      <c r="M44" s="4" t="inlineStr">
        <is>
          <t>Dřevěný rámeček na obrazy oválný</t>
        </is>
      </c>
    </row>
    <row r="45">
      <c r="A45" s="4" t="n">
        <v>44</v>
      </c>
      <c r="B45" s="4" t="inlineStr">
        <is>
          <t>Low chair</t>
        </is>
      </c>
      <c r="C45" s="4" t="inlineStr">
        <is>
          <t>Ghế thấp</t>
        </is>
      </c>
      <c r="D45" s="4" t="inlineStr">
        <is>
          <t>Wood</t>
        </is>
      </c>
      <c r="E45" s="4" t="n">
        <v>30</v>
      </c>
      <c r="F45" s="4" t="inlineStr">
        <is>
          <t>Pc</t>
        </is>
      </c>
      <c r="G45" s="4" t="n">
        <v>2400</v>
      </c>
      <c r="H45" s="4" t="n">
        <v>270</v>
      </c>
      <c r="I45" s="4" t="inlineStr">
        <is>
          <t>94034000</t>
        </is>
      </c>
      <c r="J45" s="4" t="inlineStr">
        <is>
          <t>9401 69 00</t>
        </is>
      </c>
      <c r="K45" s="9" t="inlineStr">
        <is>
          <t>PŘEŘAZENÍ</t>
        </is>
      </c>
      <c r="L45" s="4" t="inlineStr">
        <is>
          <t>Židle = sedadla čísla 9401, ne kuchyňský nábytek 9403 40 00. Dřevěná kostra, nečalouněná → 9401 69 00 (čalouněná → 9401 61 00).</t>
        </is>
      </c>
      <c r="M45" s="4" t="inlineStr">
        <is>
          <t>Nízká dřevěná židle</t>
        </is>
      </c>
    </row>
    <row r="46">
      <c r="A46" s="4" t="n">
        <v>45</v>
      </c>
      <c r="B46" s="4" t="inlineStr">
        <is>
          <t>Low table leg</t>
        </is>
      </c>
      <c r="C46" s="4" t="inlineStr">
        <is>
          <t>Chân bàn thấp</t>
        </is>
      </c>
      <c r="D46" s="4" t="inlineStr">
        <is>
          <t>Metal</t>
        </is>
      </c>
      <c r="E46" s="4" t="n">
        <v>24</v>
      </c>
      <c r="F46" s="4" t="inlineStr">
        <is>
          <t>Pc</t>
        </is>
      </c>
      <c r="G46" s="4" t="n">
        <v>888</v>
      </c>
      <c r="H46" s="4" t="n">
        <v>600</v>
      </c>
      <c r="I46" s="4" t="inlineStr">
        <is>
          <t>94039990</t>
        </is>
      </c>
      <c r="J46" s="4" t="inlineStr">
        <is>
          <t>9403 99 10</t>
        </is>
      </c>
      <c r="K46" s="5" t="inlineStr">
        <is>
          <t>FORMÁT KN + OVĚŘIT</t>
        </is>
      </c>
      <c r="L46" s="4" t="inlineStr">
        <is>
          <t>94039990 v KN = díly z jiných materiálů než kov; kovové díly nábytku → 9403 99 10. POZOR VPV 2a: 24 podnoží + 24 desek (pol. 46) = pravděpodobně nesmontované kompletní stoly → zařazení jako stůl (dřevěný nábytek 9403 60 xx). Nejednoznačné – rozhodnout / konzultovat.</t>
        </is>
      </c>
      <c r="M46" s="4" t="inlineStr">
        <is>
          <t>Kovová podnož nízkého stolu</t>
        </is>
      </c>
    </row>
    <row r="47">
      <c r="A47" s="4" t="n">
        <v>46</v>
      </c>
      <c r="B47" s="4" t="inlineStr">
        <is>
          <t>Table face</t>
        </is>
      </c>
      <c r="C47" s="4" t="inlineStr">
        <is>
          <t>Mặt bàn</t>
        </is>
      </c>
      <c r="D47" s="4" t="inlineStr">
        <is>
          <t>Wood</t>
        </is>
      </c>
      <c r="E47" s="4" t="n">
        <v>24</v>
      </c>
      <c r="F47" s="4" t="inlineStr">
        <is>
          <t>Pc</t>
        </is>
      </c>
      <c r="G47" s="4" t="n">
        <v>2808</v>
      </c>
      <c r="H47" s="4" t="n">
        <v>432</v>
      </c>
      <c r="I47" s="4" t="inlineStr">
        <is>
          <t>94034000</t>
        </is>
      </c>
      <c r="J47" s="4" t="inlineStr">
        <is>
          <t>9403 91 00</t>
        </is>
      </c>
      <c r="K47" s="9" t="inlineStr">
        <is>
          <t>PŘEŘAZENÍ + OVĚŘIT</t>
        </is>
      </c>
      <c r="L47" s="4" t="inlineStr">
        <is>
          <t>Stolní deska = díl nábytku ze dřeva 9403 91 00, ne kuchyňský nábytek 9403 40 00. Viz VPV 2a u pol. 45.</t>
        </is>
      </c>
      <c r="M47" s="4" t="inlineStr">
        <is>
          <t>Dřevěná stolní deska</t>
        </is>
      </c>
    </row>
    <row r="48">
      <c r="A48" s="4" t="n">
        <v>47</v>
      </c>
      <c r="B48" s="4" t="inlineStr">
        <is>
          <t>Setup Knife</t>
        </is>
      </c>
      <c r="C48" s="4" t="inlineStr">
        <is>
          <t>Dao setup bàn</t>
        </is>
      </c>
      <c r="D48" s="4" t="inlineStr">
        <is>
          <t>stainless steel</t>
        </is>
      </c>
      <c r="E48" s="4" t="n">
        <v>200</v>
      </c>
      <c r="F48" s="4" t="inlineStr">
        <is>
          <t>Pc</t>
        </is>
      </c>
      <c r="G48" s="4" t="n">
        <v>160</v>
      </c>
      <c r="H48" s="4" t="n">
        <v>8.82</v>
      </c>
      <c r="I48" s="4" t="inlineStr">
        <is>
          <t>82159900</t>
        </is>
      </c>
      <c r="J48" s="4" t="inlineStr">
        <is>
          <t>8211 91 00</t>
        </is>
      </c>
      <c r="K48" s="9" t="inlineStr">
        <is>
          <t>PŘEŘAZENÍ</t>
        </is>
      </c>
      <c r="L48" s="4" t="inlineStr">
        <is>
          <t>Jídelní nůž s pevnou čepelí → 8211 91 00 (ne 8215), viz pol. 24. Hrubá hmotnost: karton sdílen s pol. 21, 22, 23, 55, 56, 57, 58, 60, rozpočteno podle hodnoty.</t>
        </is>
      </c>
      <c r="M48" s="4" t="inlineStr">
        <is>
          <t>Nerezový jídelní nůž</t>
        </is>
      </c>
    </row>
    <row r="49">
      <c r="A49" s="4" t="n">
        <v>48</v>
      </c>
      <c r="B49" s="4" t="inlineStr">
        <is>
          <t>Chimichurri cup</t>
        </is>
      </c>
      <c r="C49" s="4" t="inlineStr">
        <is>
          <t>Chén chấm</t>
        </is>
      </c>
      <c r="D49" s="4" t="inlineStr">
        <is>
          <t>Melanine</t>
        </is>
      </c>
      <c r="E49" s="4" t="n">
        <v>1000</v>
      </c>
      <c r="F49" s="4" t="inlineStr">
        <is>
          <t>Pc</t>
        </is>
      </c>
      <c r="G49" s="4" t="n">
        <v>500</v>
      </c>
      <c r="H49" s="4" t="n">
        <v>84</v>
      </c>
      <c r="I49" s="4" t="inlineStr">
        <is>
          <t>39241010</t>
        </is>
      </c>
      <c r="J49" s="4" t="inlineStr">
        <is>
          <t>3924 10 00</t>
        </is>
      </c>
      <c r="K49" s="8" t="inlineStr">
        <is>
          <t>FORMÁT KN</t>
        </is>
      </c>
      <c r="L49" s="4" t="inlineStr">
        <is>
          <t>Viz pol. 26.</t>
        </is>
      </c>
      <c r="M49" s="4" t="inlineStr">
        <is>
          <t>Melaminová miska na chimichurri</t>
        </is>
      </c>
    </row>
    <row r="50">
      <c r="A50" s="4" t="n">
        <v>49</v>
      </c>
      <c r="B50" s="4" t="inlineStr">
        <is>
          <t>Bill Holder</t>
        </is>
      </c>
      <c r="C50" s="4" t="inlineStr">
        <is>
          <t>In folder - Bìa đựng bill</t>
        </is>
      </c>
      <c r="D50" s="4" t="inlineStr">
        <is>
          <t>Paper</t>
        </is>
      </c>
      <c r="E50" s="4" t="n">
        <v>500</v>
      </c>
      <c r="F50" s="4" t="inlineStr">
        <is>
          <t>Pc</t>
        </is>
      </c>
      <c r="G50" s="4" t="n">
        <v>100</v>
      </c>
      <c r="H50" s="4" t="n">
        <v>22</v>
      </c>
      <c r="I50" s="4" t="inlineStr">
        <is>
          <t>48203000</t>
        </is>
      </c>
      <c r="J50" s="4" t="inlineStr">
        <is>
          <t>4820 30 00</t>
        </is>
      </c>
      <c r="K50" s="10" t="inlineStr">
        <is>
          <t>OK</t>
        </is>
      </c>
      <c r="L50" s="4" t="inlineStr">
        <is>
          <t>Papírové desky na účet – 4820 30 00 platí. (Kůže/koženka → 4205.)</t>
        </is>
      </c>
      <c r="M50" s="4" t="inlineStr">
        <is>
          <t>Papírové desky na účet</t>
        </is>
      </c>
    </row>
    <row r="51">
      <c r="A51" s="4" t="n">
        <v>50</v>
      </c>
      <c r="B51" s="4" t="inlineStr">
        <is>
          <t>Round sign</t>
        </is>
      </c>
      <c r="C51" s="4" t="inlineStr">
        <is>
          <t>Bảng hiệu tròn</t>
        </is>
      </c>
      <c r="D51" s="4" t="inlineStr">
        <is>
          <t>Metal, plastic and stainless steel</t>
        </is>
      </c>
      <c r="E51" s="4" t="n">
        <v>2</v>
      </c>
      <c r="F51" s="4" t="inlineStr">
        <is>
          <t>Pc</t>
        </is>
      </c>
      <c r="G51" s="4" t="n">
        <v>1300</v>
      </c>
      <c r="H51" s="4" t="n">
        <v>105</v>
      </c>
      <c r="I51" s="4" t="inlineStr">
        <is>
          <t>83100000</t>
        </is>
      </c>
      <c r="J51" s="4" t="inlineStr">
        <is>
          <t>8310 00 00</t>
        </is>
      </c>
      <c r="K51" s="5" t="inlineStr">
        <is>
          <t>OK + OVĚŘIT</t>
        </is>
      </c>
      <c r="L51" s="4" t="inlineStr">
        <is>
          <t>Platí pro nepodsvícené cedule z obecného kovu. Pokud je cedule podsvícená (LED) → 9405 61/69 (8310 vylučuje výrobky čísla 9405). Ověřit.</t>
        </is>
      </c>
      <c r="M51" s="4" t="inlineStr">
        <is>
          <t>Kulatá reklamní cedule (kov, plast, nerez)</t>
        </is>
      </c>
    </row>
    <row r="52">
      <c r="A52" s="4" t="n">
        <v>51</v>
      </c>
      <c r="B52" s="4" t="inlineStr">
        <is>
          <t>Pin</t>
        </is>
      </c>
      <c r="C52" s="4" t="inlineStr">
        <is>
          <t>Huy hiệu</t>
        </is>
      </c>
      <c r="D52" s="4" t="inlineStr">
        <is>
          <t>Plastic</t>
        </is>
      </c>
      <c r="E52" s="4" t="n">
        <v>150</v>
      </c>
      <c r="F52" s="4" t="inlineStr">
        <is>
          <t>Pc</t>
        </is>
      </c>
      <c r="G52" s="4" t="n">
        <v>120</v>
      </c>
      <c r="H52" s="4" t="n">
        <v>0.63</v>
      </c>
      <c r="I52" s="4" t="inlineStr">
        <is>
          <t>39269099</t>
        </is>
      </c>
      <c r="J52" s="4" t="inlineStr">
        <is>
          <t>3926 90 97</t>
        </is>
      </c>
      <c r="K52" s="8" t="inlineStr">
        <is>
          <t>FORMÁT KN</t>
        </is>
      </c>
      <c r="L52" s="4" t="inlineStr">
        <is>
          <t>39269099 = kód odesílatele je vietnamský AHTN, v KN neexistuje → KN 3926 90 97 (ostatní výrobky z plastů). Hrubá hmotnost: karton sdílen s pol. 52, rozpočteno podle hodnoty.</t>
        </is>
      </c>
      <c r="M52" s="4" t="inlineStr">
        <is>
          <t>Plastový odznak</t>
        </is>
      </c>
    </row>
    <row r="53">
      <c r="A53" s="4" t="n">
        <v>52</v>
      </c>
      <c r="B53" s="4" t="inlineStr">
        <is>
          <t>Clip</t>
        </is>
      </c>
      <c r="C53" s="4" t="inlineStr">
        <is>
          <t>Kẹp cà vạt</t>
        </is>
      </c>
      <c r="D53" s="4" t="inlineStr">
        <is>
          <t>Metal</t>
        </is>
      </c>
      <c r="E53" s="4" t="n">
        <v>100</v>
      </c>
      <c r="F53" s="4" t="inlineStr">
        <is>
          <t>Pc</t>
        </is>
      </c>
      <c r="G53" s="4" t="n">
        <v>260</v>
      </c>
      <c r="H53" s="4" t="n">
        <v>1.37</v>
      </c>
      <c r="I53" s="4" t="inlineStr">
        <is>
          <t>83089090</t>
        </is>
      </c>
      <c r="J53" s="4" t="inlineStr">
        <is>
          <t>7117 19 00</t>
        </is>
      </c>
      <c r="K53" s="9" t="inlineStr">
        <is>
          <t>PŘEŘAZENÍ</t>
        </is>
      </c>
      <c r="L53" s="4" t="inlineStr">
        <is>
          <t>VN 'Kẹp cà vạt' = spona na kravatu = bižuterie z obecného kovu → 7117 19 00, ne spony/přezky 8308 90. Hrubá hmotnost: karton sdílen s pol. 51, rozpočteno podle hodnoty.</t>
        </is>
      </c>
      <c r="M53" s="4" t="inlineStr">
        <is>
          <t>Kovová spona na kravatu</t>
        </is>
      </c>
    </row>
    <row r="54">
      <c r="A54" s="4" t="n">
        <v>53</v>
      </c>
      <c r="B54" s="4" t="inlineStr">
        <is>
          <t>Tie</t>
        </is>
      </c>
      <c r="C54" s="4" t="inlineStr">
        <is>
          <t>Cà vạt</t>
        </is>
      </c>
      <c r="D54" s="4" t="inlineStr">
        <is>
          <t>Fabric</t>
        </is>
      </c>
      <c r="E54" s="4" t="n">
        <v>150</v>
      </c>
      <c r="F54" s="4" t="inlineStr">
        <is>
          <t>Pc</t>
        </is>
      </c>
      <c r="G54" s="4" t="n">
        <v>450</v>
      </c>
      <c r="H54" s="4" t="n">
        <v>6</v>
      </c>
      <c r="I54" s="4" t="inlineStr">
        <is>
          <t>62152090</t>
        </is>
      </c>
      <c r="J54" s="4" t="inlineStr">
        <is>
          <t>6215 20 00</t>
        </is>
      </c>
      <c r="K54" s="5" t="inlineStr">
        <is>
          <t>FORMÁT KN + OVĚŘIT</t>
        </is>
      </c>
      <c r="L54" s="4" t="inlineStr">
        <is>
          <t>62152090 = kód odesílatele je vietnamský AHTN, v KN neexistuje → KN 6215 20 00 (kravaty z chemických vláken). Hedvábí → 6215 10 00, pletené → 6117 80. Hrubá hmotnost: karton sdílen s pol. 61, rozpočteno podle hodnoty.</t>
        </is>
      </c>
      <c r="M54" s="4" t="inlineStr">
        <is>
          <t>Kravata</t>
        </is>
      </c>
    </row>
    <row r="55">
      <c r="A55" s="4" t="n">
        <v>54</v>
      </c>
      <c r="B55" s="4" t="inlineStr">
        <is>
          <t>Butcher sign</t>
        </is>
      </c>
      <c r="C55" s="4" t="inlineStr">
        <is>
          <t>Bảng hiệu Butcher</t>
        </is>
      </c>
      <c r="D55" s="4" t="inlineStr">
        <is>
          <t>Metal, plastic and stainless steel</t>
        </is>
      </c>
      <c r="E55" s="4" t="n">
        <v>5</v>
      </c>
      <c r="F55" s="4" t="inlineStr">
        <is>
          <t>Pc</t>
        </is>
      </c>
      <c r="G55" s="4" t="n">
        <v>840</v>
      </c>
      <c r="H55" s="4" t="n">
        <v>21</v>
      </c>
      <c r="I55" s="4" t="inlineStr">
        <is>
          <t>83100000</t>
        </is>
      </c>
      <c r="J55" s="4" t="inlineStr">
        <is>
          <t>8310 00 00</t>
        </is>
      </c>
      <c r="K55" s="5" t="inlineStr">
        <is>
          <t>OK + OVĚŘIT</t>
        </is>
      </c>
      <c r="L55" s="4" t="inlineStr">
        <is>
          <t>Viz pol. 50.</t>
        </is>
      </c>
      <c r="M55" s="4" t="inlineStr">
        <is>
          <t>Cedule 'Butcher' (kov, plast, nerez)</t>
        </is>
      </c>
    </row>
    <row r="56">
      <c r="A56" s="4" t="n">
        <v>55</v>
      </c>
      <c r="B56" s="4" t="inlineStr">
        <is>
          <t>Latte spoon</t>
        </is>
      </c>
      <c r="C56" s="4" t="inlineStr">
        <is>
          <t>Muỗng latte</t>
        </is>
      </c>
      <c r="D56" s="4" t="inlineStr">
        <is>
          <t>Stainless steel</t>
        </is>
      </c>
      <c r="E56" s="4" t="n">
        <v>60</v>
      </c>
      <c r="F56" s="4" t="inlineStr">
        <is>
          <t>Pc</t>
        </is>
      </c>
      <c r="G56" s="4" t="n">
        <v>24</v>
      </c>
      <c r="H56" s="4" t="n">
        <v>1.32</v>
      </c>
      <c r="I56" s="4" t="inlineStr">
        <is>
          <t>82159900</t>
        </is>
      </c>
      <c r="J56" s="4" t="inlineStr">
        <is>
          <t>8215 99 10</t>
        </is>
      </c>
      <c r="K56" s="8" t="inlineStr">
        <is>
          <t>FORMÁT KN</t>
        </is>
      </c>
      <c r="L56" s="4" t="inlineStr">
        <is>
          <t>Viz pol. 21. Hrubá hmotnost: karton sdílen s pol. 21, 22, 23, 47, 56, 57, 58, 60, rozpočteno podle hodnoty.</t>
        </is>
      </c>
      <c r="M56" s="4" t="inlineStr">
        <is>
          <t>Nerezová lžička na latte</t>
        </is>
      </c>
    </row>
    <row r="57">
      <c r="A57" s="4" t="n">
        <v>56</v>
      </c>
      <c r="B57" s="4" t="inlineStr">
        <is>
          <t>Dessert Spoon</t>
        </is>
      </c>
      <c r="C57" s="4" t="inlineStr">
        <is>
          <t>Muỗng tráng miệng</t>
        </is>
      </c>
      <c r="D57" s="4" t="inlineStr">
        <is>
          <t>Stainless steel</t>
        </is>
      </c>
      <c r="E57" s="4" t="n">
        <v>100</v>
      </c>
      <c r="F57" s="4" t="inlineStr">
        <is>
          <t>Pc</t>
        </is>
      </c>
      <c r="G57" s="4" t="n">
        <v>50</v>
      </c>
      <c r="H57" s="4" t="n">
        <v>2.76</v>
      </c>
      <c r="I57" s="4" t="inlineStr">
        <is>
          <t>82159900</t>
        </is>
      </c>
      <c r="J57" s="4" t="inlineStr">
        <is>
          <t>8215 99 10</t>
        </is>
      </c>
      <c r="K57" s="8" t="inlineStr">
        <is>
          <t>FORMÁT KN</t>
        </is>
      </c>
      <c r="L57" s="4" t="inlineStr">
        <is>
          <t>Viz pol. 21. Hrubá hmotnost: karton sdílen s pol. 21, 22, 23, 47, 55, 57, 58, 60, rozpočteno podle hodnoty.</t>
        </is>
      </c>
      <c r="M57" s="4" t="inlineStr">
        <is>
          <t>Nerezová dezertní lžička</t>
        </is>
      </c>
    </row>
    <row r="58">
      <c r="A58" s="4" t="n">
        <v>57</v>
      </c>
      <c r="B58" s="4" t="inlineStr">
        <is>
          <t>Dessert Fork</t>
        </is>
      </c>
      <c r="C58" s="4" t="inlineStr">
        <is>
          <t>Nĩa tráng miệng</t>
        </is>
      </c>
      <c r="D58" s="4" t="inlineStr">
        <is>
          <t>Stainless steel</t>
        </is>
      </c>
      <c r="E58" s="4" t="n">
        <v>100</v>
      </c>
      <c r="F58" s="4" t="inlineStr">
        <is>
          <t>Pc</t>
        </is>
      </c>
      <c r="G58" s="4" t="n">
        <v>60</v>
      </c>
      <c r="H58" s="4" t="n">
        <v>3.31</v>
      </c>
      <c r="I58" s="4" t="inlineStr">
        <is>
          <t>82159900</t>
        </is>
      </c>
      <c r="J58" s="4" t="inlineStr">
        <is>
          <t>8215 99 10</t>
        </is>
      </c>
      <c r="K58" s="8" t="inlineStr">
        <is>
          <t>FORMÁT KN</t>
        </is>
      </c>
      <c r="L58" s="4" t="inlineStr">
        <is>
          <t>Viz pol. 21. Hrubá hmotnost: karton sdílen s pol. 21, 22, 23, 47, 55, 56, 58, 60, rozpočteno podle hodnoty.</t>
        </is>
      </c>
      <c r="M58" s="4" t="inlineStr">
        <is>
          <t>Nerezová dezertní vidlička</t>
        </is>
      </c>
    </row>
    <row r="59">
      <c r="A59" s="4" t="n">
        <v>58</v>
      </c>
      <c r="B59" s="4" t="inlineStr">
        <is>
          <t>Small spoon</t>
        </is>
      </c>
      <c r="C59" s="4" t="inlineStr">
        <is>
          <t>Muỗng nhỏ</t>
        </is>
      </c>
      <c r="D59" s="4" t="inlineStr">
        <is>
          <t>Stainless steel</t>
        </is>
      </c>
      <c r="E59" s="4" t="n">
        <v>60</v>
      </c>
      <c r="F59" s="4" t="inlineStr">
        <is>
          <t>Pc</t>
        </is>
      </c>
      <c r="G59" s="4" t="n">
        <v>18</v>
      </c>
      <c r="H59" s="4" t="n">
        <v>0.99</v>
      </c>
      <c r="I59" s="4" t="inlineStr">
        <is>
          <t>82159900</t>
        </is>
      </c>
      <c r="J59" s="4" t="inlineStr">
        <is>
          <t>8215 99 10</t>
        </is>
      </c>
      <c r="K59" s="8" t="inlineStr">
        <is>
          <t>FORMÁT KN</t>
        </is>
      </c>
      <c r="L59" s="4" t="inlineStr">
        <is>
          <t>Viz pol. 21. Hrubá hmotnost: karton sdílen s pol. 21, 22, 23, 47, 55, 56, 57, 60, rozpočteno podle hodnoty.</t>
        </is>
      </c>
      <c r="M59" s="4" t="inlineStr">
        <is>
          <t>Nerezová malá lžička</t>
        </is>
      </c>
    </row>
    <row r="60">
      <c r="A60" s="4" t="n">
        <v>59</v>
      </c>
      <c r="B60" s="4" t="inlineStr">
        <is>
          <t>Apron</t>
        </is>
      </c>
      <c r="C60" s="4" t="inlineStr">
        <is>
          <t>Tạp dề</t>
        </is>
      </c>
      <c r="D60" s="4" t="inlineStr">
        <is>
          <t>Fabric</t>
        </is>
      </c>
      <c r="E60" s="4" t="n">
        <v>154</v>
      </c>
      <c r="F60" s="4" t="inlineStr">
        <is>
          <t>Pc</t>
        </is>
      </c>
      <c r="G60" s="4" t="n">
        <v>1386</v>
      </c>
      <c r="H60" s="4" t="n">
        <v>24</v>
      </c>
      <c r="I60" s="4" t="inlineStr">
        <is>
          <t>62114390</t>
        </is>
      </c>
      <c r="J60" s="4" t="inlineStr">
        <is>
          <t>6211 43 10</t>
        </is>
      </c>
      <c r="K60" s="5" t="inlineStr">
        <is>
          <t>FORMÁT KN + OVĚŘIT</t>
        </is>
      </c>
      <c r="L60" s="4" t="inlineStr">
        <is>
          <t>62114390 = kód odesílatele je vietnamský AHTN, v KN neexistuje → KN 6211 43 10 (zástěry a pracovní oděvy, chemická vlákna). Bavlna → 6211 42 10.</t>
        </is>
      </c>
      <c r="M60" s="4" t="inlineStr">
        <is>
          <t>Zástěra</t>
        </is>
      </c>
    </row>
    <row r="61">
      <c r="A61" s="4" t="n">
        <v>60</v>
      </c>
      <c r="B61" s="4" t="inlineStr">
        <is>
          <t>Hot Plate Glove</t>
        </is>
      </c>
      <c r="C61" s="4" t="inlineStr">
        <is>
          <t>Găng tay</t>
        </is>
      </c>
      <c r="D61" s="4" t="inlineStr">
        <is>
          <t>Fabric</t>
        </is>
      </c>
      <c r="E61" s="4" t="n">
        <v>30</v>
      </c>
      <c r="F61" s="4" t="inlineStr">
        <is>
          <t>Pair</t>
        </is>
      </c>
      <c r="G61" s="4" t="n">
        <v>39</v>
      </c>
      <c r="H61" s="4" t="n">
        <v>2.15</v>
      </c>
      <c r="I61" s="4" t="inlineStr">
        <is>
          <t>62160099</t>
        </is>
      </c>
      <c r="J61" s="4" t="inlineStr">
        <is>
          <t>6216 00 00</t>
        </is>
      </c>
      <c r="K61" s="8" t="inlineStr">
        <is>
          <t>FORMÁT KN</t>
        </is>
      </c>
      <c r="L61" s="4" t="inlineStr">
        <is>
          <t>62160099 = kód odesílatele je vietnamský AHTN, v KN neexistuje → KN 6216 00 00 (tkané rukavice). Pletené → 6116. Hrubá hmotnost: karton sdílen s pol. 21, 22, 23, 47, 55, 56, 57, 58, rozpočteno podle hodnoty.</t>
        </is>
      </c>
      <c r="M61" s="4" t="inlineStr">
        <is>
          <t>Chňapka / rukavice na horké talíře (pár)</t>
        </is>
      </c>
    </row>
    <row r="62">
      <c r="A62" s="4" t="n">
        <v>61</v>
      </c>
      <c r="B62" s="4" t="inlineStr">
        <is>
          <t>Cap</t>
        </is>
      </c>
      <c r="C62" s="4" t="inlineStr">
        <is>
          <t>Nón nam</t>
        </is>
      </c>
      <c r="D62" s="4" t="inlineStr">
        <is>
          <t>Fabric</t>
        </is>
      </c>
      <c r="E62" s="4" t="n">
        <v>50</v>
      </c>
      <c r="F62" s="4" t="inlineStr">
        <is>
          <t>Pc</t>
        </is>
      </c>
      <c r="G62" s="4" t="n">
        <v>150</v>
      </c>
      <c r="H62" s="4" t="n">
        <v>2</v>
      </c>
      <c r="I62" s="4" t="inlineStr">
        <is>
          <t>65050090</t>
        </is>
      </c>
      <c r="J62" s="4" t="inlineStr">
        <is>
          <t>6505 00 30</t>
        </is>
      </c>
      <c r="K62" s="5" t="inlineStr">
        <is>
          <t>FORMÁT KN + OVĚŘIT</t>
        </is>
      </c>
      <c r="L62" s="4" t="inlineStr">
        <is>
          <t>65050090 = kód odesílatele je vietnamský AHTN, v KN neexistuje; v KN je 6505 00 90 'ostatní'. Kšiltovka → 6505 00 30. Ověřit typ. Hrubá hmotnost: karton sdílen s pol. 53, rozpočteno podle hodnoty.</t>
        </is>
      </c>
      <c r="M62" s="4" t="inlineStr">
        <is>
          <t>Kšiltovka</t>
        </is>
      </c>
    </row>
    <row r="63">
      <c r="A63" s="4" t="n">
        <v>62</v>
      </c>
      <c r="B63" s="4" t="inlineStr">
        <is>
          <t>Black Towel</t>
        </is>
      </c>
      <c r="C63" s="4" t="inlineStr">
        <is>
          <t>Khăn đen</t>
        </is>
      </c>
      <c r="D63" s="4" t="inlineStr">
        <is>
          <t>Fabric</t>
        </is>
      </c>
      <c r="E63" s="4" t="n">
        <v>500</v>
      </c>
      <c r="F63" s="4" t="inlineStr">
        <is>
          <t>Pc</t>
        </is>
      </c>
      <c r="G63" s="4" t="n">
        <v>500</v>
      </c>
      <c r="H63" s="4" t="n">
        <v>37</v>
      </c>
      <c r="I63" s="4" t="inlineStr">
        <is>
          <t>63026000</t>
        </is>
      </c>
      <c r="J63" s="4" t="inlineStr">
        <is>
          <t>6302 60 00</t>
        </is>
      </c>
      <c r="K63" s="5" t="inlineStr">
        <is>
          <t>OK + OVĚŘIT</t>
        </is>
      </c>
      <c r="L63" s="4" t="inlineStr">
        <is>
          <t>Platí pro froté z bavlny. Nefroté → 6302 91 00 (bavlna) / 6302 93 xx (chem. vlákna).</t>
        </is>
      </c>
      <c r="M63" s="4" t="inlineStr">
        <is>
          <t>Černý ručník</t>
        </is>
      </c>
    </row>
    <row r="64">
      <c r="A64" s="4" t="n">
        <v>63</v>
      </c>
      <c r="B64" s="4" t="inlineStr">
        <is>
          <t>Peanut bowl</t>
        </is>
      </c>
      <c r="C64" s="4" t="inlineStr">
        <is>
          <t>Chén đựng đậu phộng</t>
        </is>
      </c>
      <c r="D64" s="4" t="inlineStr">
        <is>
          <t>Melanine</t>
        </is>
      </c>
      <c r="E64" s="4" t="n">
        <v>500</v>
      </c>
      <c r="F64" s="4" t="inlineStr">
        <is>
          <t>Pc</t>
        </is>
      </c>
      <c r="G64" s="4" t="n">
        <v>250</v>
      </c>
      <c r="H64" s="4" t="n">
        <v>42</v>
      </c>
      <c r="I64" s="4" t="inlineStr">
        <is>
          <t>39241010</t>
        </is>
      </c>
      <c r="J64" s="4" t="inlineStr">
        <is>
          <t>3924 10 00</t>
        </is>
      </c>
      <c r="K64" s="8" t="inlineStr">
        <is>
          <t>FORMÁT KN</t>
        </is>
      </c>
      <c r="L64" s="4" t="inlineStr">
        <is>
          <t>Viz pol. 26.</t>
        </is>
      </c>
      <c r="M64" s="4" t="inlineStr">
        <is>
          <t>Melaminová miska na arašídy</t>
        </is>
      </c>
    </row>
    <row r="65">
      <c r="A65" s="4" t="n">
        <v>64</v>
      </c>
      <c r="B65" s="4" t="inlineStr">
        <is>
          <t>Caviar spoon</t>
        </is>
      </c>
      <c r="C65" s="4" t="inlineStr">
        <is>
          <t>Thìa trai</t>
        </is>
      </c>
      <c r="D65" s="4" t="inlineStr">
        <is>
          <t>Plastic</t>
        </is>
      </c>
      <c r="E65" s="4" t="n">
        <v>24</v>
      </c>
      <c r="F65" s="4" t="inlineStr">
        <is>
          <t>Pc</t>
        </is>
      </c>
      <c r="G65" s="4" t="n">
        <v>16.8</v>
      </c>
      <c r="H65" s="4" t="n">
        <v>1.04</v>
      </c>
      <c r="I65" s="4" t="inlineStr">
        <is>
          <t>39241010</t>
        </is>
      </c>
      <c r="J65" s="4" t="inlineStr">
        <is>
          <t>3924 10 00</t>
        </is>
      </c>
      <c r="K65" s="5" t="inlineStr">
        <is>
          <t>FORMÁT KN + OVĚŘIT</t>
        </is>
      </c>
      <c r="L65" s="4" t="inlineStr">
        <is>
          <t>39241010 = kód odesílatele je vietnamský AHTN, v KN neexistuje → KN 3924 10 00. POZOR: VN 'Thìa trai' = lžička z perleti, faktura uvádí plast. Pokud perleť → 9601 90 00. Hrubá hmotnost: karton sdílen s pol. 29, rozpočteno podle hodnoty.</t>
        </is>
      </c>
      <c r="M65" s="4" t="inlineStr">
        <is>
          <t>Lžička na kaviár</t>
        </is>
      </c>
    </row>
    <row r="66">
      <c r="A66" s="4" t="n">
        <v>65</v>
      </c>
      <c r="B66" s="4" t="inlineStr">
        <is>
          <t>Coaster</t>
        </is>
      </c>
      <c r="C66" s="4" t="inlineStr">
        <is>
          <t>Đế lót ly</t>
        </is>
      </c>
      <c r="D66" s="4" t="inlineStr">
        <is>
          <t>Paper</t>
        </is>
      </c>
      <c r="E66" s="4" t="n">
        <v>500</v>
      </c>
      <c r="F66" s="4" t="inlineStr">
        <is>
          <t>Pc</t>
        </is>
      </c>
      <c r="G66" s="4" t="n">
        <v>50</v>
      </c>
      <c r="H66" s="4" t="n">
        <v>16</v>
      </c>
      <c r="I66" s="4" t="inlineStr">
        <is>
          <t>48239099</t>
        </is>
      </c>
      <c r="J66" s="4" t="inlineStr">
        <is>
          <t>4823 90 85</t>
        </is>
      </c>
      <c r="K66" s="8" t="inlineStr">
        <is>
          <t>FORMÁT KN</t>
        </is>
      </c>
      <c r="L66" s="4" t="inlineStr">
        <is>
          <t>48239099 = kód odesílatele je vietnamský AHTN, v KN neexistuje → KN 4823 90 85 (ostatní výrobky z papíru).</t>
        </is>
      </c>
      <c r="M66" s="4" t="inlineStr">
        <is>
          <t>Papírový tácek pod sklenici</t>
        </is>
      </c>
    </row>
    <row r="67">
      <c r="A67" s="4" t="n">
        <v>66</v>
      </c>
      <c r="B67" s="4" t="inlineStr">
        <is>
          <t>Kitchen</t>
        </is>
      </c>
      <c r="C67" s="4" t="inlineStr">
        <is>
          <t>Áo Bếp</t>
        </is>
      </c>
      <c r="D67" s="4" t="inlineStr">
        <is>
          <t>Fabric</t>
        </is>
      </c>
      <c r="E67" s="4" t="n">
        <v>317</v>
      </c>
      <c r="F67" s="4" t="inlineStr">
        <is>
          <t>Pc</t>
        </is>
      </c>
      <c r="G67" s="4" t="n">
        <v>7291</v>
      </c>
      <c r="H67" s="4" t="n">
        <v>144</v>
      </c>
      <c r="I67" s="4" t="inlineStr">
        <is>
          <t>62113290</t>
        </is>
      </c>
      <c r="J67" s="4" t="inlineStr">
        <is>
          <t>6211 32 10</t>
        </is>
      </c>
      <c r="K67" s="5" t="inlineStr">
        <is>
          <t>FORMÁT KN + OVĚŘIT</t>
        </is>
      </c>
      <c r="L67" s="4" t="inlineStr">
        <is>
          <t>VN 'Áo Bếp' = kuchařský rondon. 62113290 = kód odesílatele je vietnamský AHTN, v KN neexistuje → KN 6211 32 10 (pánské pracovní oděvy, bavlna). Chem. vlákna → 6211 33 10; unisex → dámské (Pozn. 9 ke kap. 62) 6211 42 10. Alternativa: bunda 6203 32 10. Doplnit složení.</t>
        </is>
      </c>
      <c r="M67" s="4" t="inlineStr">
        <is>
          <t>Kuchařský rondon</t>
        </is>
      </c>
    </row>
    <row r="68">
      <c r="A68" s="4" t="n">
        <v>67</v>
      </c>
      <c r="B68" s="4" t="inlineStr">
        <is>
          <t>Polo</t>
        </is>
      </c>
      <c r="C68" s="4" t="inlineStr">
        <is>
          <t>Áo polo</t>
        </is>
      </c>
      <c r="D68" s="4" t="inlineStr">
        <is>
          <t>Fabric</t>
        </is>
      </c>
      <c r="E68" s="4" t="n">
        <v>442</v>
      </c>
      <c r="F68" s="4" t="inlineStr">
        <is>
          <t>Pc</t>
        </is>
      </c>
      <c r="G68" s="4" t="n">
        <v>3536</v>
      </c>
      <c r="H68" s="4" t="n">
        <v>154</v>
      </c>
      <c r="I68" s="4" t="inlineStr">
        <is>
          <t>61051000</t>
        </is>
      </c>
      <c r="J68" s="4" t="inlineStr">
        <is>
          <t>6105 10 00</t>
        </is>
      </c>
      <c r="K68" s="5" t="inlineStr">
        <is>
          <t>OK + OVĚŘIT</t>
        </is>
      </c>
      <c r="L68" s="4" t="inlineStr">
        <is>
          <t>Platí pro pánské pletené polokošile z bavlny. Chem. vlákna → 6105 20 10; unisex → dámské 6106 10 00.</t>
        </is>
      </c>
      <c r="M68" s="4" t="inlineStr">
        <is>
          <t>Polokošile</t>
        </is>
      </c>
    </row>
    <row r="69">
      <c r="A69" s="4" t="n">
        <v>68</v>
      </c>
      <c r="B69" s="4" t="inlineStr">
        <is>
          <t>T-Shirt</t>
        </is>
      </c>
      <c r="C69" s="4" t="inlineStr">
        <is>
          <t>Áo thun</t>
        </is>
      </c>
      <c r="D69" s="4" t="inlineStr">
        <is>
          <t>Fabric</t>
        </is>
      </c>
      <c r="E69" s="4" t="n">
        <v>245</v>
      </c>
      <c r="F69" s="4" t="inlineStr">
        <is>
          <t>Pc</t>
        </is>
      </c>
      <c r="G69" s="4" t="n">
        <v>1715</v>
      </c>
      <c r="H69" s="4" t="n">
        <v>48</v>
      </c>
      <c r="I69" s="4" t="inlineStr">
        <is>
          <t>61091010</t>
        </is>
      </c>
      <c r="J69" s="4" t="inlineStr">
        <is>
          <t>6109 10 00</t>
        </is>
      </c>
      <c r="K69" s="8" t="inlineStr">
        <is>
          <t>FORMÁT KN</t>
        </is>
      </c>
      <c r="L69" s="4" t="inlineStr">
        <is>
          <t>61091010 = kód odesílatele je vietnamský AHTN, v KN neexistuje → KN 6109 10 00 (trička z bavlny).</t>
        </is>
      </c>
      <c r="M69" s="4" t="inlineStr">
        <is>
          <t>Tričko</t>
        </is>
      </c>
    </row>
    <row r="70">
      <c r="A70" s="4" t="n">
        <v>69</v>
      </c>
      <c r="B70" s="4" t="inlineStr">
        <is>
          <t>Polo Long Sleeve</t>
        </is>
      </c>
      <c r="C70" s="4" t="inlineStr">
        <is>
          <t>Áo polo tay dài</t>
        </is>
      </c>
      <c r="D70" s="4" t="inlineStr">
        <is>
          <t>Fabric</t>
        </is>
      </c>
      <c r="E70" s="4" t="n">
        <v>101</v>
      </c>
      <c r="F70" s="4" t="inlineStr">
        <is>
          <t>Pc</t>
        </is>
      </c>
      <c r="G70" s="4" t="n">
        <v>909</v>
      </c>
      <c r="H70" s="4" t="n">
        <v>28</v>
      </c>
      <c r="I70" s="4" t="inlineStr">
        <is>
          <t>61051000</t>
        </is>
      </c>
      <c r="J70" s="4" t="inlineStr">
        <is>
          <t>6105 10 00</t>
        </is>
      </c>
      <c r="K70" s="5" t="inlineStr">
        <is>
          <t>OK + OVĚŘIT</t>
        </is>
      </c>
      <c r="L70" s="4" t="inlineStr">
        <is>
          <t>Viz pol. 67.</t>
        </is>
      </c>
      <c r="M70" s="4" t="inlineStr">
        <is>
          <t>Polokošile s dlouhým rukávem</t>
        </is>
      </c>
    </row>
    <row r="71">
      <c r="A71" s="4" t="n">
        <v>70</v>
      </c>
      <c r="B71" s="4" t="inlineStr">
        <is>
          <t>Trouser</t>
        </is>
      </c>
      <c r="C71" s="4" t="inlineStr">
        <is>
          <t>Quần dài</t>
        </is>
      </c>
      <c r="D71" s="4" t="inlineStr">
        <is>
          <t>Fabric</t>
        </is>
      </c>
      <c r="E71" s="4" t="n">
        <v>63</v>
      </c>
      <c r="F71" s="4" t="inlineStr">
        <is>
          <t>Pc</t>
        </is>
      </c>
      <c r="G71" s="4" t="n">
        <v>945</v>
      </c>
      <c r="H71" s="4" t="n">
        <v>30</v>
      </c>
      <c r="I71" s="4" t="inlineStr">
        <is>
          <t>62034290</t>
        </is>
      </c>
      <c r="J71" s="4" t="inlineStr">
        <is>
          <t>6203 42 35</t>
        </is>
      </c>
      <c r="K71" s="9" t="inlineStr">
        <is>
          <t>PŘEŘAZENÍ</t>
        </is>
      </c>
      <c r="L71" s="4" t="inlineStr">
        <is>
          <t>62034290 v KN = ŠORTKY. Dlouhé kalhoty z bavlny → 6203 42 35 (pracovní/kuchařské → 6203 42 11).</t>
        </is>
      </c>
      <c r="M71" s="4" t="inlineStr">
        <is>
          <t>Kalhoty dlouhé</t>
        </is>
      </c>
    </row>
    <row r="72">
      <c r="A72" s="4" t="n">
        <v>71</v>
      </c>
      <c r="B72" s="4" t="inlineStr">
        <is>
          <t>Floor Uniform - Men</t>
        </is>
      </c>
      <c r="C72" s="4" t="inlineStr">
        <is>
          <t>Áo sơ mi nam</t>
        </is>
      </c>
      <c r="D72" s="4" t="inlineStr">
        <is>
          <t>Fabric</t>
        </is>
      </c>
      <c r="E72" s="4" t="n">
        <v>411</v>
      </c>
      <c r="F72" s="4" t="inlineStr">
        <is>
          <t>Pc</t>
        </is>
      </c>
      <c r="G72" s="4" t="n">
        <v>3699</v>
      </c>
      <c r="H72" s="4" t="n">
        <v>143</v>
      </c>
      <c r="I72" s="4" t="inlineStr">
        <is>
          <t>61051000</t>
        </is>
      </c>
      <c r="J72" s="4" t="inlineStr">
        <is>
          <t>6205 20 00</t>
        </is>
      </c>
      <c r="K72" s="9" t="inlineStr">
        <is>
          <t>PŘEŘAZENÍ + OVĚŘIT</t>
        </is>
      </c>
      <c r="L72" s="4" t="inlineStr">
        <is>
          <t>VN 'Áo sơ mi nam' = pánská košile – obvykle tkaná → 6205 20 00 (bavlna). Odesílatel uvedl pleteninu 6105 10 00, ale dámskou verzi (pol. 72) jako tkanou – nekonzistentní. Ověřit tkané/pletené a složení.</t>
        </is>
      </c>
      <c r="M72" s="4" t="inlineStr">
        <is>
          <t>Pánská košile – uniforma obsluhy</t>
        </is>
      </c>
    </row>
    <row r="73">
      <c r="A73" s="4" t="n">
        <v>72</v>
      </c>
      <c r="B73" s="4" t="inlineStr">
        <is>
          <t>Floor Uniform - Women</t>
        </is>
      </c>
      <c r="C73" s="4" t="inlineStr">
        <is>
          <t>Áo sơ mi nữ</t>
        </is>
      </c>
      <c r="D73" s="4" t="inlineStr">
        <is>
          <t>Fabric</t>
        </is>
      </c>
      <c r="E73" s="4" t="n">
        <v>337</v>
      </c>
      <c r="F73" s="4" t="inlineStr">
        <is>
          <t>Pc</t>
        </is>
      </c>
      <c r="G73" s="4" t="n">
        <v>3033</v>
      </c>
      <c r="H73" s="4" t="n">
        <v>84</v>
      </c>
      <c r="I73" s="4" t="inlineStr">
        <is>
          <t>62063090</t>
        </is>
      </c>
      <c r="J73" s="4" t="inlineStr">
        <is>
          <t>6206 30 00</t>
        </is>
      </c>
      <c r="K73" s="8" t="inlineStr">
        <is>
          <t>FORMÁT KN</t>
        </is>
      </c>
      <c r="L73" s="4" t="inlineStr">
        <is>
          <t>62063090 = kód odesílatele je vietnamský AHTN, v KN neexistuje → KN 6206 30 00 (dámské halenky a košile z bavlny).</t>
        </is>
      </c>
      <c r="M73" s="4" t="inlineStr">
        <is>
          <t>Dámská košile – uniforma obsluhy</t>
        </is>
      </c>
    </row>
    <row r="74">
      <c r="A74" s="4" t="n">
        <v>73</v>
      </c>
      <c r="B74" s="4" t="inlineStr">
        <is>
          <t>Proofer</t>
        </is>
      </c>
      <c r="C74" s="4" t="inlineStr">
        <is>
          <t>Tủ ủ bột</t>
        </is>
      </c>
      <c r="D74" s="4" t="inlineStr">
        <is>
          <t>Metal</t>
        </is>
      </c>
      <c r="E74" s="4" t="n">
        <v>2</v>
      </c>
      <c r="F74" s="4" t="inlineStr">
        <is>
          <t>Pc</t>
        </is>
      </c>
      <c r="G74" s="4" t="n">
        <v>1112</v>
      </c>
      <c r="H74" s="4" t="n">
        <v>446</v>
      </c>
      <c r="I74" s="4" t="inlineStr">
        <is>
          <t>84381000</t>
        </is>
      </c>
      <c r="J74" s="4" t="inlineStr">
        <is>
          <t>8438 10 10</t>
        </is>
      </c>
      <c r="K74" s="5" t="inlineStr">
        <is>
          <t>FORMÁT KN + OVĚŘIT</t>
        </is>
      </c>
      <c r="L74" s="4" t="inlineStr">
        <is>
          <t>VN 'Tủ ủ bột' = kynárna těsta. 84381000 = kód odesílatele je vietnamský AHTN, v KN neexistuje → KN 8438 10 10 (pekárenské stroje). Alternativa: 8419 (úprava materiálu změnou teploty). Nejednoznačné – zvážit konzultaci s customs.tariff@mauriceward.com.</t>
        </is>
      </c>
      <c r="M74" s="4" t="inlineStr">
        <is>
          <t>Kynárna na těsto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50" customWidth="1" min="1" max="1"/>
  </cols>
  <sheetData>
    <row r="1">
      <c r="A1" s="19" t="inlineStr">
        <is>
          <t>KONTROLA HS KÓDŮ OD ODESÍLATELE</t>
        </is>
      </c>
    </row>
    <row r="2">
      <c r="A2" s="20" t="inlineStr">
        <is>
          <t>Tabulka odesílatele obsahuje vietnamské kódy AHTN (8místné), ne kódy EU KN. U řady položek kód v KN vůbec neexistuje nebo znamená jiné zboží.</t>
        </is>
      </c>
    </row>
    <row r="3">
      <c r="A3" s="20" t="inlineStr">
        <is>
          <t>Výsledek po 73 položkách: FORMÁT KN = 31, OK = 23, OVĚŘIT = 2, PŘEŘAZENÍ = 17 (u části z nich navíc OVĚŘIT – viz list Kontrola zařazení).</t>
        </is>
      </c>
    </row>
    <row r="4">
      <c r="A4" s="20" t="inlineStr">
        <is>
          <t>Věcné chyby (PŘEŘAZENÍ): steakové a jídelní nože 8215 → 8211 91 00; parrilla tác/talíře 8215 → 7323 93 10; židle 9403 40 → 9401 69 00; stolní deska 9403 40 → 9403 91 00; papírové tašky 4819 50 → 4819 40 00; spona na kravatu 8308 → 7117 19 00; ubrousky 6302 60 → 6302 51/53; kalhoty 6203 42 90 (= šortky v KN) → 6203 42 35; láhev na vodku 7010 90 99 (= obaly pro jiné než nápoje) → 7010 90 43; kelímek z bagasy → 4823 70 90; pánská košile uniforma 6105 → 6205 20 00 (ověřit).</t>
        </is>
      </c>
    </row>
    <row r="5">
      <c r="A5" s="20" t="inlineStr">
        <is>
          <t>Všechny položky měly HS kód od odesílatele → pravidlo CCT/VPV KN pro chybějící kódy nebylo potřeba; přezkum proveden stejným postupem (Co to je / Z čeho / K čemu + VPV 1, 2a, 3).</t>
        </is>
      </c>
    </row>
    <row r="6">
      <c r="A6" s="20" t="inlineStr">
        <is>
          <t>Nejednoznačné – zvážit konzultaci s customs.tariff@mauriceward.com: (1) stoly – 24 podnoží + 24 desek jako nesmontované kompletní stoly (VPV 2a → 9403 60 xx) vs. díly; (2) kynárna 8438 10 10 vs. 8419; (3) LED lampa 9405 21 40 vs. 8513 10 00 (pokud na baterii).</t>
        </is>
      </c>
    </row>
    <row r="7">
      <c r="A7" s="20" t="inlineStr"/>
    </row>
    <row r="8">
      <c r="A8" s="19" t="inlineStr">
        <is>
          <t>POPIS ZBOŽÍ</t>
        </is>
      </c>
    </row>
    <row r="9">
      <c r="A9" s="21" t="inlineStr">
        <is>
          <t>⚠️ Klient nedodal český popis zboží. V dokladech je jen angličtina a vietnamština → ve sloupci Popis je anglický název z faktury. Sloupec „Pracovní CZ popis“ je náš překlad pro pohodlí – není od klienta, před použitím v JSD potvrdit.</t>
        </is>
      </c>
    </row>
    <row r="10">
      <c r="A10" s="20" t="inlineStr"/>
    </row>
    <row r="11">
      <c r="A11" s="19" t="inlineStr">
        <is>
          <t>INCOTERM</t>
        </is>
      </c>
    </row>
    <row r="12">
      <c r="A12" s="21" t="inlineStr">
        <is>
          <t>⚠️ Na faktuře ani PL není Incoterm ani místo dodání → nutno vyžádat (např. FOB Ho Chi Minh City / CIF …). Ovlivňuje celní hodnotu (doprava + pojištění do EU).</t>
        </is>
      </c>
    </row>
    <row r="13">
      <c r="A13" s="20" t="inlineStr"/>
    </row>
    <row r="14">
      <c r="A14" s="19" t="inlineStr">
        <is>
          <t>PŮVOD / PREFERENCE (COO, preferenční věta, REX)</t>
        </is>
      </c>
    </row>
    <row r="15">
      <c r="A15" s="21" t="inlineStr">
        <is>
          <t>⚠️ Preferenční věta (prohlášení o původu) NENÍ na faktuře ani v PL.</t>
        </is>
      </c>
    </row>
    <row r="16">
      <c r="A16" s="21" t="inlineStr">
        <is>
          <t>⚠️ REX číslo NENÍ uvedeno na faktuře.</t>
        </is>
      </c>
    </row>
    <row r="17">
      <c r="A17" s="20" t="inlineStr">
        <is>
          <t>Země původu není na faktuře výslovně uvedena (odesílatel je z Vietnamu). Pro VN platí dohoda EU–Vietnam (EVFTA): preferenční (snížené/nulové) clo jen s dokladem o původu (EUR.1 nebo prohlášení o původu na faktuře). Bez něj se uplatní konvenční clo třetích zemí (textil ~12 %, porcelán 12 %, nože atd.). Doporučujeme se zeptat odesílatele na EUR.1 / prohlášení o původu.</t>
        </is>
      </c>
    </row>
    <row r="18">
      <c r="A18" s="20" t="inlineStr"/>
    </row>
    <row r="19">
      <c r="A19" s="19" t="inlineStr">
        <is>
          <t>CBAM</t>
        </is>
      </c>
    </row>
    <row r="20">
      <c r="A20" s="20" t="inlineStr">
        <is>
          <t>Žádný navržený kód nespadá pod CBAM (příloha I: kap. 72, vybrané kódy 73 – 7323 ne, hliník, cement, hnojiva, vodík, elektřina). Kontrola registru: EL GAUCHO CZ (EORI/IČO 07545193) v reference/CBAM_receivers_CZ.xlsx NENÍ – pro tuto zásilku to nevadí, ale pokud by dovážel CBAM zboží, je nutné to řešit.</t>
        </is>
      </c>
    </row>
    <row r="21">
      <c r="A21" s="20" t="inlineStr"/>
    </row>
    <row r="22">
      <c r="A22" s="19" t="inlineStr">
        <is>
          <t>ANTIDUMPING</t>
        </is>
      </c>
    </row>
    <row r="23">
      <c r="A23" s="20" t="inlineStr">
        <is>
          <t>Pro zboží vietnamského původu nevidíme platné AD clo. U keramiky (6911/6912) platí AD clo na keramické nádobí z ČLR – pokud by porcelán byl čínského původu, AD by se uplatnilo. Ověřit COO.</t>
        </is>
      </c>
    </row>
    <row r="24">
      <c r="A24" s="20" t="inlineStr"/>
    </row>
    <row r="25">
      <c r="A25" s="19" t="inlineStr">
        <is>
          <t>MELT &amp; POUR (země tavby a odlití) – ocelové/kovové zboží</t>
        </is>
      </c>
    </row>
    <row r="26">
      <c r="A26" s="21" t="inlineStr">
        <is>
          <t>⚠️ V dokladech CHYBÍ hutní atest (mill test certificate) i země tavby a odlití. Týká se: nerezové příbory a nože (8215 99 10, 8211 91 00), parrilla tác/talíře (7323 93 10), popelník (7323 99 00), kovové podnože stolů (9403 99 10), cedule (8310 00 00), spona na kravatu (7117 19 00), kynárna (8438 10 10). Před proclením vyžádat hutní atest / prohlášení o zemi tavby a odlití – nejdůležitější u kap. 73 (tác, popelník).</t>
        </is>
      </c>
    </row>
    <row r="27">
      <c r="A27" s="20" t="inlineStr"/>
    </row>
    <row r="28">
      <c r="A28" s="19" t="inlineStr">
        <is>
          <t>HMOTNOSTI A DOKLADY</t>
        </is>
      </c>
    </row>
    <row r="29">
      <c r="A29" s="20" t="inlineStr">
        <is>
          <t>Hrubá hmotnost: 6490.5 kg, 396 kartonů (PL). Sdílené kartony (rozpočteno podle hodnoty): příbory + chňapky (48 kg), konvička na dresink + lžička na kaviár (3,5 kg), parrilla talíře malé + velké (22 kg), odznak + spona (2 kg), kravata + kšiltovka (8 kg).</t>
        </is>
      </c>
    </row>
    <row r="30">
      <c r="A30" s="21" t="inlineStr">
        <is>
          <t>⚠️ Čistá hmotnost chybí (PL: „Net weight ….. kgs“ nevyplněno) – sloupec ponechán, doplnit po obdržení opraveného PL.</t>
        </is>
      </c>
    </row>
    <row r="31">
      <c r="A31" s="20" t="inlineStr">
        <is>
          <t>Chybí dále: B/L (vyžádán), ETA, místo proclení, MRN, job číslo (Lukáš doplní).</t>
        </is>
      </c>
    </row>
    <row r="32">
      <c r="A32" s="20" t="inlineStr">
        <is>
          <t>Drobnosti v PL: rozměry „42s26s52“, „56x69xx13“ – překlepy; položka 73 je ve faktuře „Proofer“, v tabulce HS „Dough Proofer“ – totéž zboží.</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2026-10-19T09:36:39Z</dcterms:created>
  <dcterms:modified xmlns:dcterms="http://purl.org/dc/terms/" xmlns:xsi="http://www.w3.org/2001/XMLSchema-instance" xsi:type="dcterms:W3CDTF">2026-10-19T09:36:39Z</dcterms:modified>
</cp:coreProperties>
</file>