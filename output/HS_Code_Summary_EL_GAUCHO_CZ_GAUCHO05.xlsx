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FFFFFF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42" customWidth="1" min="3" max="3"/>
    <col width="42" customWidth="1" min="4" max="4"/>
    <col width="12" customWidth="1" min="5" max="5"/>
    <col width="18" customWidth="1" min="6" max="6"/>
    <col width="10" customWidth="1" min="7" max="7"/>
    <col width="12" customWidth="1" min="8" max="8"/>
    <col width="12" customWidth="1" min="9" max="9"/>
    <col width="14" customWidth="1" min="10" max="10"/>
    <col width="8" customWidth="1" min="11" max="11"/>
    <col width="24" customWidth="1" min="12" max="12"/>
    <col width="60" customWidth="1" min="13" max="13"/>
  </cols>
  <sheetData>
    <row r="1">
      <c r="A1" s="1" t="inlineStr">
        <is>
          <t>Klient / příjemce</t>
        </is>
      </c>
      <c r="B1" t="inlineStr">
        <is>
          <t>EL GAUCHO CZ, s.r.o., Dušní 905/4, 110 00 Praha 1 – IČO 07545193, DIČ CZ07545193</t>
        </is>
      </c>
    </row>
    <row r="2">
      <c r="A2" s="1" t="inlineStr">
        <is>
          <t>Zásilka</t>
        </is>
      </c>
      <c r="B2" t="inlineStr">
        <is>
          <t>GAUCHO05</t>
        </is>
      </c>
    </row>
    <row r="3">
      <c r="A3" s="1" t="inlineStr">
        <is>
          <t>Odesílatel</t>
        </is>
      </c>
      <c r="B3" t="inlineStr">
        <is>
          <t>GAUCHO COMPANY LIMITED, 74/1-74/1A Hai Ba Trung St., Sai Gon Ward, HCMC, Vietnam</t>
        </is>
      </c>
    </row>
    <row r="4">
      <c r="A4" s="1" t="inlineStr">
        <is>
          <t>Faktura</t>
        </is>
      </c>
      <c r="B4" t="inlineStr">
        <is>
          <t>C26MAB-384 ze dne 9. 10. 2026 – TOTAL 70 150,40 USD</t>
        </is>
      </c>
    </row>
    <row r="5">
      <c r="A5" s="1" t="inlineStr">
        <is>
          <t>Incoterm</t>
        </is>
      </c>
      <c r="B5" s="2" t="inlineStr">
        <is>
          <t>⚠️ NEUVEDENO – na faktuře ani PL není dodací podmínka ani místo. Nutno doplnit (term + město).</t>
        </is>
      </c>
    </row>
    <row r="6">
      <c r="A6" s="1" t="inlineStr">
        <is>
          <t>Měna</t>
        </is>
      </c>
      <c r="B6" t="inlineStr">
        <is>
          <t>USD</t>
        </is>
      </c>
    </row>
    <row r="7">
      <c r="A7" s="1" t="inlineStr">
        <is>
          <t>Kusy / hrubá hmotnost</t>
        </is>
      </c>
      <c r="B7" t="inlineStr">
        <is>
          <t>396 kartonů / 6 490.5 kg (dle PL)</t>
        </is>
      </c>
    </row>
    <row r="9">
      <c r="A9" s="3" t="inlineStr">
        <is>
          <t>Odesílatel</t>
        </is>
      </c>
      <c r="B9" s="3" t="inlineStr">
        <is>
          <t>HS kód (KN – návrh)</t>
        </is>
      </c>
      <c r="C9" s="3" t="inlineStr">
        <is>
          <t>Popis zboží (z dokladů – EN; CZ popis od klienta chybí)</t>
        </is>
      </c>
      <c r="D9" s="3" t="inlineStr">
        <is>
          <t>Pracovní CZ popis (náš překlad – ne od klienta)</t>
        </is>
      </c>
      <c r="E9" s="3" t="inlineStr">
        <is>
          <t>Pol. faktury</t>
        </is>
      </c>
      <c r="F9" s="3" t="inlineStr">
        <is>
          <t>Materiál</t>
        </is>
      </c>
      <c r="G9" s="3" t="inlineStr">
        <is>
          <t>Množství</t>
        </is>
      </c>
      <c r="H9" s="3" t="inlineStr">
        <is>
          <t>Čistá hmotnost (kg)</t>
        </is>
      </c>
      <c r="I9" s="3" t="inlineStr">
        <is>
          <t>Hrubá hmotnost (kg)</t>
        </is>
      </c>
      <c r="J9" s="3" t="inlineStr">
        <is>
          <t>Hodnota USD (Total)</t>
        </is>
      </c>
      <c r="K9" s="3" t="inlineStr">
        <is>
          <t>CBAM</t>
        </is>
      </c>
      <c r="L9" s="3" t="inlineStr">
        <is>
          <t>Antidumping</t>
        </is>
      </c>
      <c r="M9" s="3" t="inlineStr">
        <is>
          <t>Poznámka</t>
        </is>
      </c>
    </row>
    <row r="10">
      <c r="A10" s="4" t="inlineStr">
        <is>
          <t>GAUCHO COMPANY LIMITED (HCMC, VN)</t>
        </is>
      </c>
      <c r="B10" s="4" t="inlineStr">
        <is>
          <t>3924 10 00 19</t>
        </is>
      </c>
      <c r="C10" s="4" t="inlineStr">
        <is>
          <t>Bread plate; Chimichurri cup; Peanut bowl</t>
        </is>
      </c>
      <c r="D10" s="4" t="inlineStr">
        <is>
          <t>Talíř na chléb, kulatý černý, melamin; Miska na chimichurri, melamin; Miska na arašídy, melamin</t>
        </is>
      </c>
      <c r="E10" s="4" t="inlineStr">
        <is>
          <t>26, 48, 63</t>
        </is>
      </c>
      <c r="F10" s="4" t="inlineStr">
        <is>
          <t>Melanine</t>
        </is>
      </c>
      <c r="G10" s="4" t="n">
        <v>1800</v>
      </c>
      <c r="H10" s="5" t="inlineStr">
        <is>
          <t>CHYBÍ</t>
        </is>
      </c>
      <c r="I10" s="6" t="n">
        <v>223</v>
      </c>
      <c r="J10" s="6" t="n">
        <v>1290</v>
      </c>
      <c r="K10" s="4" t="inlineStr">
        <is>
          <t>Ne</t>
        </is>
      </c>
      <c r="L10" s="4" t="inlineStr">
        <is>
          <t>Ne</t>
        </is>
      </c>
      <c r="M10" s="4" t="inlineStr">
        <is>
          <t>Kód dle minulého proclení GAUCHO.</t>
        </is>
      </c>
    </row>
    <row r="11">
      <c r="A11" s="4" t="inlineStr">
        <is>
          <t>GAUCHO COMPANY LIMITED (HCMC, VN)</t>
        </is>
      </c>
      <c r="B11" s="4" t="inlineStr">
        <is>
          <t>3924 10 00 90</t>
        </is>
      </c>
      <c r="C11" s="4" t="inlineStr">
        <is>
          <t>Big tray; Caviar spoon</t>
        </is>
      </c>
      <c r="D11" s="4" t="inlineStr">
        <is>
          <t>Velký plastový tác do restaurace; Lžička na kaviár, plast</t>
        </is>
      </c>
      <c r="E11" s="4" t="inlineStr">
        <is>
          <t>20, 64</t>
        </is>
      </c>
      <c r="F11" s="4" t="inlineStr">
        <is>
          <t>Plastic</t>
        </is>
      </c>
      <c r="G11" s="4" t="n">
        <v>36</v>
      </c>
      <c r="H11" s="5" t="inlineStr">
        <is>
          <t>CHYBÍ</t>
        </is>
      </c>
      <c r="I11" s="6" t="n">
        <v>28.04</v>
      </c>
      <c r="J11" s="6" t="n">
        <v>448.8</v>
      </c>
      <c r="K11" s="4" t="inlineStr">
        <is>
          <t>Ne</t>
        </is>
      </c>
      <c r="L11" s="4" t="inlineStr">
        <is>
          <t>Ne</t>
        </is>
      </c>
      <c r="M11" s="4" t="inlineStr">
        <is>
          <t>Kód dle minulého proclení GAUCHO. Hrubá hmotnost částečně rozpočtena podle hodnoty (sdílený karton).</t>
        </is>
      </c>
    </row>
    <row r="12">
      <c r="A12" s="4" t="inlineStr">
        <is>
          <t>GAUCHO COMPANY LIMITED (HCMC, VN)</t>
        </is>
      </c>
      <c r="B12" s="4" t="inlineStr">
        <is>
          <t>3926 90 97 90</t>
        </is>
      </c>
      <c r="C12" s="4" t="inlineStr">
        <is>
          <t>Pin</t>
        </is>
      </c>
      <c r="D12" s="4" t="inlineStr">
        <is>
          <t>Plastový odznak</t>
        </is>
      </c>
      <c r="E12" s="4" t="inlineStr">
        <is>
          <t>51</t>
        </is>
      </c>
      <c r="F12" s="4" t="inlineStr">
        <is>
          <t>Plastic</t>
        </is>
      </c>
      <c r="G12" s="4" t="n">
        <v>150</v>
      </c>
      <c r="H12" s="5" t="inlineStr">
        <is>
          <t>CHYBÍ</t>
        </is>
      </c>
      <c r="I12" s="6" t="n">
        <v>0.63</v>
      </c>
      <c r="J12" s="6" t="n">
        <v>120</v>
      </c>
      <c r="K12" s="4" t="inlineStr">
        <is>
          <t>Ne</t>
        </is>
      </c>
      <c r="L12" s="4" t="inlineStr">
        <is>
          <t>Ne</t>
        </is>
      </c>
      <c r="M12" s="4" t="inlineStr">
        <is>
          <t>Kód dle minulého proclení GAUCHO. Hrubá hmotnost částečně rozpočtena podle hodnoty (sdílený karton).</t>
        </is>
      </c>
    </row>
    <row r="13">
      <c r="A13" s="4" t="inlineStr">
        <is>
          <t>GAUCHO COMPANY LIMITED (HCMC, VN)</t>
        </is>
      </c>
      <c r="B13" s="4" t="inlineStr">
        <is>
          <t>4414 90 00</t>
        </is>
      </c>
      <c r="C13" s="4" t="inlineStr">
        <is>
          <t>Picture frame S; Picture frame M; Picture frame L; Picture frame XL; Picture frame Oval</t>
        </is>
      </c>
      <c r="D13" s="4" t="inlineStr">
        <is>
          <t>Dřevěný rámeček na obrazy S; Dřevěný rámeček na obrazy M; Dřevěný rámeček na obrazy L; Dřevěný rámeček na obrazy XL; Dřevěný rámeček na obrazy oválný</t>
        </is>
      </c>
      <c r="E13" s="4" t="inlineStr">
        <is>
          <t>39, 40, 41, 42, 43</t>
        </is>
      </c>
      <c r="F13" s="4" t="inlineStr">
        <is>
          <t>Wood</t>
        </is>
      </c>
      <c r="G13" s="4" t="n">
        <v>105</v>
      </c>
      <c r="H13" s="5" t="inlineStr">
        <is>
          <t>CHYBÍ</t>
        </is>
      </c>
      <c r="I13" s="6" t="n">
        <v>117</v>
      </c>
      <c r="J13" s="6" t="n">
        <v>1375</v>
      </c>
      <c r="K13" s="4" t="inlineStr">
        <is>
          <t>Ne</t>
        </is>
      </c>
      <c r="L13" s="4" t="inlineStr">
        <is>
          <t>Ne</t>
        </is>
      </c>
      <c r="M13" s="4" t="inlineStr"/>
    </row>
    <row r="14">
      <c r="A14" s="4" t="inlineStr">
        <is>
          <t>GAUCHO COMPANY LIMITED (HCMC, VN)</t>
        </is>
      </c>
      <c r="B14" s="4" t="inlineStr">
        <is>
          <t>4419 20 90 00</t>
        </is>
      </c>
      <c r="C14" s="4" t="inlineStr">
        <is>
          <t>Round wooden bread</t>
        </is>
      </c>
      <c r="D14" s="4" t="inlineStr">
        <is>
          <t>Prkénko servírovací na chléb, kulaté, rubber wood</t>
        </is>
      </c>
      <c r="E14" s="4" t="inlineStr">
        <is>
          <t>30</t>
        </is>
      </c>
      <c r="F14" s="4" t="inlineStr">
        <is>
          <t>Wood</t>
        </is>
      </c>
      <c r="G14" s="4" t="n">
        <v>200</v>
      </c>
      <c r="H14" s="5" t="inlineStr">
        <is>
          <t>CHYBÍ</t>
        </is>
      </c>
      <c r="I14" s="6" t="n">
        <v>170</v>
      </c>
      <c r="J14" s="6" t="n">
        <v>760</v>
      </c>
      <c r="K14" s="4" t="inlineStr">
        <is>
          <t>Ne</t>
        </is>
      </c>
      <c r="L14" s="4" t="inlineStr">
        <is>
          <t>Ne</t>
        </is>
      </c>
      <c r="M14" s="4" t="inlineStr">
        <is>
          <t>Kód dle minulého proclení GAUCHO.</t>
        </is>
      </c>
    </row>
    <row r="15">
      <c r="A15" s="4" t="inlineStr">
        <is>
          <t>GAUCHO COMPANY LIMITED (HCMC, VN)</t>
        </is>
      </c>
      <c r="B15" s="4" t="inlineStr">
        <is>
          <t>4421 91 00 00</t>
        </is>
      </c>
      <c r="C15" s="4" t="inlineStr">
        <is>
          <t>Toothpick</t>
        </is>
      </c>
      <c r="D15" s="4" t="inlineStr">
        <is>
          <t>Bambusová párátka</t>
        </is>
      </c>
      <c r="E15" s="4" t="inlineStr">
        <is>
          <t>32</t>
        </is>
      </c>
      <c r="F15" s="4" t="inlineStr">
        <is>
          <t>Bamboo</t>
        </is>
      </c>
      <c r="G15" s="4" t="n">
        <v>30</v>
      </c>
      <c r="H15" s="5" t="inlineStr">
        <is>
          <t>CHYBÍ</t>
        </is>
      </c>
      <c r="I15" s="6" t="n">
        <v>10</v>
      </c>
      <c r="J15" s="6" t="n">
        <v>69</v>
      </c>
      <c r="K15" s="4" t="inlineStr">
        <is>
          <t>Ne</t>
        </is>
      </c>
      <c r="L15" s="4" t="inlineStr">
        <is>
          <t>Ne</t>
        </is>
      </c>
      <c r="M15" s="4" t="inlineStr">
        <is>
          <t>Kód dle minulého proclení GAUCHO.</t>
        </is>
      </c>
    </row>
    <row r="16">
      <c r="A16" s="4" t="inlineStr">
        <is>
          <t>GAUCHO COMPANY LIMITED (HCMC, VN)</t>
        </is>
      </c>
      <c r="B16" s="4" t="inlineStr">
        <is>
          <t>4819 20 00 00</t>
        </is>
      </c>
      <c r="C16" s="4" t="inlineStr">
        <is>
          <t>Take away burger box; Take away steak box S; Take away steak box M; Take away steak box L; Shot glass souvernir box; Steakknives souvenir box</t>
        </is>
      </c>
      <c r="D16" s="4" t="inlineStr">
        <is>
          <t>Skládací krabička na burgery; Skládací krabice na steak S, potištěná; Skládací krabice na steak M, potištěná; Skládací krabice na steak L, potištěná; Papírová dárková krabička na panáky; Papírová dárková krabička na steakové nože</t>
        </is>
      </c>
      <c r="E16" s="4" t="inlineStr">
        <is>
          <t>6, 7, 8, 9, 14, 15</t>
        </is>
      </c>
      <c r="F16" s="4" t="inlineStr">
        <is>
          <t>Paper</t>
        </is>
      </c>
      <c r="G16" s="4" t="n">
        <v>3102</v>
      </c>
      <c r="H16" s="5" t="inlineStr">
        <is>
          <t>CHYBÍ</t>
        </is>
      </c>
      <c r="I16" s="6" t="n">
        <v>1256</v>
      </c>
      <c r="J16" s="6" t="n">
        <v>4224.6</v>
      </c>
      <c r="K16" s="4" t="inlineStr">
        <is>
          <t>Ne</t>
        </is>
      </c>
      <c r="L16" s="4" t="inlineStr">
        <is>
          <t>Ne</t>
        </is>
      </c>
      <c r="M16" s="4" t="inlineStr"/>
    </row>
    <row r="17">
      <c r="A17" s="4" t="inlineStr">
        <is>
          <t>GAUCHO COMPANY LIMITED (HCMC, VN)</t>
        </is>
      </c>
      <c r="B17" s="4" t="inlineStr">
        <is>
          <t>4819 40 00</t>
        </is>
      </c>
      <c r="C17" s="4" t="inlineStr">
        <is>
          <t>Paper bag S; Paper bag M; Paper bag L; Wine bag</t>
        </is>
      </c>
      <c r="D17" s="4" t="inlineStr">
        <is>
          <t>Papírová taška S; Papírová taška M; Papírová taška L; Papírová taška na víno</t>
        </is>
      </c>
      <c r="E17" s="4" t="inlineStr">
        <is>
          <t>10, 11, 12, 13</t>
        </is>
      </c>
      <c r="F17" s="4" t="inlineStr">
        <is>
          <t>Paper</t>
        </is>
      </c>
      <c r="G17" s="4" t="n">
        <v>3200</v>
      </c>
      <c r="H17" s="5" t="inlineStr">
        <is>
          <t>CHYBÍ</t>
        </is>
      </c>
      <c r="I17" s="6" t="n">
        <v>382</v>
      </c>
      <c r="J17" s="6" t="n">
        <v>1600</v>
      </c>
      <c r="K17" s="4" t="inlineStr">
        <is>
          <t>Ne</t>
        </is>
      </c>
      <c r="L17" s="4" t="inlineStr">
        <is>
          <t>Ne</t>
        </is>
      </c>
      <c r="M17" s="4" t="inlineStr"/>
    </row>
    <row r="18">
      <c r="A18" s="4" t="inlineStr">
        <is>
          <t>GAUCHO COMPANY LIMITED (HCMC, VN)</t>
        </is>
      </c>
      <c r="B18" s="4" t="inlineStr">
        <is>
          <t>4819 50 00 00</t>
        </is>
      </c>
      <c r="C18" s="4" t="inlineStr">
        <is>
          <t>Take away box 120m; Take away box 210m; Take away box 500m; Take away box 1070m</t>
        </is>
      </c>
      <c r="D18" s="4" t="inlineStr">
        <is>
          <t>Papírová krabička TAKE AWAY 120 ml s papírovým víčkem; Papírová krabička TAKE AWAY 210 ml s papírovým víčkem; Papírová krabička TAKE AWAY 500 ml s papírovým víčkem; Papírová krabička TAKE AWAY 1070 ml s papírovým víčkem</t>
        </is>
      </c>
      <c r="E18" s="4" t="inlineStr">
        <is>
          <t>2, 3, 4, 5</t>
        </is>
      </c>
      <c r="F18" s="4" t="inlineStr">
        <is>
          <t>Paper</t>
        </is>
      </c>
      <c r="G18" s="4" t="n">
        <v>8100</v>
      </c>
      <c r="H18" s="5" t="inlineStr">
        <is>
          <t>CHYBÍ</t>
        </is>
      </c>
      <c r="I18" s="6" t="n">
        <v>172</v>
      </c>
      <c r="J18" s="6" t="n">
        <v>1840</v>
      </c>
      <c r="K18" s="4" t="inlineStr">
        <is>
          <t>Ne</t>
        </is>
      </c>
      <c r="L18" s="4" t="inlineStr">
        <is>
          <t>Ne</t>
        </is>
      </c>
      <c r="M18" s="4" t="inlineStr">
        <is>
          <t>Kód dle minulého proclení GAUCHO.</t>
        </is>
      </c>
    </row>
    <row r="19">
      <c r="A19" s="4" t="inlineStr">
        <is>
          <t>GAUCHO COMPANY LIMITED (HCMC, VN)</t>
        </is>
      </c>
      <c r="B19" s="4" t="inlineStr">
        <is>
          <t>4820 30 00</t>
        </is>
      </c>
      <c r="C19" s="4" t="inlineStr">
        <is>
          <t>Bill Holder</t>
        </is>
      </c>
      <c r="D19" s="4" t="inlineStr">
        <is>
          <t>Papírové desky na účet</t>
        </is>
      </c>
      <c r="E19" s="4" t="inlineStr">
        <is>
          <t>49</t>
        </is>
      </c>
      <c r="F19" s="4" t="inlineStr">
        <is>
          <t>Paper</t>
        </is>
      </c>
      <c r="G19" s="4" t="n">
        <v>500</v>
      </c>
      <c r="H19" s="5" t="inlineStr">
        <is>
          <t>CHYBÍ</t>
        </is>
      </c>
      <c r="I19" s="6" t="n">
        <v>22</v>
      </c>
      <c r="J19" s="6" t="n">
        <v>100</v>
      </c>
      <c r="K19" s="4" t="inlineStr">
        <is>
          <t>Ne</t>
        </is>
      </c>
      <c r="L19" s="4" t="inlineStr">
        <is>
          <t>Ne</t>
        </is>
      </c>
      <c r="M19" s="4" t="inlineStr"/>
    </row>
    <row r="20">
      <c r="A20" s="4" t="inlineStr">
        <is>
          <t>GAUCHO COMPANY LIMITED (HCMC, VN)</t>
        </is>
      </c>
      <c r="B20" s="4" t="inlineStr">
        <is>
          <t>4823 70 90 00</t>
        </is>
      </c>
      <c r="C20" s="4" t="inlineStr">
        <is>
          <t>Take away box 2oz; Coaster</t>
        </is>
      </c>
      <c r="D20" s="4" t="inlineStr">
        <is>
          <t>Kelímek 2 oz z bagasy (lisovaná papírovina); Papírový tácek pod sklenici s logem EG</t>
        </is>
      </c>
      <c r="E20" s="4" t="inlineStr">
        <is>
          <t>1, 65</t>
        </is>
      </c>
      <c r="F20" s="4" t="inlineStr">
        <is>
          <t>Paper</t>
        </is>
      </c>
      <c r="G20" s="4" t="n">
        <v>2500</v>
      </c>
      <c r="H20" s="5" t="inlineStr">
        <is>
          <t>CHYBÍ</t>
        </is>
      </c>
      <c r="I20" s="6" t="n">
        <v>26</v>
      </c>
      <c r="J20" s="6" t="n">
        <v>130</v>
      </c>
      <c r="K20" s="4" t="inlineStr">
        <is>
          <t>Ne</t>
        </is>
      </c>
      <c r="L20" s="4" t="inlineStr">
        <is>
          <t>Ne</t>
        </is>
      </c>
      <c r="M20" s="4" t="inlineStr">
        <is>
          <t>Kód dle minulého proclení GAUCHO.</t>
        </is>
      </c>
    </row>
    <row r="21">
      <c r="A21" s="4" t="inlineStr">
        <is>
          <t>GAUCHO COMPANY LIMITED (HCMC, VN)</t>
        </is>
      </c>
      <c r="B21" s="4" t="inlineStr">
        <is>
          <t>4823 90 85 80</t>
        </is>
      </c>
      <c r="C21" s="4" t="inlineStr">
        <is>
          <t>Paper Flags all kinds</t>
        </is>
      </c>
      <c r="D21" s="4" t="inlineStr">
        <is>
          <t>Papírové vlaječky</t>
        </is>
      </c>
      <c r="E21" s="4" t="inlineStr">
        <is>
          <t>34</t>
        </is>
      </c>
      <c r="F21" s="4" t="inlineStr">
        <is>
          <t>Paper</t>
        </is>
      </c>
      <c r="G21" s="4" t="n">
        <v>63000</v>
      </c>
      <c r="H21" s="5" t="inlineStr">
        <is>
          <t>CHYBÍ</t>
        </is>
      </c>
      <c r="I21" s="6" t="n">
        <v>24</v>
      </c>
      <c r="J21" s="6" t="n">
        <v>1260</v>
      </c>
      <c r="K21" s="4" t="inlineStr">
        <is>
          <t>Ne</t>
        </is>
      </c>
      <c r="L21" s="4" t="inlineStr">
        <is>
          <t>Ne</t>
        </is>
      </c>
      <c r="M21" s="4" t="inlineStr">
        <is>
          <t>Kód dle minulého proclení GAUCHO.</t>
        </is>
      </c>
    </row>
    <row r="22">
      <c r="A22" s="4" t="inlineStr">
        <is>
          <t>GAUCHO COMPANY LIMITED (HCMC, VN)</t>
        </is>
      </c>
      <c r="B22" s="4" t="inlineStr">
        <is>
          <t>6105 10 00</t>
        </is>
      </c>
      <c r="C22" s="4" t="inlineStr">
        <is>
          <t>Polo; Polo Long Sleeve</t>
        </is>
      </c>
      <c r="D22" s="4" t="inlineStr">
        <is>
          <t>Polokošile; Polokošile s dlouhým rukávem</t>
        </is>
      </c>
      <c r="E22" s="4" t="inlineStr">
        <is>
          <t>67, 69</t>
        </is>
      </c>
      <c r="F22" s="4" t="inlineStr">
        <is>
          <t>Fabric</t>
        </is>
      </c>
      <c r="G22" s="4" t="n">
        <v>543</v>
      </c>
      <c r="H22" s="5" t="inlineStr">
        <is>
          <t>CHYBÍ</t>
        </is>
      </c>
      <c r="I22" s="6" t="n">
        <v>182</v>
      </c>
      <c r="J22" s="6" t="n">
        <v>4445</v>
      </c>
      <c r="K22" s="4" t="inlineStr">
        <is>
          <t>Ne</t>
        </is>
      </c>
      <c r="L22" s="4" t="inlineStr">
        <is>
          <t>Ne</t>
        </is>
      </c>
      <c r="M22" s="4" t="inlineStr"/>
    </row>
    <row r="23">
      <c r="A23" s="4" t="inlineStr">
        <is>
          <t>GAUCHO COMPANY LIMITED (HCMC, VN)</t>
        </is>
      </c>
      <c r="B23" s="4" t="inlineStr">
        <is>
          <t>6109 10 00</t>
        </is>
      </c>
      <c r="C23" s="4" t="inlineStr">
        <is>
          <t>T-Shirt</t>
        </is>
      </c>
      <c r="D23" s="4" t="inlineStr">
        <is>
          <t>Tričko</t>
        </is>
      </c>
      <c r="E23" s="4" t="inlineStr">
        <is>
          <t>68</t>
        </is>
      </c>
      <c r="F23" s="4" t="inlineStr">
        <is>
          <t>Fabric</t>
        </is>
      </c>
      <c r="G23" s="4" t="n">
        <v>245</v>
      </c>
      <c r="H23" s="5" t="inlineStr">
        <is>
          <t>CHYBÍ</t>
        </is>
      </c>
      <c r="I23" s="6" t="n">
        <v>48</v>
      </c>
      <c r="J23" s="6" t="n">
        <v>1715</v>
      </c>
      <c r="K23" s="4" t="inlineStr">
        <is>
          <t>Ne</t>
        </is>
      </c>
      <c r="L23" s="4" t="inlineStr">
        <is>
          <t>Ne</t>
        </is>
      </c>
      <c r="M23" s="4" t="inlineStr"/>
    </row>
    <row r="24">
      <c r="A24" s="4" t="inlineStr">
        <is>
          <t>GAUCHO COMPANY LIMITED (HCMC, VN)</t>
        </is>
      </c>
      <c r="B24" s="4" t="inlineStr">
        <is>
          <t>6203 42 35</t>
        </is>
      </c>
      <c r="C24" s="4" t="inlineStr">
        <is>
          <t>Trouser</t>
        </is>
      </c>
      <c r="D24" s="4" t="inlineStr">
        <is>
          <t>Kalhoty dlouhé</t>
        </is>
      </c>
      <c r="E24" s="4" t="inlineStr">
        <is>
          <t>70</t>
        </is>
      </c>
      <c r="F24" s="4" t="inlineStr">
        <is>
          <t>Fabric</t>
        </is>
      </c>
      <c r="G24" s="4" t="n">
        <v>63</v>
      </c>
      <c r="H24" s="5" t="inlineStr">
        <is>
          <t>CHYBÍ</t>
        </is>
      </c>
      <c r="I24" s="6" t="n">
        <v>30</v>
      </c>
      <c r="J24" s="6" t="n">
        <v>945</v>
      </c>
      <c r="K24" s="4" t="inlineStr">
        <is>
          <t>Ne</t>
        </is>
      </c>
      <c r="L24" s="4" t="inlineStr">
        <is>
          <t>Ne</t>
        </is>
      </c>
      <c r="M24" s="4" t="inlineStr"/>
    </row>
    <row r="25">
      <c r="A25" s="4" t="inlineStr">
        <is>
          <t>GAUCHO COMPANY LIMITED (HCMC, VN)</t>
        </is>
      </c>
      <c r="B25" s="4" t="inlineStr">
        <is>
          <t>6205 20 00</t>
        </is>
      </c>
      <c r="C25" s="4" t="inlineStr">
        <is>
          <t>Floor Uniform - Men</t>
        </is>
      </c>
      <c r="D25" s="4" t="inlineStr">
        <is>
          <t>Pánská košile – uniforma obsluhy</t>
        </is>
      </c>
      <c r="E25" s="4" t="inlineStr">
        <is>
          <t>71</t>
        </is>
      </c>
      <c r="F25" s="4" t="inlineStr">
        <is>
          <t>Fabric</t>
        </is>
      </c>
      <c r="G25" s="4" t="n">
        <v>411</v>
      </c>
      <c r="H25" s="5" t="inlineStr">
        <is>
          <t>CHYBÍ</t>
        </is>
      </c>
      <c r="I25" s="6" t="n">
        <v>143</v>
      </c>
      <c r="J25" s="6" t="n">
        <v>3699</v>
      </c>
      <c r="K25" s="4" t="inlineStr">
        <is>
          <t>Ne</t>
        </is>
      </c>
      <c r="L25" s="4" t="inlineStr">
        <is>
          <t>Ne</t>
        </is>
      </c>
      <c r="M25" s="4" t="inlineStr"/>
    </row>
    <row r="26">
      <c r="A26" s="4" t="inlineStr">
        <is>
          <t>GAUCHO COMPANY LIMITED (HCMC, VN)</t>
        </is>
      </c>
      <c r="B26" s="4" t="inlineStr">
        <is>
          <t>6206 30 00</t>
        </is>
      </c>
      <c r="C26" s="4" t="inlineStr">
        <is>
          <t>Floor Uniform - Women</t>
        </is>
      </c>
      <c r="D26" s="4" t="inlineStr">
        <is>
          <t>Dámská košile – uniforma obsluhy</t>
        </is>
      </c>
      <c r="E26" s="4" t="inlineStr">
        <is>
          <t>72</t>
        </is>
      </c>
      <c r="F26" s="4" t="inlineStr">
        <is>
          <t>Fabric</t>
        </is>
      </c>
      <c r="G26" s="4" t="n">
        <v>337</v>
      </c>
      <c r="H26" s="5" t="inlineStr">
        <is>
          <t>CHYBÍ</t>
        </is>
      </c>
      <c r="I26" s="6" t="n">
        <v>84</v>
      </c>
      <c r="J26" s="6" t="n">
        <v>3033</v>
      </c>
      <c r="K26" s="4" t="inlineStr">
        <is>
          <t>Ne</t>
        </is>
      </c>
      <c r="L26" s="4" t="inlineStr">
        <is>
          <t>Ne</t>
        </is>
      </c>
      <c r="M26" s="4" t="inlineStr"/>
    </row>
    <row r="27">
      <c r="A27" s="4" t="inlineStr">
        <is>
          <t>GAUCHO COMPANY LIMITED (HCMC, VN)</t>
        </is>
      </c>
      <c r="B27" s="4" t="inlineStr">
        <is>
          <t>6211 32 10</t>
        </is>
      </c>
      <c r="C27" s="4" t="inlineStr">
        <is>
          <t>Kitchen</t>
        </is>
      </c>
      <c r="D27" s="4" t="inlineStr">
        <is>
          <t>Kuchařský rondon</t>
        </is>
      </c>
      <c r="E27" s="4" t="inlineStr">
        <is>
          <t>66</t>
        </is>
      </c>
      <c r="F27" s="4" t="inlineStr">
        <is>
          <t>Fabric</t>
        </is>
      </c>
      <c r="G27" s="4" t="n">
        <v>317</v>
      </c>
      <c r="H27" s="5" t="inlineStr">
        <is>
          <t>CHYBÍ</t>
        </is>
      </c>
      <c r="I27" s="6" t="n">
        <v>144</v>
      </c>
      <c r="J27" s="6" t="n">
        <v>7291</v>
      </c>
      <c r="K27" s="4" t="inlineStr">
        <is>
          <t>Ne</t>
        </is>
      </c>
      <c r="L27" s="4" t="inlineStr">
        <is>
          <t>Ne</t>
        </is>
      </c>
      <c r="M27" s="4" t="inlineStr"/>
    </row>
    <row r="28">
      <c r="A28" s="4" t="inlineStr">
        <is>
          <t>GAUCHO COMPANY LIMITED (HCMC, VN)</t>
        </is>
      </c>
      <c r="B28" s="4" t="inlineStr">
        <is>
          <t>6211 43 10</t>
        </is>
      </c>
      <c r="C28" s="4" t="inlineStr">
        <is>
          <t>Apron</t>
        </is>
      </c>
      <c r="D28" s="4" t="inlineStr">
        <is>
          <t>Zástěra</t>
        </is>
      </c>
      <c r="E28" s="4" t="inlineStr">
        <is>
          <t>59</t>
        </is>
      </c>
      <c r="F28" s="4" t="inlineStr">
        <is>
          <t>Fabric</t>
        </is>
      </c>
      <c r="G28" s="4" t="n">
        <v>154</v>
      </c>
      <c r="H28" s="5" t="inlineStr">
        <is>
          <t>CHYBÍ</t>
        </is>
      </c>
      <c r="I28" s="6" t="n">
        <v>24</v>
      </c>
      <c r="J28" s="6" t="n">
        <v>1386</v>
      </c>
      <c r="K28" s="4" t="inlineStr">
        <is>
          <t>Ne</t>
        </is>
      </c>
      <c r="L28" s="4" t="inlineStr">
        <is>
          <t>Ne</t>
        </is>
      </c>
      <c r="M28" s="4" t="inlineStr"/>
    </row>
    <row r="29">
      <c r="A29" s="4" t="inlineStr">
        <is>
          <t>GAUCHO COMPANY LIMITED (HCMC, VN)</t>
        </is>
      </c>
      <c r="B29" s="4" t="inlineStr">
        <is>
          <t>6215 20 00</t>
        </is>
      </c>
      <c r="C29" s="4" t="inlineStr">
        <is>
          <t>Tie</t>
        </is>
      </c>
      <c r="D29" s="4" t="inlineStr">
        <is>
          <t>Kravata</t>
        </is>
      </c>
      <c r="E29" s="4" t="inlineStr">
        <is>
          <t>53</t>
        </is>
      </c>
      <c r="F29" s="4" t="inlineStr">
        <is>
          <t>Fabric</t>
        </is>
      </c>
      <c r="G29" s="4" t="n">
        <v>150</v>
      </c>
      <c r="H29" s="5" t="inlineStr">
        <is>
          <t>CHYBÍ</t>
        </is>
      </c>
      <c r="I29" s="6" t="n">
        <v>6</v>
      </c>
      <c r="J29" s="6" t="n">
        <v>450</v>
      </c>
      <c r="K29" s="4" t="inlineStr">
        <is>
          <t>Ne</t>
        </is>
      </c>
      <c r="L29" s="4" t="inlineStr">
        <is>
          <t>Ne</t>
        </is>
      </c>
      <c r="M29" s="4" t="inlineStr">
        <is>
          <t>Hrubá hmotnost částečně rozpočtena podle hodnoty (sdílený karton).</t>
        </is>
      </c>
    </row>
    <row r="30">
      <c r="A30" s="4" t="inlineStr">
        <is>
          <t>GAUCHO COMPANY LIMITED (HCMC, VN)</t>
        </is>
      </c>
      <c r="B30" s="4" t="inlineStr">
        <is>
          <t>6216 00 00</t>
        </is>
      </c>
      <c r="C30" s="4" t="inlineStr">
        <is>
          <t>Hot Plate Glove</t>
        </is>
      </c>
      <c r="D30" s="4" t="inlineStr">
        <is>
          <t>Chňapka / rukavice na horké talíře (pár)</t>
        </is>
      </c>
      <c r="E30" s="4" t="inlineStr">
        <is>
          <t>60</t>
        </is>
      </c>
      <c r="F30" s="4" t="inlineStr">
        <is>
          <t>Fabric</t>
        </is>
      </c>
      <c r="G30" s="4" t="n">
        <v>30</v>
      </c>
      <c r="H30" s="5" t="inlineStr">
        <is>
          <t>CHYBÍ</t>
        </is>
      </c>
      <c r="I30" s="6" t="n">
        <v>2.15</v>
      </c>
      <c r="J30" s="6" t="n">
        <v>39</v>
      </c>
      <c r="K30" s="4" t="inlineStr">
        <is>
          <t>Ne</t>
        </is>
      </c>
      <c r="L30" s="4" t="inlineStr">
        <is>
          <t>Ne</t>
        </is>
      </c>
      <c r="M30" s="4" t="inlineStr">
        <is>
          <t>Hrubá hmotnost částečně rozpočtena podle hodnoty (sdílený karton).</t>
        </is>
      </c>
    </row>
    <row r="31">
      <c r="A31" s="4" t="inlineStr">
        <is>
          <t>GAUCHO COMPANY LIMITED (HCMC, VN)</t>
        </is>
      </c>
      <c r="B31" s="4" t="inlineStr">
        <is>
          <t>6302 51 00 90</t>
        </is>
      </c>
      <c r="C31" s="4" t="inlineStr">
        <is>
          <t>Napkin fabric set up</t>
        </is>
      </c>
      <c r="D31" s="4" t="inlineStr">
        <is>
          <t>Stolní ubrousky, bavlněná tkanina</t>
        </is>
      </c>
      <c r="E31" s="4" t="inlineStr">
        <is>
          <t>33</t>
        </is>
      </c>
      <c r="F31" s="4" t="inlineStr">
        <is>
          <t>Fabric</t>
        </is>
      </c>
      <c r="G31" s="4" t="n">
        <v>2000</v>
      </c>
      <c r="H31" s="5" t="inlineStr">
        <is>
          <t>CHYBÍ</t>
        </is>
      </c>
      <c r="I31" s="6" t="n">
        <v>122</v>
      </c>
      <c r="J31" s="6" t="n">
        <v>7200</v>
      </c>
      <c r="K31" s="4" t="inlineStr">
        <is>
          <t>Ne</t>
        </is>
      </c>
      <c r="L31" s="4" t="inlineStr">
        <is>
          <t>Ne</t>
        </is>
      </c>
      <c r="M31" s="4" t="inlineStr">
        <is>
          <t>Kód dle minulého proclení GAUCHO.</t>
        </is>
      </c>
    </row>
    <row r="32">
      <c r="A32" s="4" t="inlineStr">
        <is>
          <t>GAUCHO COMPANY LIMITED (HCMC, VN)</t>
        </is>
      </c>
      <c r="B32" s="4" t="inlineStr">
        <is>
          <t>6302 60 00</t>
        </is>
      </c>
      <c r="C32" s="4" t="inlineStr">
        <is>
          <t>Black Towel</t>
        </is>
      </c>
      <c r="D32" s="4" t="inlineStr">
        <is>
          <t>Černý ručník</t>
        </is>
      </c>
      <c r="E32" s="4" t="inlineStr">
        <is>
          <t>62</t>
        </is>
      </c>
      <c r="F32" s="4" t="inlineStr">
        <is>
          <t>Fabric</t>
        </is>
      </c>
      <c r="G32" s="4" t="n">
        <v>500</v>
      </c>
      <c r="H32" s="5" t="inlineStr">
        <is>
          <t>CHYBÍ</t>
        </is>
      </c>
      <c r="I32" s="6" t="n">
        <v>37</v>
      </c>
      <c r="J32" s="6" t="n">
        <v>500</v>
      </c>
      <c r="K32" s="4" t="inlineStr">
        <is>
          <t>Ne</t>
        </is>
      </c>
      <c r="L32" s="4" t="inlineStr">
        <is>
          <t>Ne</t>
        </is>
      </c>
      <c r="M32" s="4" t="inlineStr"/>
    </row>
    <row r="33">
      <c r="A33" s="4" t="inlineStr">
        <is>
          <t>GAUCHO COMPANY LIMITED (HCMC, VN)</t>
        </is>
      </c>
      <c r="B33" s="4" t="inlineStr">
        <is>
          <t>6505 00 30</t>
        </is>
      </c>
      <c r="C33" s="4" t="inlineStr">
        <is>
          <t>Cap</t>
        </is>
      </c>
      <c r="D33" s="4" t="inlineStr">
        <is>
          <t>Kšiltovka</t>
        </is>
      </c>
      <c r="E33" s="4" t="inlineStr">
        <is>
          <t>61</t>
        </is>
      </c>
      <c r="F33" s="4" t="inlineStr">
        <is>
          <t>Fabric</t>
        </is>
      </c>
      <c r="G33" s="4" t="n">
        <v>50</v>
      </c>
      <c r="H33" s="5" t="inlineStr">
        <is>
          <t>CHYBÍ</t>
        </is>
      </c>
      <c r="I33" s="6" t="n">
        <v>2</v>
      </c>
      <c r="J33" s="6" t="n">
        <v>150</v>
      </c>
      <c r="K33" s="4" t="inlineStr">
        <is>
          <t>Ne</t>
        </is>
      </c>
      <c r="L33" s="4" t="inlineStr">
        <is>
          <t>Ne</t>
        </is>
      </c>
      <c r="M33" s="4" t="inlineStr">
        <is>
          <t>Hrubá hmotnost částečně rozpočtena podle hodnoty (sdílený karton).</t>
        </is>
      </c>
    </row>
    <row r="34">
      <c r="A34" s="4" t="inlineStr">
        <is>
          <t>GAUCHO COMPANY LIMITED (HCMC, VN)</t>
        </is>
      </c>
      <c r="B34" s="4" t="inlineStr">
        <is>
          <t>6912 00 25 10</t>
        </is>
      </c>
      <c r="C34" s="4" t="inlineStr">
        <is>
          <t>FF-bowl big; Side dish bowl &amp; cover; Sauce bowl; Medium plate; Milk jug; Sugar jug  small one; Dressing  jug small one</t>
        </is>
      </c>
      <c r="D34" s="4" t="inlineStr">
        <is>
          <t>Velká miska salátová, keramika; Přílohová mistička s pokličkou, keramika; Miska na omáčku, keramika; Keramický talíř střední; Malá konvička na mléko, keramika; Malá dóza na cukr, keramika; Malá dóza na omáčky, keramika</t>
        </is>
      </c>
      <c r="E34" s="4" t="inlineStr">
        <is>
          <t>17, 18, 19, 25, 27, 28, 29</t>
        </is>
      </c>
      <c r="F34" s="4" t="inlineStr">
        <is>
          <t>Ceramic</t>
        </is>
      </c>
      <c r="G34" s="4" t="n">
        <v>670</v>
      </c>
      <c r="H34" s="5" t="inlineStr">
        <is>
          <t>CHYBÍ</t>
        </is>
      </c>
      <c r="I34" s="6" t="n">
        <v>250.96</v>
      </c>
      <c r="J34" s="6" t="n">
        <v>1684</v>
      </c>
      <c r="K34" s="4" t="inlineStr">
        <is>
          <t>Ne</t>
        </is>
      </c>
      <c r="L34" s="7" t="inlineStr">
        <is>
          <t>AD clo na keramické nádobí platí jen při původu ČLR – ověřit, že původ je VN.</t>
        </is>
      </c>
      <c r="M34" s="4" t="inlineStr">
        <is>
          <t>Kód dle minulého proclení GAUCHO. Hrubá hmotnost částečně rozpočtena podle hodnoty (sdílený karton).</t>
        </is>
      </c>
    </row>
    <row r="35">
      <c r="A35" s="4" t="inlineStr">
        <is>
          <t>GAUCHO COMPANY LIMITED (HCMC, VN)</t>
        </is>
      </c>
      <c r="B35" s="4" t="inlineStr">
        <is>
          <t>7010 90 43</t>
        </is>
      </c>
      <c r="C35" s="4" t="inlineStr">
        <is>
          <t>Vodka bottle</t>
        </is>
      </c>
      <c r="D35" s="4" t="inlineStr">
        <is>
          <t>Skleněná láhev na vodku (prázdná)</t>
        </is>
      </c>
      <c r="E35" s="4" t="inlineStr">
        <is>
          <t>16</t>
        </is>
      </c>
      <c r="F35" s="4" t="inlineStr">
        <is>
          <t>Glass</t>
        </is>
      </c>
      <c r="G35" s="4" t="n">
        <v>1368</v>
      </c>
      <c r="H35" s="5" t="inlineStr">
        <is>
          <t>CHYBÍ</t>
        </is>
      </c>
      <c r="I35" s="6" t="n">
        <v>860.5</v>
      </c>
      <c r="J35" s="6" t="n">
        <v>2736</v>
      </c>
      <c r="K35" s="4" t="inlineStr">
        <is>
          <t>Ne</t>
        </is>
      </c>
      <c r="L35" s="4" t="inlineStr">
        <is>
          <t>Ne</t>
        </is>
      </c>
      <c r="M35" s="4" t="inlineStr"/>
    </row>
    <row r="36">
      <c r="A36" s="4" t="inlineStr">
        <is>
          <t>GAUCHO COMPANY LIMITED (HCMC, VN)</t>
        </is>
      </c>
      <c r="B36" s="4" t="inlineStr">
        <is>
          <t>7117 19 00</t>
        </is>
      </c>
      <c r="C36" s="4" t="inlineStr">
        <is>
          <t>Clip</t>
        </is>
      </c>
      <c r="D36" s="4" t="inlineStr">
        <is>
          <t>Kovová spona na kravatu</t>
        </is>
      </c>
      <c r="E36" s="4" t="inlineStr">
        <is>
          <t>52</t>
        </is>
      </c>
      <c r="F36" s="4" t="inlineStr">
        <is>
          <t>Metal</t>
        </is>
      </c>
      <c r="G36" s="4" t="n">
        <v>100</v>
      </c>
      <c r="H36" s="5" t="inlineStr">
        <is>
          <t>CHYBÍ</t>
        </is>
      </c>
      <c r="I36" s="6" t="n">
        <v>1.37</v>
      </c>
      <c r="J36" s="6" t="n">
        <v>260</v>
      </c>
      <c r="K36" s="4" t="inlineStr">
        <is>
          <t>Ne</t>
        </is>
      </c>
      <c r="L36" s="4" t="inlineStr">
        <is>
          <t>Ne</t>
        </is>
      </c>
      <c r="M36" s="4" t="inlineStr">
        <is>
          <t>Ocel/kov: chybí hutní atest (melt &amp; pour). Hrubá hmotnost částečně rozpočtena podle hodnoty (sdílený karton).</t>
        </is>
      </c>
    </row>
    <row r="37">
      <c r="A37" s="4" t="inlineStr">
        <is>
          <t>GAUCHO COMPANY LIMITED (HCMC, VN)</t>
        </is>
      </c>
      <c r="B37" s="4" t="inlineStr">
        <is>
          <t>7323 93 00 90</t>
        </is>
      </c>
      <c r="C37" s="4" t="inlineStr">
        <is>
          <t>Paricha; Paricha plate Small; Paricha plate big</t>
        </is>
      </c>
      <c r="D37" s="4" t="inlineStr">
        <is>
          <t>Nerezová pánev na uhlíky na udržení teplého masa (parrilla); Nerezový talíř na parrillu malý; Nerezový talíř na parrillu velký</t>
        </is>
      </c>
      <c r="E37" s="4" t="inlineStr">
        <is>
          <t>36, 37, 38</t>
        </is>
      </c>
      <c r="F37" s="4" t="inlineStr">
        <is>
          <t>Stainless steel</t>
        </is>
      </c>
      <c r="G37" s="4" t="n">
        <v>100</v>
      </c>
      <c r="H37" s="5" t="inlineStr">
        <is>
          <t>CHYBÍ</t>
        </is>
      </c>
      <c r="I37" s="6" t="n">
        <v>38</v>
      </c>
      <c r="J37" s="6" t="n">
        <v>440</v>
      </c>
      <c r="K37" s="4" t="inlineStr">
        <is>
          <t>Ne</t>
        </is>
      </c>
      <c r="L37" s="4" t="inlineStr">
        <is>
          <t>Ne</t>
        </is>
      </c>
      <c r="M37" s="4" t="inlineStr">
        <is>
          <t>Kód dle minulého proclení GAUCHO. Ocel/kov: chybí hutní atest (melt &amp; pour). Hrubá hmotnost částečně rozpočtena podle hodnoty (sdílený karton).</t>
        </is>
      </c>
    </row>
    <row r="38">
      <c r="A38" s="4" t="inlineStr">
        <is>
          <t>GAUCHO COMPANY LIMITED (HCMC, VN)</t>
        </is>
      </c>
      <c r="B38" s="4" t="inlineStr">
        <is>
          <t>7323 99 00</t>
        </is>
      </c>
      <c r="C38" s="4" t="inlineStr">
        <is>
          <t>Astray</t>
        </is>
      </c>
      <c r="D38" s="4" t="inlineStr">
        <is>
          <t>Kovový popelník</t>
        </is>
      </c>
      <c r="E38" s="4" t="inlineStr">
        <is>
          <t>31</t>
        </is>
      </c>
      <c r="F38" s="4" t="inlineStr">
        <is>
          <t>Metal</t>
        </is>
      </c>
      <c r="G38" s="4" t="n">
        <v>120</v>
      </c>
      <c r="H38" s="5" t="inlineStr">
        <is>
          <t>CHYBÍ</t>
        </is>
      </c>
      <c r="I38" s="6" t="n">
        <v>35</v>
      </c>
      <c r="J38" s="6" t="n">
        <v>4680</v>
      </c>
      <c r="K38" s="4" t="inlineStr">
        <is>
          <t>Ne</t>
        </is>
      </c>
      <c r="L38" s="4" t="inlineStr">
        <is>
          <t>Ne</t>
        </is>
      </c>
      <c r="M38" s="4" t="inlineStr">
        <is>
          <t>Ocel/kov: chybí hutní atest (melt &amp; pour).</t>
        </is>
      </c>
    </row>
    <row r="39">
      <c r="A39" s="4" t="inlineStr">
        <is>
          <t>GAUCHO COMPANY LIMITED (HCMC, VN)</t>
        </is>
      </c>
      <c r="B39" s="4" t="inlineStr">
        <is>
          <t>8211 91 00</t>
        </is>
      </c>
      <c r="C39" s="4" t="inlineStr">
        <is>
          <t>Steak knives; Setup Knife</t>
        </is>
      </c>
      <c r="D39" s="4" t="inlineStr">
        <is>
          <t>Nerezový steakový nůž; Nerezový jídelní nůž</t>
        </is>
      </c>
      <c r="E39" s="4" t="inlineStr">
        <is>
          <t>24, 47</t>
        </is>
      </c>
      <c r="F39" s="4" t="inlineStr">
        <is>
          <t>Stainless steel</t>
        </is>
      </c>
      <c r="G39" s="4" t="n">
        <v>1200</v>
      </c>
      <c r="H39" s="5" t="inlineStr">
        <is>
          <t>CHYBÍ</t>
        </is>
      </c>
      <c r="I39" s="6" t="n">
        <v>108.82</v>
      </c>
      <c r="J39" s="6" t="n">
        <v>5660</v>
      </c>
      <c r="K39" s="4" t="inlineStr">
        <is>
          <t>Ne</t>
        </is>
      </c>
      <c r="L39" s="4" t="inlineStr">
        <is>
          <t>Ne</t>
        </is>
      </c>
      <c r="M39" s="4" t="inlineStr">
        <is>
          <t>Ocel/kov: chybí hutní atest (melt &amp; pour). Hrubá hmotnost částečně rozpočtena podle hodnoty (sdílený karton).</t>
        </is>
      </c>
    </row>
    <row r="40">
      <c r="A40" s="4" t="inlineStr">
        <is>
          <t>GAUCHO COMPANY LIMITED (HCMC, VN)</t>
        </is>
      </c>
      <c r="B40" s="4" t="inlineStr">
        <is>
          <t>8215 99 10 00</t>
        </is>
      </c>
      <c r="C40" s="4" t="inlineStr">
        <is>
          <t>Salsa spoon espresso; Capucino spoon sauce; Setup folk; Latte spoon; Dessert Spoon; Dessert Fork; Small spoon</t>
        </is>
      </c>
      <c r="D40" s="4" t="inlineStr">
        <is>
          <t>Lžička na espresso, nerez; Lžička na cappuccino, nerez; Vidlička, nerez; Lžička na latte, nerez; Dezertní lžička, nerez; Dezertní vidlička, nerez; Malá lžička, nerez</t>
        </is>
      </c>
      <c r="E40" s="4" t="inlineStr">
        <is>
          <t>21, 22, 23, 55, 56, 57, 58</t>
        </is>
      </c>
      <c r="F40" s="4" t="inlineStr">
        <is>
          <t>Stainless steel</t>
        </is>
      </c>
      <c r="G40" s="4" t="n">
        <v>1320</v>
      </c>
      <c r="H40" s="5" t="inlineStr">
        <is>
          <t>CHYBÍ</t>
        </is>
      </c>
      <c r="I40" s="6" t="n">
        <v>37.03</v>
      </c>
      <c r="J40" s="6" t="n">
        <v>672</v>
      </c>
      <c r="K40" s="4" t="inlineStr">
        <is>
          <t>Ne</t>
        </is>
      </c>
      <c r="L40" s="4" t="inlineStr">
        <is>
          <t>Ne</t>
        </is>
      </c>
      <c r="M40" s="4" t="inlineStr">
        <is>
          <t>Kód dle minulého proclení GAUCHO. Ocel/kov: chybí hutní atest (melt &amp; pour). Hrubá hmotnost částečně rozpočtena podle hodnoty (sdílený karton).</t>
        </is>
      </c>
    </row>
    <row r="41">
      <c r="A41" s="4" t="inlineStr">
        <is>
          <t>GAUCHO COMPANY LIMITED (HCMC, VN)</t>
        </is>
      </c>
      <c r="B41" s="4" t="inlineStr">
        <is>
          <t>8310 00 00</t>
        </is>
      </c>
      <c r="C41" s="4" t="inlineStr">
        <is>
          <t>Round sign; Butcher sign</t>
        </is>
      </c>
      <c r="D41" s="4" t="inlineStr">
        <is>
          <t>Kulatá reklamní cedule (kov, plast, nerez); Cedule 'Butcher' (kov, plast, nerez)</t>
        </is>
      </c>
      <c r="E41" s="4" t="inlineStr">
        <is>
          <t>50, 54</t>
        </is>
      </c>
      <c r="F41" s="4" t="inlineStr">
        <is>
          <t>Metal, plastic and stainless steel</t>
        </is>
      </c>
      <c r="G41" s="4" t="n">
        <v>7</v>
      </c>
      <c r="H41" s="5" t="inlineStr">
        <is>
          <t>CHYBÍ</t>
        </is>
      </c>
      <c r="I41" s="6" t="n">
        <v>126</v>
      </c>
      <c r="J41" s="6" t="n">
        <v>2140</v>
      </c>
      <c r="K41" s="4" t="inlineStr">
        <is>
          <t>Ne</t>
        </is>
      </c>
      <c r="L41" s="4" t="inlineStr">
        <is>
          <t>Ne</t>
        </is>
      </c>
      <c r="M41" s="4" t="inlineStr">
        <is>
          <t>Ocel/kov: chybí hutní atest (melt &amp; pour).</t>
        </is>
      </c>
    </row>
    <row r="42">
      <c r="A42" s="4" t="inlineStr">
        <is>
          <t>GAUCHO COMPANY LIMITED (HCMC, VN)</t>
        </is>
      </c>
      <c r="B42" s="4" t="inlineStr">
        <is>
          <t>8438 10 10</t>
        </is>
      </c>
      <c r="C42" s="4" t="inlineStr">
        <is>
          <t>Proofer</t>
        </is>
      </c>
      <c r="D42" s="4" t="inlineStr">
        <is>
          <t>Kynárna na těsto</t>
        </is>
      </c>
      <c r="E42" s="4" t="inlineStr">
        <is>
          <t>73</t>
        </is>
      </c>
      <c r="F42" s="4" t="inlineStr">
        <is>
          <t>Metal</t>
        </is>
      </c>
      <c r="G42" s="4" t="n">
        <v>2</v>
      </c>
      <c r="H42" s="5" t="inlineStr">
        <is>
          <t>CHYBÍ</t>
        </is>
      </c>
      <c r="I42" s="6" t="n">
        <v>446</v>
      </c>
      <c r="J42" s="6" t="n">
        <v>1112</v>
      </c>
      <c r="K42" s="4" t="inlineStr">
        <is>
          <t>Ne</t>
        </is>
      </c>
      <c r="L42" s="4" t="inlineStr">
        <is>
          <t>Ne</t>
        </is>
      </c>
      <c r="M42" s="4" t="inlineStr">
        <is>
          <t>Ocel/kov: chybí hutní atest (melt &amp; pour).</t>
        </is>
      </c>
    </row>
    <row r="43">
      <c r="A43" s="4" t="inlineStr">
        <is>
          <t>GAUCHO COMPANY LIMITED (HCMC, VN)</t>
        </is>
      </c>
      <c r="B43" s="4" t="inlineStr">
        <is>
          <t>9401 61 00 00</t>
        </is>
      </c>
      <c r="C43" s="4" t="inlineStr">
        <is>
          <t>Low chair</t>
        </is>
      </c>
      <c r="D43" s="4" t="inlineStr">
        <is>
          <t>Nízká židle do restaurace, mořený buk, čalouněná černou koženkou</t>
        </is>
      </c>
      <c r="E43" s="4" t="inlineStr">
        <is>
          <t>44</t>
        </is>
      </c>
      <c r="F43" s="4" t="inlineStr">
        <is>
          <t>Wood</t>
        </is>
      </c>
      <c r="G43" s="4" t="n">
        <v>30</v>
      </c>
      <c r="H43" s="5" t="inlineStr">
        <is>
          <t>CHYBÍ</t>
        </is>
      </c>
      <c r="I43" s="6" t="n">
        <v>270</v>
      </c>
      <c r="J43" s="6" t="n">
        <v>2400</v>
      </c>
      <c r="K43" s="4" t="inlineStr">
        <is>
          <t>Ne</t>
        </is>
      </c>
      <c r="L43" s="4" t="inlineStr">
        <is>
          <t>Ne</t>
        </is>
      </c>
      <c r="M43" s="4" t="inlineStr">
        <is>
          <t>Kód dle minulého proclení GAUCHO.</t>
        </is>
      </c>
    </row>
    <row r="44">
      <c r="A44" s="4" t="inlineStr">
        <is>
          <t>GAUCHO COMPANY LIMITED (HCMC, VN)</t>
        </is>
      </c>
      <c r="B44" s="4" t="inlineStr">
        <is>
          <t>9403 91 00 90</t>
        </is>
      </c>
      <c r="C44" s="4" t="inlineStr">
        <is>
          <t>Table face</t>
        </is>
      </c>
      <c r="D44" s="4" t="inlineStr">
        <is>
          <t>Stolová deska, dub mořený</t>
        </is>
      </c>
      <c r="E44" s="4" t="inlineStr">
        <is>
          <t>46</t>
        </is>
      </c>
      <c r="F44" s="4" t="inlineStr">
        <is>
          <t>Wood</t>
        </is>
      </c>
      <c r="G44" s="4" t="n">
        <v>24</v>
      </c>
      <c r="H44" s="5" t="inlineStr">
        <is>
          <t>CHYBÍ</t>
        </is>
      </c>
      <c r="I44" s="6" t="n">
        <v>432</v>
      </c>
      <c r="J44" s="6" t="n">
        <v>2808</v>
      </c>
      <c r="K44" s="4" t="inlineStr">
        <is>
          <t>Ne</t>
        </is>
      </c>
      <c r="L44" s="4" t="inlineStr">
        <is>
          <t>Ne</t>
        </is>
      </c>
      <c r="M44" s="4" t="inlineStr">
        <is>
          <t>Kód dle minulého proclení GAUCHO. Ocel/kov: chybí hutní atest (melt &amp; pour).</t>
        </is>
      </c>
    </row>
    <row r="45">
      <c r="A45" s="4" t="inlineStr">
        <is>
          <t>GAUCHO COMPANY LIMITED (HCMC, VN)</t>
        </is>
      </c>
      <c r="B45" s="4" t="inlineStr">
        <is>
          <t>9403 99 10 90</t>
        </is>
      </c>
      <c r="C45" s="4" t="inlineStr">
        <is>
          <t>Low table leg</t>
        </is>
      </c>
      <c r="D45" s="4" t="inlineStr">
        <is>
          <t>Kovová noha od stolu nízká</t>
        </is>
      </c>
      <c r="E45" s="4" t="inlineStr">
        <is>
          <t>45</t>
        </is>
      </c>
      <c r="F45" s="4" t="inlineStr">
        <is>
          <t>Metal</t>
        </is>
      </c>
      <c r="G45" s="4" t="n">
        <v>24</v>
      </c>
      <c r="H45" s="5" t="inlineStr">
        <is>
          <t>CHYBÍ</t>
        </is>
      </c>
      <c r="I45" s="6" t="n">
        <v>600</v>
      </c>
      <c r="J45" s="6" t="n">
        <v>888</v>
      </c>
      <c r="K45" s="4" t="inlineStr">
        <is>
          <t>Ne</t>
        </is>
      </c>
      <c r="L45" s="4" t="inlineStr">
        <is>
          <t>Ne</t>
        </is>
      </c>
      <c r="M45" s="4" t="inlineStr">
        <is>
          <t>Kód dle minulého proclení GAUCHO. Ocel/kov: chybí hutní atest (melt &amp; pour).</t>
        </is>
      </c>
    </row>
    <row r="46">
      <c r="A46" s="4" t="inlineStr">
        <is>
          <t>GAUCHO COMPANY LIMITED (HCMC, VN)</t>
        </is>
      </c>
      <c r="B46" s="4" t="inlineStr">
        <is>
          <t>9405 21 40 00</t>
        </is>
      </c>
      <c r="C46" s="4" t="inlineStr">
        <is>
          <t>Table lamp</t>
        </is>
      </c>
      <c r="D46" s="4" t="inlineStr">
        <is>
          <t>Stolní lampička, LED, USB nabíjení</t>
        </is>
      </c>
      <c r="E46" s="4" t="inlineStr">
        <is>
          <t>35</t>
        </is>
      </c>
      <c r="F46" s="4" t="inlineStr">
        <is>
          <t>Plastic</t>
        </is>
      </c>
      <c r="G46" s="4" t="n">
        <v>50</v>
      </c>
      <c r="H46" s="5" t="inlineStr">
        <is>
          <t>CHYBÍ</t>
        </is>
      </c>
      <c r="I46" s="6" t="n">
        <v>30</v>
      </c>
      <c r="J46" s="6" t="n">
        <v>600</v>
      </c>
      <c r="K46" s="4" t="inlineStr">
        <is>
          <t>Ne</t>
        </is>
      </c>
      <c r="L46" s="4" t="inlineStr">
        <is>
          <t>Ne</t>
        </is>
      </c>
      <c r="M46" s="4" t="inlineStr">
        <is>
          <t>Kód dle minulého proclení GAUCHO.</t>
        </is>
      </c>
    </row>
    <row r="47">
      <c r="A47" s="8" t="inlineStr">
        <is>
          <t>CELKEM</t>
        </is>
      </c>
      <c r="B47" s="9" t="n"/>
      <c r="C47" s="9" t="n"/>
      <c r="D47" s="9" t="n"/>
      <c r="E47" s="9" t="n"/>
      <c r="F47" s="9" t="n"/>
      <c r="G47" s="9" t="n"/>
      <c r="H47" s="10" t="inlineStr">
        <is>
          <t>CHYBÍ</t>
        </is>
      </c>
      <c r="I47" s="11">
        <f>SUM(I10:I46)</f>
        <v/>
      </c>
      <c r="J47" s="11">
        <f>SUM(J10:J46)</f>
        <v/>
      </c>
      <c r="K47" s="9" t="n"/>
      <c r="L47" s="9" t="n"/>
      <c r="M4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2026-10-19T10:16:49Z</dcterms:created>
  <dcterms:modified xmlns:dcterms="http://purl.org/dc/terms/" xmlns:xsi="http://www.w3.org/2001/XMLSchema-instance" xsi:type="dcterms:W3CDTF">2026-10-19T10:16:49Z</dcterms:modified>
</cp:coreProperties>
</file>