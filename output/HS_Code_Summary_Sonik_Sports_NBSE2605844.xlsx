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  <font>
      <name val="Arial"/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4" fontId="2" fillId="0" borderId="1" pivotButton="0" quotePrefix="0" xfId="0"/>
    <xf numFmtId="3" fontId="2" fillId="0" borderId="1" pivotButton="0" quotePrefix="0" xfId="0"/>
    <xf numFmtId="0" fontId="2" fillId="3" borderId="1" pivotButton="0" quotePrefix="0" xfId="0"/>
    <xf numFmtId="0" fontId="1" fillId="4" borderId="1" pivotButton="0" quotePrefix="0" xfId="0"/>
    <xf numFmtId="4" fontId="1" fillId="4" borderId="1" pivotButton="0" quotePrefix="0" xfId="0"/>
    <xf numFmtId="3" fontId="1" fillId="4" borderId="1" pivotButton="0" quotePrefix="0" xfId="0"/>
    <xf numFmtId="0" fontId="1" fillId="2" borderId="1" pivotButton="0" quotePrefix="0" xfId="0"/>
    <xf numFmtId="0" fontId="1" fillId="0" borderId="1" pivotButton="0" quotePrefix="0" xfId="0"/>
    <xf numFmtId="3" fontId="1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34" customWidth="1" min="3" max="3"/>
    <col width="26" customWidth="1" min="4" max="4"/>
    <col width="13" customWidth="1" min="5" max="5"/>
    <col width="14" customWidth="1" min="6" max="6"/>
    <col width="13" customWidth="1" min="7" max="7"/>
    <col width="10" customWidth="1" min="8" max="8"/>
    <col width="15" customWidth="1" min="9" max="9"/>
    <col width="26" customWidth="1" min="10" max="10"/>
    <col width="34" customWidth="1" min="11" max="11"/>
  </cols>
  <sheetData>
    <row r="1">
      <c r="A1" s="1" t="inlineStr">
        <is>
          <t>HS CODE SUMMARY — Sonik Sports, shipment NBSE2605844</t>
        </is>
      </c>
    </row>
    <row r="2">
      <c r="A2" s="2" t="inlineStr">
        <is>
          <t>Client / Consignee</t>
        </is>
      </c>
      <c r="B2" s="3" t="inlineStr">
        <is>
          <t>SONIK SPORTS CZECH LOGISTICS (Sonik Sports Limited), Osov 75, 267 25 Osov, Czech Republic — EORI CZ00015236976</t>
        </is>
      </c>
    </row>
    <row r="3">
      <c r="A3" s="2" t="inlineStr">
        <is>
          <t>Sender / Shipper</t>
        </is>
      </c>
      <c r="B3" s="3" t="inlineStr">
        <is>
          <t>NINGBO S.SHINE TRADING CO.,LTD (China)</t>
        </is>
      </c>
    </row>
    <row r="4">
      <c r="A4" s="2" t="inlineStr">
        <is>
          <t>Master B/L</t>
        </is>
      </c>
      <c r="B4" s="3" t="inlineStr">
        <is>
          <t>NBSE2605844  ·  House/lot: NBSE26050687M01  ·  OOCL sea waybill: OOLU8882121400</t>
        </is>
      </c>
    </row>
    <row r="5">
      <c r="A5" s="2" t="inlineStr">
        <is>
          <t>Vessel / Route</t>
        </is>
      </c>
      <c r="B5" s="3" t="inlineStr">
        <is>
          <t>CMA CGM ADONIS V.0BENVW — Ningbo, China → Koper (on board 21–22 May 2026)</t>
        </is>
      </c>
    </row>
    <row r="6">
      <c r="A6" s="2" t="inlineStr">
        <is>
          <t>Containers</t>
        </is>
      </c>
      <c r="B6" s="3" t="inlineStr">
        <is>
          <t>OOCU5371915 (40'HC, 1 068 ctns, inv. STS168-1) + CSNU6903652 (40'HC, 389 ctns, inv. STS168-2)</t>
        </is>
      </c>
    </row>
    <row r="7">
      <c r="A7" s="2" t="inlineStr">
        <is>
          <t>Invoices</t>
        </is>
      </c>
      <c r="B7" s="3" t="inlineStr">
        <is>
          <t>STS168-1 (USD 173 243.70) + STS168-2 (USD 14 576.64), dated 28 May 2026, FOB Ningbo — values in USD</t>
        </is>
      </c>
    </row>
    <row r="8">
      <c r="A8" s="2" t="inlineStr">
        <is>
          <t>Country of origin</t>
        </is>
      </c>
      <c r="B8" s="3" t="inlineStr">
        <is>
          <t>CHINA (per both invoices)</t>
        </is>
      </c>
    </row>
    <row r="10" ht="30" customHeight="1">
      <c r="A10" s="4" t="inlineStr">
        <is>
          <t>⚠ PREFERENČNÍ VĚTA: NOT present in the documents. Both invoices state only "Country of origin: CHINA" — no preferential-origin declaration (and none applies for CN). Standard third-country duty applies at clearance.</t>
        </is>
      </c>
    </row>
    <row r="12">
      <c r="A12" s="5" t="inlineStr">
        <is>
          <t>Sender</t>
        </is>
      </c>
      <c r="B12" s="5" t="inlineStr">
        <is>
          <t>HS code</t>
        </is>
      </c>
      <c r="C12" s="5" t="inlineStr">
        <is>
          <t>Description (CZ)</t>
        </is>
      </c>
      <c r="D12" s="5" t="inlineStr">
        <is>
          <t>Description (EN)</t>
        </is>
      </c>
      <c r="E12" s="5" t="inlineStr">
        <is>
          <t>Net weight (kg)</t>
        </is>
      </c>
      <c r="F12" s="5" t="inlineStr">
        <is>
          <t>Gross weight (kg)</t>
        </is>
      </c>
      <c r="G12" s="5" t="inlineStr">
        <is>
          <t>Quantity (pcs)</t>
        </is>
      </c>
      <c r="H12" s="5" t="inlineStr">
        <is>
          <t>Cartons</t>
        </is>
      </c>
      <c r="I12" s="5" t="inlineStr">
        <is>
          <t>Customs value (USD)</t>
        </is>
      </c>
      <c r="J12" s="5" t="inlineStr">
        <is>
          <t>CBAM</t>
        </is>
      </c>
      <c r="K12" s="5" t="inlineStr">
        <is>
          <t>Antidumping</t>
        </is>
      </c>
    </row>
    <row r="13">
      <c r="A13" s="6" t="inlineStr">
        <is>
          <t>NINGBO S.SHINE TRADING CO.,LTD</t>
        </is>
      </c>
      <c r="B13" s="6" t="inlineStr">
        <is>
          <t>9507300000</t>
        </is>
      </c>
      <c r="C13" s="7" t="inlineStr">
        <is>
          <t>cívka / Naviják / rybářský naviják spool / rybářský naviják / Cívka díly</t>
        </is>
      </c>
      <c r="D13" s="7" t="inlineStr">
        <is>
          <t>Spool / Reel / Reel - part</t>
        </is>
      </c>
      <c r="E13" s="8">
        <f>SUMIFS(Detail!$K$2:$K$61,Detail!$F$2:$F$61,B13,Detail!$A$2:$A$61,A13)</f>
        <v>1600.8</v>
      </c>
      <c r="F13" s="8">
        <f>SUMIFS(Detail!$L$2:$L$61,Detail!$F$2:$F$61,B13,Detail!$A$2:$A$61,A13)</f>
        <v>1852.9</v>
      </c>
      <c r="G13" s="9">
        <f>SUMIFS(Detail!$J$2:$J$61,Detail!$F$2:$F$61,B13,Detail!$A$2:$A$61,A13)</f>
        <v>4112</v>
      </c>
      <c r="H13" s="9">
        <f>SUMIFS(Detail!$I$2:$I$61,Detail!$F$2:$F$61,B13,Detail!$A$2:$A$61,A13)</f>
        <v>253</v>
      </c>
      <c r="I13" s="8">
        <f>SUMIFS(Detail!$M$2:$M$61,Detail!$F$2:$F$61,B13,Detail!$A$2:$A$61,A13)</f>
        <v>46049.5</v>
      </c>
      <c r="J13" s="6" t="inlineStr">
        <is>
          <t>NE</t>
        </is>
      </c>
      <c r="K13" s="6" t="inlineStr">
        <is>
          <t>—</t>
        </is>
      </c>
    </row>
    <row r="14">
      <c r="A14" s="6" t="inlineStr">
        <is>
          <t>NINGBO S.SHINE TRADING CO.,LTD</t>
        </is>
      </c>
      <c r="B14" s="6" t="inlineStr">
        <is>
          <t>5404190090</t>
        </is>
      </c>
      <c r="C14" s="7" t="inlineStr">
        <is>
          <t>Vlasec</t>
        </is>
      </c>
      <c r="D14" s="7" t="inlineStr">
        <is>
          <t>Fishing Line</t>
        </is>
      </c>
      <c r="E14" s="8">
        <f>SUMIFS(Detail!$K$2:$K$61,Detail!$F$2:$F$61,B14,Detail!$A$2:$A$61,A14)</f>
        <v>231.9</v>
      </c>
      <c r="F14" s="8">
        <f>SUMIFS(Detail!$L$2:$L$61,Detail!$F$2:$F$61,B14,Detail!$A$2:$A$61,A14)</f>
        <v>251.9</v>
      </c>
      <c r="G14" s="9">
        <f>SUMIFS(Detail!$J$2:$J$61,Detail!$F$2:$F$61,B14,Detail!$A$2:$A$61,A14)</f>
        <v>904</v>
      </c>
      <c r="H14" s="9">
        <f>SUMIFS(Detail!$I$2:$I$61,Detail!$F$2:$F$61,B14,Detail!$A$2:$A$61,A14)</f>
        <v>20</v>
      </c>
      <c r="I14" s="8">
        <f>SUMIFS(Detail!$M$2:$M$61,Detail!$F$2:$F$61,B14,Detail!$A$2:$A$61,A14)</f>
        <v>4644.2</v>
      </c>
      <c r="J14" s="6" t="inlineStr">
        <is>
          <t>NE</t>
        </is>
      </c>
      <c r="K14" s="6" t="inlineStr">
        <is>
          <t>—</t>
        </is>
      </c>
    </row>
    <row r="15">
      <c r="A15" s="6" t="inlineStr">
        <is>
          <t>NINGBO S.SHINE TRADING CO.,LTD</t>
        </is>
      </c>
      <c r="B15" s="6" t="inlineStr">
        <is>
          <t>9507900000</t>
        </is>
      </c>
      <c r="C15" s="7" t="inlineStr">
        <is>
          <t>Rozmetací blok / Síť / držák prutu / Rukojeť / Zámek tyče / rybářský alarm / síťovina</t>
        </is>
      </c>
      <c r="D15" s="7" t="inlineStr">
        <is>
          <t>Spreder Block / Net / Rod Pod / Grip / Rod Lock / Alarm</t>
        </is>
      </c>
      <c r="E15" s="8">
        <f>SUMIFS(Detail!$K$2:$K$61,Detail!$F$2:$F$61,B15,Detail!$A$2:$A$61,A15)</f>
        <v>4248.6</v>
      </c>
      <c r="F15" s="8">
        <f>SUMIFS(Detail!$L$2:$L$61,Detail!$F$2:$F$61,B15,Detail!$A$2:$A$61,A15)</f>
        <v>4736.6</v>
      </c>
      <c r="G15" s="9">
        <f>SUMIFS(Detail!$J$2:$J$61,Detail!$F$2:$F$61,B15,Detail!$A$2:$A$61,A15)</f>
        <v>13610</v>
      </c>
      <c r="H15" s="9">
        <f>SUMIFS(Detail!$I$2:$I$61,Detail!$F$2:$F$61,B15,Detail!$A$2:$A$61,A15)</f>
        <v>488</v>
      </c>
      <c r="I15" s="8">
        <f>SUMIFS(Detail!$M$2:$M$61,Detail!$F$2:$F$61,B15,Detail!$A$2:$A$61,A15)</f>
        <v>61345.1</v>
      </c>
      <c r="J15" s="6" t="inlineStr">
        <is>
          <t>NE</t>
        </is>
      </c>
      <c r="K15" s="6" t="inlineStr">
        <is>
          <t>—</t>
        </is>
      </c>
    </row>
    <row r="16">
      <c r="A16" s="6" t="inlineStr">
        <is>
          <t>NINGBO S.SHINE TRADING CO.,LTD</t>
        </is>
      </c>
      <c r="B16" s="6" t="inlineStr">
        <is>
          <t>3923109090</t>
        </is>
      </c>
      <c r="C16" s="7" t="inlineStr">
        <is>
          <t>Krabice</t>
        </is>
      </c>
      <c r="D16" s="7" t="inlineStr">
        <is>
          <t>Box</t>
        </is>
      </c>
      <c r="E16" s="8">
        <f>SUMIFS(Detail!$K$2:$K$61,Detail!$F$2:$F$61,B16,Detail!$A$2:$A$61,A16)</f>
        <v>1127.897</v>
      </c>
      <c r="F16" s="8">
        <f>SUMIFS(Detail!$L$2:$L$61,Detail!$F$2:$F$61,B16,Detail!$A$2:$A$61,A16)</f>
        <v>1230.797</v>
      </c>
      <c r="G16" s="9">
        <f>SUMIFS(Detail!$J$2:$J$61,Detail!$F$2:$F$61,B16,Detail!$A$2:$A$61,A16)</f>
        <v>1570</v>
      </c>
      <c r="H16" s="9">
        <f>SUMIFS(Detail!$I$2:$I$61,Detail!$F$2:$F$61,B16,Detail!$A$2:$A$61,A16)</f>
        <v>103</v>
      </c>
      <c r="I16" s="8">
        <f>SUMIFS(Detail!$M$2:$M$61,Detail!$F$2:$F$61,B16,Detail!$A$2:$A$61,A16)</f>
        <v>10358.2</v>
      </c>
      <c r="J16" s="6" t="inlineStr">
        <is>
          <t>NE</t>
        </is>
      </c>
      <c r="K16" s="6" t="inlineStr">
        <is>
          <t>—</t>
        </is>
      </c>
    </row>
    <row r="17">
      <c r="A17" s="6" t="inlineStr">
        <is>
          <t>NINGBO S.SHINE TRADING CO.,LTD</t>
        </is>
      </c>
      <c r="B17" s="6" t="inlineStr">
        <is>
          <t>7616999099</t>
        </is>
      </c>
      <c r="C17" s="7" t="inlineStr">
        <is>
          <t>držet / Tyče na pruty</t>
        </is>
      </c>
      <c r="D17" s="7" t="inlineStr">
        <is>
          <t>Stick / Rod Bars</t>
        </is>
      </c>
      <c r="E17" s="8">
        <f>SUMIFS(Detail!$K$2:$K$61,Detail!$F$2:$F$61,B17,Detail!$A$2:$A$61,A17)</f>
        <v>581.5</v>
      </c>
      <c r="F17" s="8">
        <f>SUMIFS(Detail!$L$2:$L$61,Detail!$F$2:$F$61,B17,Detail!$A$2:$A$61,A17)</f>
        <v>649.5</v>
      </c>
      <c r="G17" s="9">
        <f>SUMIFS(Detail!$J$2:$J$61,Detail!$F$2:$F$61,B17,Detail!$A$2:$A$61,A17)</f>
        <v>2920</v>
      </c>
      <c r="H17" s="9">
        <f>SUMIFS(Detail!$I$2:$I$61,Detail!$F$2:$F$61,B17,Detail!$A$2:$A$61,A17)</f>
        <v>93</v>
      </c>
      <c r="I17" s="8">
        <f>SUMIFS(Detail!$M$2:$M$61,Detail!$F$2:$F$61,B17,Detail!$A$2:$A$61,A17)</f>
        <v>12053.7</v>
      </c>
      <c r="J17" s="10" t="inlineStr">
        <is>
          <t>ANO – hliníkový výrobek (kap. 76) – CBAM</t>
        </is>
      </c>
      <c r="K17" s="10" t="inlineStr">
        <is>
          <t>PROVĚŘIT – možné antidumpingové clo: hliníkové výlisky z ČLR (nař. (EU) 2021/546, AD655)</t>
        </is>
      </c>
    </row>
    <row r="18">
      <c r="A18" s="6" t="inlineStr">
        <is>
          <t>NINGBO S.SHINE TRADING CO.,LTD</t>
        </is>
      </c>
      <c r="B18" s="6" t="inlineStr">
        <is>
          <t>4016999190</t>
        </is>
      </c>
      <c r="C18" s="7" t="inlineStr">
        <is>
          <t>úchop prutu</t>
        </is>
      </c>
      <c r="D18" s="7" t="inlineStr">
        <is>
          <t>Rod grip</t>
        </is>
      </c>
      <c r="E18" s="8">
        <f>SUMIFS(Detail!$K$2:$K$61,Detail!$F$2:$F$61,B18,Detail!$A$2:$A$61,A18)</f>
        <v>64</v>
      </c>
      <c r="F18" s="8">
        <f>SUMIFS(Detail!$L$2:$L$61,Detail!$F$2:$F$61,B18,Detail!$A$2:$A$61,A18)</f>
        <v>72</v>
      </c>
      <c r="G18" s="9">
        <f>SUMIFS(Detail!$J$2:$J$61,Detail!$F$2:$F$61,B18,Detail!$A$2:$A$61,A18)</f>
        <v>4000</v>
      </c>
      <c r="H18" s="9">
        <f>SUMIFS(Detail!$I$2:$I$61,Detail!$F$2:$F$61,B18,Detail!$A$2:$A$61,A18)</f>
        <v>8</v>
      </c>
      <c r="I18" s="8">
        <f>SUMIFS(Detail!$M$2:$M$61,Detail!$F$2:$F$61,B18,Detail!$A$2:$A$61,A18)</f>
        <v>3680</v>
      </c>
      <c r="J18" s="6" t="inlineStr">
        <is>
          <t>NE</t>
        </is>
      </c>
      <c r="K18" s="6" t="inlineStr">
        <is>
          <t>—</t>
        </is>
      </c>
    </row>
    <row r="19">
      <c r="A19" s="6" t="inlineStr">
        <is>
          <t>NINGBO S.SHINE TRADING CO.,LTD</t>
        </is>
      </c>
      <c r="B19" s="6" t="inlineStr">
        <is>
          <t>8531202090</t>
        </is>
      </c>
      <c r="C19" s="7" t="inlineStr">
        <is>
          <t>Měřítko / rybářský alarm</t>
        </is>
      </c>
      <c r="D19" s="7" t="inlineStr">
        <is>
          <t>Scale / Alarm</t>
        </is>
      </c>
      <c r="E19" s="8">
        <f>SUMIFS(Detail!$K$2:$K$61,Detail!$F$2:$F$61,B19,Detail!$A$2:$A$61,A19)</f>
        <v>698.3</v>
      </c>
      <c r="F19" s="8">
        <f>SUMIFS(Detail!$L$2:$L$61,Detail!$F$2:$F$61,B19,Detail!$A$2:$A$61,A19)</f>
        <v>789.3</v>
      </c>
      <c r="G19" s="9">
        <f>SUMIFS(Detail!$J$2:$J$61,Detail!$F$2:$F$61,B19,Detail!$A$2:$A$61,A19)</f>
        <v>1850</v>
      </c>
      <c r="H19" s="9">
        <f>SUMIFS(Detail!$I$2:$I$61,Detail!$F$2:$F$61,B19,Detail!$A$2:$A$61,A19)</f>
        <v>91</v>
      </c>
      <c r="I19" s="8">
        <f>SUMIFS(Detail!$M$2:$M$61,Detail!$F$2:$F$61,B19,Detail!$A$2:$A$61,A19)</f>
        <v>31843</v>
      </c>
      <c r="J19" s="6" t="inlineStr">
        <is>
          <t>NE</t>
        </is>
      </c>
      <c r="K19" s="6" t="inlineStr">
        <is>
          <t>—</t>
        </is>
      </c>
    </row>
    <row r="20">
      <c r="A20" s="6" t="inlineStr">
        <is>
          <t>NINGBO S.SHINE TRADING CO.,LTD</t>
        </is>
      </c>
      <c r="B20" s="6" t="inlineStr">
        <is>
          <t>8513100000</t>
        </is>
      </c>
      <c r="C20" s="7" t="inlineStr">
        <is>
          <t>Pochodeň</t>
        </is>
      </c>
      <c r="D20" s="7" t="inlineStr">
        <is>
          <t>Torch</t>
        </is>
      </c>
      <c r="E20" s="8">
        <f>SUMIFS(Detail!$K$2:$K$61,Detail!$F$2:$F$61,B20,Detail!$A$2:$A$61,A20)</f>
        <v>84</v>
      </c>
      <c r="F20" s="8">
        <f>SUMIFS(Detail!$L$2:$L$61,Detail!$F$2:$F$61,B20,Detail!$A$2:$A$61,A20)</f>
        <v>96</v>
      </c>
      <c r="G20" s="9">
        <f>SUMIFS(Detail!$J$2:$J$61,Detail!$F$2:$F$61,B20,Detail!$A$2:$A$61,A20)</f>
        <v>600</v>
      </c>
      <c r="H20" s="9">
        <f>SUMIFS(Detail!$I$2:$I$61,Detail!$F$2:$F$61,B20,Detail!$A$2:$A$61,A20)</f>
        <v>12</v>
      </c>
      <c r="I20" s="8">
        <f>SUMIFS(Detail!$M$2:$M$61,Detail!$F$2:$F$61,B20,Detail!$A$2:$A$61,A20)</f>
        <v>3270</v>
      </c>
      <c r="J20" s="6" t="inlineStr">
        <is>
          <t>NE</t>
        </is>
      </c>
      <c r="K20" s="6" t="inlineStr">
        <is>
          <t>—</t>
        </is>
      </c>
    </row>
    <row r="21">
      <c r="A21" s="6" t="inlineStr">
        <is>
          <t>NINGBO S.SHINE TRADING CO.,LTD</t>
        </is>
      </c>
      <c r="B21" s="6" t="inlineStr">
        <is>
          <t>3923900000</t>
        </is>
      </c>
      <c r="C21" s="7" t="inlineStr">
        <is>
          <t>Úložný box</t>
        </is>
      </c>
      <c r="D21" s="7" t="inlineStr">
        <is>
          <t>Storage box</t>
        </is>
      </c>
      <c r="E21" s="8">
        <f>SUMIFS(Detail!$K$2:$K$61,Detail!$F$2:$F$61,B21,Detail!$A$2:$A$61,A21)</f>
        <v>4715</v>
      </c>
      <c r="F21" s="8">
        <f>SUMIFS(Detail!$L$2:$L$61,Detail!$F$2:$F$61,B21,Detail!$A$2:$A$61,A21)</f>
        <v>5104</v>
      </c>
      <c r="G21" s="9">
        <f>SUMIFS(Detail!$J$2:$J$61,Detail!$F$2:$F$61,B21,Detail!$A$2:$A$61,A21)</f>
        <v>3088</v>
      </c>
      <c r="H21" s="9">
        <f>SUMIFS(Detail!$I$2:$I$61,Detail!$F$2:$F$61,B21,Detail!$A$2:$A$61,A21)</f>
        <v>389</v>
      </c>
      <c r="I21" s="8">
        <f>SUMIFS(Detail!$M$2:$M$61,Detail!$F$2:$F$61,B21,Detail!$A$2:$A$61,A21)</f>
        <v>14576.64</v>
      </c>
      <c r="J21" s="6" t="inlineStr">
        <is>
          <t>NE</t>
        </is>
      </c>
      <c r="K21" s="6" t="inlineStr">
        <is>
          <t>—</t>
        </is>
      </c>
    </row>
    <row r="22">
      <c r="A22" s="11" t="inlineStr">
        <is>
          <t>TOTAL</t>
        </is>
      </c>
      <c r="B22" s="6" t="n"/>
      <c r="C22" s="6" t="n"/>
      <c r="D22" s="6" t="n"/>
      <c r="E22" s="12">
        <f>SUM(E13:E21)</f>
        <v>13351.997</v>
      </c>
      <c r="F22" s="12">
        <f>SUM(F13:F21)</f>
        <v>14782.997</v>
      </c>
      <c r="G22" s="13">
        <f>SUM(G13:G21)</f>
        <v>32654</v>
      </c>
      <c r="H22" s="13">
        <f>SUM(H13:H21)</f>
        <v>1457</v>
      </c>
      <c r="I22" s="12">
        <f>SUM(I13:I21)</f>
        <v>187820.34</v>
      </c>
      <c r="J22" s="6" t="n"/>
      <c r="K22" s="6" t="n"/>
    </row>
    <row r="24">
      <c r="A24" s="2" t="inlineStr">
        <is>
          <t>Notes:</t>
        </is>
      </c>
    </row>
    <row r="25">
      <c r="A25" s="3" t="inlineStr">
        <is>
          <t>1. One sender only (Ningbo S.Shine Trading) — line items merged to unique HS codes within this sender; both invoices/containers combined.</t>
        </is>
      </c>
    </row>
    <row r="26">
      <c r="A26" s="3" t="inlineStr">
        <is>
          <t>2. HS codes + Czech descriptions taken from the client-annotated invoice copies ("Copy_of_SK131041/42"), which take priority. Czech description used wherever available (all lines).</t>
        </is>
      </c>
    </row>
    <row r="27">
      <c r="A27" s="3" t="inlineStr">
        <is>
          <t>3. Discrepancies vs. B/L OOLU8882121400 to verify before declaration:</t>
        </is>
      </c>
    </row>
    <row r="28">
      <c r="A28" s="3" t="inlineStr">
        <is>
          <t xml:space="preserve">   - Digital folding scales HC0090: invoice HS 8531202090, but B/L shows HS 842310 (weighing machinery) for the matching 40 ctns / 340 kg.</t>
        </is>
      </c>
    </row>
    <row r="29">
      <c r="A29" s="3" t="inlineStr">
        <is>
          <t xml:space="preserve">   - StackSmart storage boxes: invoice HS 3923900000, B/L shows 392310.</t>
        </is>
      </c>
    </row>
    <row r="30">
      <c r="A30" s="3" t="inlineStr">
        <is>
          <t xml:space="preserve">   - Spring grips HC0110/0111: invoice HS 4016999190 (rubber), B/L groups them under 950790.</t>
        </is>
      </c>
    </row>
    <row r="31">
      <c r="A31" s="3" t="inlineStr">
        <is>
          <t xml:space="preserve">   - B/L lists 3 ctns / 35 kg "METAL CHAIN" HS 830810 and 15 ctns / 154 kg HS 481910 — neither code appears in the invoices (the 481910 weight matches LOKBOX COMPACT VC0003).</t>
        </is>
      </c>
    </row>
    <row r="32">
      <c r="A32" s="3" t="inlineStr">
        <is>
          <t>4. No trade discount on either invoice — no proportional discount applied. Values are FOB Ningbo, USD.</t>
        </is>
      </c>
    </row>
    <row r="33">
      <c r="A33" s="3" t="inlineStr">
        <is>
          <t>5. CBAM: HS 7616999099 (aluminium bank sticks / buzz bars, 581.5 kg net, USD 12 053.70) falls under CBAM chapter 76 — importer CBAM reporting obligation.</t>
        </is>
      </c>
    </row>
    <row r="34">
      <c r="A34" s="3" t="inlineStr">
        <is>
          <t>6. Antidumping: same 7616999099 items may fall within scope of EU AD measures on aluminium extrusions from China (Reg. (EU) 2021/546) — verify product scope before clearance.</t>
        </is>
      </c>
    </row>
    <row r="35">
      <c r="A35" s="3" t="inlineStr">
        <is>
          <t>Source: invoices &amp; packing lists STS168-1 / STS168-2, B/L NBSE2605844, OOCL waybill OOLU8882121400, pre-alert NBSE26050687M01 (uploaded 17 Jul 2026).</t>
        </is>
      </c>
    </row>
  </sheetData>
  <mergeCells count="13">
    <mergeCell ref="A34:K34"/>
    <mergeCell ref="A35:K35"/>
    <mergeCell ref="A26:K26"/>
    <mergeCell ref="A30:K30"/>
    <mergeCell ref="A29:K29"/>
    <mergeCell ref="A25:K25"/>
    <mergeCell ref="A24:K24"/>
    <mergeCell ref="A33:K33"/>
    <mergeCell ref="A10:K10"/>
    <mergeCell ref="A28:K28"/>
    <mergeCell ref="A32:K32"/>
    <mergeCell ref="A27:K27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1" customWidth="1" min="4" max="4"/>
    <col width="38" customWidth="1" min="5" max="5"/>
    <col width="12" customWidth="1" min="6" max="6"/>
    <col width="26" customWidth="1" min="7" max="7"/>
    <col width="16" customWidth="1" min="8" max="8"/>
    <col width="9" customWidth="1" min="9" max="9"/>
    <col width="13" customWidth="1" min="10" max="10"/>
    <col width="14" customWidth="1" min="11" max="11"/>
    <col width="15" customWidth="1" min="12" max="12"/>
    <col width="13" customWidth="1" min="13" max="13"/>
  </cols>
  <sheetData>
    <row r="1">
      <c r="A1" s="14" t="inlineStr">
        <is>
          <t>Sender</t>
        </is>
      </c>
      <c r="B1" s="14" t="inlineStr">
        <is>
          <t>Invoice</t>
        </is>
      </c>
      <c r="C1" s="14" t="inlineStr">
        <is>
          <t>Container</t>
        </is>
      </c>
      <c r="D1" s="14" t="inlineStr">
        <is>
          <t>Item code</t>
        </is>
      </c>
      <c r="E1" s="14" t="inlineStr">
        <is>
          <t>Item name</t>
        </is>
      </c>
      <c r="F1" s="14" t="inlineStr">
        <is>
          <t>HS code</t>
        </is>
      </c>
      <c r="G1" s="14" t="inlineStr">
        <is>
          <t>Description CZ</t>
        </is>
      </c>
      <c r="H1" s="14" t="inlineStr">
        <is>
          <t>Description EN</t>
        </is>
      </c>
      <c r="I1" s="14" t="inlineStr">
        <is>
          <t>Cartons</t>
        </is>
      </c>
      <c r="J1" s="14" t="inlineStr">
        <is>
          <t>Quantity (pcs)</t>
        </is>
      </c>
      <c r="K1" s="14" t="inlineStr">
        <is>
          <t>Net weight (kg)</t>
        </is>
      </c>
      <c r="L1" s="14" t="inlineStr">
        <is>
          <t>Gross weight (kg)</t>
        </is>
      </c>
      <c r="M1" s="14" t="inlineStr">
        <is>
          <t>Value (USD)</t>
        </is>
      </c>
    </row>
    <row r="2">
      <c r="A2" s="6" t="inlineStr">
        <is>
          <t>NINGBO S.SHINE TRADING CO.,LTD</t>
        </is>
      </c>
      <c r="B2" s="6" t="inlineStr">
        <is>
          <t>STS168-1</t>
        </is>
      </c>
      <c r="C2" s="6" t="inlineStr">
        <is>
          <t>OOCU5371915</t>
        </is>
      </c>
      <c r="D2" s="6" t="inlineStr">
        <is>
          <t>BC0027</t>
        </is>
      </c>
      <c r="E2" s="6" t="inlineStr">
        <is>
          <t>HEROX 8000 SPARE SPOOL</t>
        </is>
      </c>
      <c r="F2" s="6" t="inlineStr">
        <is>
          <t>9507300000</t>
        </is>
      </c>
      <c r="G2" s="6" t="inlineStr">
        <is>
          <t>cívka</t>
        </is>
      </c>
      <c r="H2" s="6" t="inlineStr">
        <is>
          <t>Spool</t>
        </is>
      </c>
      <c r="I2" s="9" t="n">
        <v>1</v>
      </c>
      <c r="J2" s="9" t="n">
        <v>50</v>
      </c>
      <c r="K2" s="8" t="n">
        <v>5</v>
      </c>
      <c r="L2" s="8" t="n">
        <v>6</v>
      </c>
      <c r="M2" s="8" t="n">
        <v>163.5</v>
      </c>
    </row>
    <row r="3">
      <c r="A3" s="6" t="inlineStr">
        <is>
          <t>NINGBO S.SHINE TRADING CO.,LTD</t>
        </is>
      </c>
      <c r="B3" s="6" t="inlineStr">
        <is>
          <t>STS168-1</t>
        </is>
      </c>
      <c r="C3" s="6" t="inlineStr">
        <is>
          <t>OOCU5371915</t>
        </is>
      </c>
      <c r="D3" s="6" t="inlineStr">
        <is>
          <t>BC0055</t>
        </is>
      </c>
      <c r="E3" s="6" t="inlineStr">
        <is>
          <t>XTRACTOR FS 6000 LC</t>
        </is>
      </c>
      <c r="F3" s="6" t="inlineStr">
        <is>
          <t>9507300000</t>
        </is>
      </c>
      <c r="G3" s="6" t="inlineStr">
        <is>
          <t>Naviják</t>
        </is>
      </c>
      <c r="H3" s="6" t="inlineStr">
        <is>
          <t>Reel</t>
        </is>
      </c>
      <c r="I3" s="9" t="n">
        <v>50</v>
      </c>
      <c r="J3" s="9" t="n">
        <v>500</v>
      </c>
      <c r="K3" s="8" t="n">
        <v>330</v>
      </c>
      <c r="L3" s="8" t="n">
        <v>380</v>
      </c>
      <c r="M3" s="8" t="n">
        <v>7250</v>
      </c>
    </row>
    <row r="4">
      <c r="A4" s="6" t="inlineStr">
        <is>
          <t>NINGBO S.SHINE TRADING CO.,LTD</t>
        </is>
      </c>
      <c r="B4" s="6" t="inlineStr">
        <is>
          <t>STS168-1</t>
        </is>
      </c>
      <c r="C4" s="6" t="inlineStr">
        <is>
          <t>OOCU5371915</t>
        </is>
      </c>
      <c r="D4" s="6" t="inlineStr">
        <is>
          <t>RC0045</t>
        </is>
      </c>
      <c r="E4" s="6" t="inlineStr">
        <is>
          <t>SUBSONIK INVISICAM 15LB 1200M (0.31mm)</t>
        </is>
      </c>
      <c r="F4" s="6" t="inlineStr">
        <is>
          <t>5404190090</t>
        </is>
      </c>
      <c r="G4" s="6" t="inlineStr">
        <is>
          <t>Vlasec</t>
        </is>
      </c>
      <c r="H4" s="6" t="inlineStr">
        <is>
          <t>Fishing Line</t>
        </is>
      </c>
      <c r="I4" s="9" t="n">
        <v>9</v>
      </c>
      <c r="J4" s="9" t="n">
        <v>404</v>
      </c>
      <c r="K4" s="8" t="n">
        <v>99.90000000000001</v>
      </c>
      <c r="L4" s="8" t="n">
        <v>108.9</v>
      </c>
      <c r="M4" s="8" t="n">
        <v>2444.2</v>
      </c>
    </row>
    <row r="5">
      <c r="A5" s="6" t="inlineStr">
        <is>
          <t>NINGBO S.SHINE TRADING CO.,LTD</t>
        </is>
      </c>
      <c r="B5" s="6" t="inlineStr">
        <is>
          <t>STS168-1</t>
        </is>
      </c>
      <c r="C5" s="6" t="inlineStr">
        <is>
          <t>OOCU5371915</t>
        </is>
      </c>
      <c r="D5" s="6" t="inlineStr">
        <is>
          <t>RC0066</t>
        </is>
      </c>
      <c r="E5" s="6" t="inlineStr">
        <is>
          <t>HI-VISICAM 18LB 1200M(0.35mm)ORANGE</t>
        </is>
      </c>
      <c r="F5" s="6" t="inlineStr">
        <is>
          <t>5404190090</t>
        </is>
      </c>
      <c r="G5" s="6" t="inlineStr">
        <is>
          <t>Vlasec</t>
        </is>
      </c>
      <c r="H5" s="6" t="inlineStr">
        <is>
          <t>Fishing Line</t>
        </is>
      </c>
      <c r="I5" s="9" t="n">
        <v>11</v>
      </c>
      <c r="J5" s="9" t="n">
        <v>500</v>
      </c>
      <c r="K5" s="8" t="n">
        <v>132</v>
      </c>
      <c r="L5" s="8" t="n">
        <v>143</v>
      </c>
      <c r="M5" s="8" t="n">
        <v>2200</v>
      </c>
    </row>
    <row r="6">
      <c r="A6" s="6" t="inlineStr">
        <is>
          <t>NINGBO S.SHINE TRADING CO.,LTD</t>
        </is>
      </c>
      <c r="B6" s="6" t="inlineStr">
        <is>
          <t>STS168-1</t>
        </is>
      </c>
      <c r="C6" s="6" t="inlineStr">
        <is>
          <t>OOCU5371915</t>
        </is>
      </c>
      <c r="D6" s="6" t="inlineStr">
        <is>
          <t>CC0006</t>
        </is>
      </c>
      <c r="E6" s="6" t="inlineStr">
        <is>
          <t>SONIK SPREADER BLOCK</t>
        </is>
      </c>
      <c r="F6" s="6" t="inlineStr">
        <is>
          <t>9507900000</t>
        </is>
      </c>
      <c r="G6" s="6" t="inlineStr">
        <is>
          <t>Rozmetací blok</t>
        </is>
      </c>
      <c r="H6" s="6" t="inlineStr">
        <is>
          <t>Spreder Block</t>
        </is>
      </c>
      <c r="I6" s="9" t="n">
        <v>2</v>
      </c>
      <c r="J6" s="9" t="n">
        <v>500</v>
      </c>
      <c r="K6" s="8" t="n">
        <v>34.9</v>
      </c>
      <c r="L6" s="8" t="n">
        <v>36.9</v>
      </c>
      <c r="M6" s="8" t="n">
        <v>550</v>
      </c>
    </row>
    <row r="7">
      <c r="A7" s="6" t="inlineStr">
        <is>
          <t>NINGBO S.SHINE TRADING CO.,LTD</t>
        </is>
      </c>
      <c r="B7" s="6" t="inlineStr">
        <is>
          <t>STS168-1</t>
        </is>
      </c>
      <c r="C7" s="6" t="inlineStr">
        <is>
          <t>OOCU5371915</t>
        </is>
      </c>
      <c r="D7" s="6" t="inlineStr">
        <is>
          <t>CC0007</t>
        </is>
      </c>
      <c r="E7" s="6" t="inlineStr">
        <is>
          <t>SONIK OLIVE NET MESH 42"</t>
        </is>
      </c>
      <c r="F7" s="6" t="inlineStr">
        <is>
          <t>9507900000</t>
        </is>
      </c>
      <c r="G7" s="6" t="inlineStr">
        <is>
          <t>Síť</t>
        </is>
      </c>
      <c r="H7" s="6" t="inlineStr">
        <is>
          <t>Net</t>
        </is>
      </c>
      <c r="I7" s="9" t="n">
        <v>4</v>
      </c>
      <c r="J7" s="9" t="n">
        <v>200</v>
      </c>
      <c r="K7" s="8" t="n">
        <v>66</v>
      </c>
      <c r="L7" s="8" t="n">
        <v>70</v>
      </c>
      <c r="M7" s="8" t="n">
        <v>458</v>
      </c>
    </row>
    <row r="8">
      <c r="A8" s="6" t="inlineStr">
        <is>
          <t>NINGBO S.SHINE TRADING CO.,LTD</t>
        </is>
      </c>
      <c r="B8" s="6" t="inlineStr">
        <is>
          <t>STS168-1</t>
        </is>
      </c>
      <c r="C8" s="6" t="inlineStr">
        <is>
          <t>OOCU5371915</t>
        </is>
      </c>
      <c r="D8" s="6" t="inlineStr">
        <is>
          <t>CC0007</t>
        </is>
      </c>
      <c r="E8" s="6" t="inlineStr">
        <is>
          <t>SONIK OLIVE NET MESH 42"</t>
        </is>
      </c>
      <c r="F8" s="6" t="inlineStr">
        <is>
          <t>9507900000</t>
        </is>
      </c>
      <c r="G8" s="6" t="inlineStr">
        <is>
          <t>Síť</t>
        </is>
      </c>
      <c r="H8" s="6" t="inlineStr">
        <is>
          <t>Net</t>
        </is>
      </c>
      <c r="I8" s="9" t="n">
        <v>10</v>
      </c>
      <c r="J8" s="9" t="n">
        <v>500</v>
      </c>
      <c r="K8" s="8" t="n">
        <v>165</v>
      </c>
      <c r="L8" s="8" t="n">
        <v>175</v>
      </c>
      <c r="M8" s="8" t="n">
        <v>1145</v>
      </c>
    </row>
    <row r="9">
      <c r="A9" s="6" t="inlineStr">
        <is>
          <t>NINGBO S.SHINE TRADING CO.,LTD</t>
        </is>
      </c>
      <c r="B9" s="6" t="inlineStr">
        <is>
          <t>STS168-1</t>
        </is>
      </c>
      <c r="C9" s="6" t="inlineStr">
        <is>
          <t>OOCU5371915</t>
        </is>
      </c>
      <c r="D9" s="6" t="inlineStr">
        <is>
          <t>CC0011</t>
        </is>
      </c>
      <c r="E9" s="6" t="inlineStr">
        <is>
          <t>HEROX LANDING NET 42" 2PC 6FT</t>
        </is>
      </c>
      <c r="F9" s="6" t="inlineStr">
        <is>
          <t>9507900000</t>
        </is>
      </c>
      <c r="G9" s="6" t="inlineStr">
        <is>
          <t>Síť</t>
        </is>
      </c>
      <c r="H9" s="6" t="inlineStr">
        <is>
          <t>Net</t>
        </is>
      </c>
      <c r="I9" s="9" t="n">
        <v>50</v>
      </c>
      <c r="J9" s="9" t="n">
        <v>500</v>
      </c>
      <c r="K9" s="8" t="n">
        <v>435</v>
      </c>
      <c r="L9" s="8" t="n">
        <v>485</v>
      </c>
      <c r="M9" s="8" t="n">
        <v>5390</v>
      </c>
    </row>
    <row r="10">
      <c r="A10" s="6" t="inlineStr">
        <is>
          <t>NINGBO S.SHINE TRADING CO.,LTD</t>
        </is>
      </c>
      <c r="B10" s="6" t="inlineStr">
        <is>
          <t>STS168-1</t>
        </is>
      </c>
      <c r="C10" s="6" t="inlineStr">
        <is>
          <t>OOCU5371915</t>
        </is>
      </c>
      <c r="D10" s="6" t="inlineStr">
        <is>
          <t>CC0015</t>
        </is>
      </c>
      <c r="E10" s="6" t="inlineStr">
        <is>
          <t>SK-47 NET 50" 2PC 2.20m</t>
        </is>
      </c>
      <c r="F10" s="6" t="inlineStr">
        <is>
          <t>9507900000</t>
        </is>
      </c>
      <c r="G10" s="6" t="inlineStr">
        <is>
          <t>Síť</t>
        </is>
      </c>
      <c r="H10" s="6" t="inlineStr">
        <is>
          <t>Net</t>
        </is>
      </c>
      <c r="I10" s="9" t="n">
        <v>30</v>
      </c>
      <c r="J10" s="9" t="n">
        <v>300</v>
      </c>
      <c r="K10" s="8" t="n">
        <v>318</v>
      </c>
      <c r="L10" s="8" t="n">
        <v>348</v>
      </c>
      <c r="M10" s="8" t="n">
        <v>6270</v>
      </c>
    </row>
    <row r="11">
      <c r="A11" s="6" t="inlineStr">
        <is>
          <t>NINGBO S.SHINE TRADING CO.,LTD</t>
        </is>
      </c>
      <c r="B11" s="6" t="inlineStr">
        <is>
          <t>STS168-1</t>
        </is>
      </c>
      <c r="C11" s="6" t="inlineStr">
        <is>
          <t>OOCU5371915</t>
        </is>
      </c>
      <c r="D11" s="6" t="inlineStr">
        <is>
          <t>CC0016</t>
        </is>
      </c>
      <c r="E11" s="6" t="inlineStr">
        <is>
          <t>XTRACTOR+ NET 42" (T44)</t>
        </is>
      </c>
      <c r="F11" s="6" t="inlineStr">
        <is>
          <t>9507900000</t>
        </is>
      </c>
      <c r="G11" s="6" t="inlineStr">
        <is>
          <t>Síť</t>
        </is>
      </c>
      <c r="H11" s="6" t="inlineStr">
        <is>
          <t>Net</t>
        </is>
      </c>
      <c r="I11" s="9" t="n">
        <v>20</v>
      </c>
      <c r="J11" s="9" t="n">
        <v>200</v>
      </c>
      <c r="K11" s="8" t="n">
        <v>170</v>
      </c>
      <c r="L11" s="8" t="n">
        <v>190</v>
      </c>
      <c r="M11" s="8" t="n">
        <v>3820</v>
      </c>
    </row>
    <row r="12">
      <c r="A12" s="6" t="inlineStr">
        <is>
          <t>NINGBO S.SHINE TRADING CO.,LTD</t>
        </is>
      </c>
      <c r="B12" s="6" t="inlineStr">
        <is>
          <t>STS168-1</t>
        </is>
      </c>
      <c r="C12" s="6" t="inlineStr">
        <is>
          <t>OOCU5371915</t>
        </is>
      </c>
      <c r="D12" s="6" t="inlineStr">
        <is>
          <t>CC0017</t>
        </is>
      </c>
      <c r="E12" s="6" t="inlineStr">
        <is>
          <t>XTRACTOR+ RECON NET 42" (T30)</t>
        </is>
      </c>
      <c r="F12" s="6" t="inlineStr">
        <is>
          <t>9507900000</t>
        </is>
      </c>
      <c r="G12" s="6" t="inlineStr">
        <is>
          <t>Síť</t>
        </is>
      </c>
      <c r="H12" s="6" t="inlineStr">
        <is>
          <t>Net</t>
        </is>
      </c>
      <c r="I12" s="9" t="n">
        <v>20</v>
      </c>
      <c r="J12" s="9" t="n">
        <v>200</v>
      </c>
      <c r="K12" s="8" t="n">
        <v>152</v>
      </c>
      <c r="L12" s="8" t="n">
        <v>172</v>
      </c>
      <c r="M12" s="8" t="n">
        <v>3800</v>
      </c>
    </row>
    <row r="13">
      <c r="A13" s="6" t="inlineStr">
        <is>
          <t>NINGBO S.SHINE TRADING CO.,LTD</t>
        </is>
      </c>
      <c r="B13" s="6" t="inlineStr">
        <is>
          <t>STS168-1</t>
        </is>
      </c>
      <c r="C13" s="6" t="inlineStr">
        <is>
          <t>OOCU5371915</t>
        </is>
      </c>
      <c r="D13" s="6" t="inlineStr">
        <is>
          <t>22000011.0</t>
        </is>
      </c>
      <c r="E13" s="6" t="inlineStr">
        <is>
          <t>NYTRO STARKX FS DOUBLE FEEDER BOX 360</t>
        </is>
      </c>
      <c r="F13" s="6" t="inlineStr">
        <is>
          <t>3923109090</t>
        </is>
      </c>
      <c r="G13" s="6" t="inlineStr">
        <is>
          <t>Krabice</t>
        </is>
      </c>
      <c r="H13" s="6" t="inlineStr">
        <is>
          <t>Box</t>
        </is>
      </c>
      <c r="I13" s="9" t="n">
        <v>27</v>
      </c>
      <c r="J13" s="9" t="n">
        <v>240</v>
      </c>
      <c r="K13" s="8" t="n">
        <v>205.2</v>
      </c>
      <c r="L13" s="8" t="n">
        <v>232.2</v>
      </c>
      <c r="M13" s="8" t="n">
        <v>938.4</v>
      </c>
    </row>
    <row r="14">
      <c r="A14" s="6" t="inlineStr">
        <is>
          <t>NINGBO S.SHINE TRADING CO.,LTD</t>
        </is>
      </c>
      <c r="B14" s="6" t="inlineStr">
        <is>
          <t>STS168-1</t>
        </is>
      </c>
      <c r="C14" s="6" t="inlineStr">
        <is>
          <t>OOCU5371915</t>
        </is>
      </c>
      <c r="D14" s="6" t="inlineStr">
        <is>
          <t>22000012.0</t>
        </is>
      </c>
      <c r="E14" s="6" t="inlineStr">
        <is>
          <t>NYTRO STARKX FS FEEDER BOX MS275-S</t>
        </is>
      </c>
      <c r="F14" s="6" t="inlineStr">
        <is>
          <t>3923109090</t>
        </is>
      </c>
      <c r="G14" s="6" t="inlineStr">
        <is>
          <t>Krabice</t>
        </is>
      </c>
      <c r="H14" s="6" t="inlineStr">
        <is>
          <t>Box</t>
        </is>
      </c>
      <c r="I14" s="9" t="n">
        <v>7</v>
      </c>
      <c r="J14" s="9" t="n">
        <v>220</v>
      </c>
      <c r="K14" s="8" t="n">
        <v>57.4</v>
      </c>
      <c r="L14" s="8" t="n">
        <v>63.9</v>
      </c>
      <c r="M14" s="8" t="n">
        <v>404.8</v>
      </c>
    </row>
    <row r="15">
      <c r="A15" s="6" t="inlineStr">
        <is>
          <t>NINGBO S.SHINE TRADING CO.,LTD</t>
        </is>
      </c>
      <c r="B15" s="6" t="inlineStr">
        <is>
          <t>STS168-1</t>
        </is>
      </c>
      <c r="C15" s="6" t="inlineStr">
        <is>
          <t>OOCU5371915</t>
        </is>
      </c>
      <c r="D15" s="6" t="inlineStr">
        <is>
          <t>HC0050</t>
        </is>
      </c>
      <c r="E15" s="6" t="inlineStr">
        <is>
          <t>STANZ ALL-TERRAIN LITE 3-ROD POD</t>
        </is>
      </c>
      <c r="F15" s="6" t="inlineStr">
        <is>
          <t>9507900000</t>
        </is>
      </c>
      <c r="G15" s="6" t="inlineStr">
        <is>
          <t>držák prutu</t>
        </is>
      </c>
      <c r="H15" s="6" t="inlineStr">
        <is>
          <t>Rod Pod</t>
        </is>
      </c>
      <c r="I15" s="9" t="n">
        <v>20</v>
      </c>
      <c r="J15" s="9" t="n">
        <v>100</v>
      </c>
      <c r="K15" s="8" t="n">
        <v>250</v>
      </c>
      <c r="L15" s="8" t="n">
        <v>270</v>
      </c>
      <c r="M15" s="8" t="n">
        <v>2840</v>
      </c>
    </row>
    <row r="16">
      <c r="A16" s="6" t="inlineStr">
        <is>
          <t>NINGBO S.SHINE TRADING CO.,LTD</t>
        </is>
      </c>
      <c r="B16" s="6" t="inlineStr">
        <is>
          <t>STS168-1</t>
        </is>
      </c>
      <c r="C16" s="6" t="inlineStr">
        <is>
          <t>OOCU5371915</t>
        </is>
      </c>
      <c r="D16" s="6" t="inlineStr">
        <is>
          <t>HC0052</t>
        </is>
      </c>
      <c r="E16" s="6" t="inlineStr">
        <is>
          <t>STNZ SCREWPNT CAMLOCK BSTK 9" 23cm</t>
        </is>
      </c>
      <c r="F16" s="6" t="inlineStr">
        <is>
          <t>7616999099</t>
        </is>
      </c>
      <c r="G16" s="6" t="inlineStr">
        <is>
          <t>držet</t>
        </is>
      </c>
      <c r="H16" s="6" t="inlineStr">
        <is>
          <t>Stick</t>
        </is>
      </c>
      <c r="I16" s="9" t="n">
        <v>7</v>
      </c>
      <c r="J16" s="9" t="n">
        <v>210</v>
      </c>
      <c r="K16" s="8" t="n">
        <v>28</v>
      </c>
      <c r="L16" s="8" t="n">
        <v>31.5</v>
      </c>
      <c r="M16" s="8" t="n">
        <v>739.2</v>
      </c>
    </row>
    <row r="17">
      <c r="A17" s="6" t="inlineStr">
        <is>
          <t>NINGBO S.SHINE TRADING CO.,LTD</t>
        </is>
      </c>
      <c r="B17" s="6" t="inlineStr">
        <is>
          <t>STS168-1</t>
        </is>
      </c>
      <c r="C17" s="6" t="inlineStr">
        <is>
          <t>OOCU5371915</t>
        </is>
      </c>
      <c r="D17" s="6" t="inlineStr">
        <is>
          <t>HC0053</t>
        </is>
      </c>
      <c r="E17" s="6" t="inlineStr">
        <is>
          <t>STNZ SCREWPNT CAMLOCK BSTK 12" 30cm</t>
        </is>
      </c>
      <c r="F17" s="6" t="inlineStr">
        <is>
          <t>7616999099</t>
        </is>
      </c>
      <c r="G17" s="6" t="inlineStr">
        <is>
          <t>držet</t>
        </is>
      </c>
      <c r="H17" s="6" t="inlineStr">
        <is>
          <t>Stick</t>
        </is>
      </c>
      <c r="I17" s="9" t="n">
        <v>14</v>
      </c>
      <c r="J17" s="9" t="n">
        <v>420</v>
      </c>
      <c r="K17" s="8" t="n">
        <v>70</v>
      </c>
      <c r="L17" s="8" t="n">
        <v>77</v>
      </c>
      <c r="M17" s="8" t="n">
        <v>1587.6</v>
      </c>
    </row>
    <row r="18">
      <c r="A18" s="6" t="inlineStr">
        <is>
          <t>NINGBO S.SHINE TRADING CO.,LTD</t>
        </is>
      </c>
      <c r="B18" s="6" t="inlineStr">
        <is>
          <t>STS168-1</t>
        </is>
      </c>
      <c r="C18" s="6" t="inlineStr">
        <is>
          <t>OOCU5371915</t>
        </is>
      </c>
      <c r="D18" s="6" t="inlineStr">
        <is>
          <t>HC0054</t>
        </is>
      </c>
      <c r="E18" s="6" t="inlineStr">
        <is>
          <t>STNZ SCREWPNT CAMLOCK BSTK 18" 46cm</t>
        </is>
      </c>
      <c r="F18" s="6" t="inlineStr">
        <is>
          <t>7616999099</t>
        </is>
      </c>
      <c r="G18" s="6" t="inlineStr">
        <is>
          <t>držet</t>
        </is>
      </c>
      <c r="H18" s="6" t="inlineStr">
        <is>
          <t>Stick</t>
        </is>
      </c>
      <c r="I18" s="9" t="n">
        <v>17</v>
      </c>
      <c r="J18" s="9" t="n">
        <v>510</v>
      </c>
      <c r="K18" s="8" t="n">
        <v>102</v>
      </c>
      <c r="L18" s="8" t="n">
        <v>110.5</v>
      </c>
      <c r="M18" s="8" t="n">
        <v>2065.5</v>
      </c>
    </row>
    <row r="19">
      <c r="A19" s="6" t="inlineStr">
        <is>
          <t>NINGBO S.SHINE TRADING CO.,LTD</t>
        </is>
      </c>
      <c r="B19" s="6" t="inlineStr">
        <is>
          <t>STS168-1</t>
        </is>
      </c>
      <c r="C19" s="6" t="inlineStr">
        <is>
          <t>OOCU5371915</t>
        </is>
      </c>
      <c r="D19" s="6" t="inlineStr">
        <is>
          <t>HC0055</t>
        </is>
      </c>
      <c r="E19" s="6" t="inlineStr">
        <is>
          <t>STNZ SCREWPNT CAMLOCK BSTK 24" 60c</t>
        </is>
      </c>
      <c r="F19" s="6" t="inlineStr">
        <is>
          <t>7616999099</t>
        </is>
      </c>
      <c r="G19" s="6" t="inlineStr">
        <is>
          <t>držet</t>
        </is>
      </c>
      <c r="H19" s="6" t="inlineStr">
        <is>
          <t>Stick</t>
        </is>
      </c>
      <c r="I19" s="9" t="n">
        <v>20</v>
      </c>
      <c r="J19" s="9" t="n">
        <v>600</v>
      </c>
      <c r="K19" s="8" t="n">
        <v>130</v>
      </c>
      <c r="L19" s="8" t="n">
        <v>150</v>
      </c>
      <c r="M19" s="8" t="n">
        <v>2688</v>
      </c>
    </row>
    <row r="20">
      <c r="A20" s="6" t="inlineStr">
        <is>
          <t>NINGBO S.SHINE TRADING CO.,LTD</t>
        </is>
      </c>
      <c r="B20" s="6" t="inlineStr">
        <is>
          <t>STS168-1</t>
        </is>
      </c>
      <c r="C20" s="6" t="inlineStr">
        <is>
          <t>OOCU5371915</t>
        </is>
      </c>
      <c r="D20" s="6" t="inlineStr">
        <is>
          <t>HC0056</t>
        </is>
      </c>
      <c r="E20" s="6" t="inlineStr">
        <is>
          <t>STNZ SCREWPNT CAMLOCK BSTK 36" 92cm</t>
        </is>
      </c>
      <c r="F20" s="6" t="inlineStr">
        <is>
          <t>7616999099</t>
        </is>
      </c>
      <c r="G20" s="6" t="inlineStr">
        <is>
          <t>držet</t>
        </is>
      </c>
      <c r="H20" s="6" t="inlineStr">
        <is>
          <t>Stick</t>
        </is>
      </c>
      <c r="I20" s="9" t="n">
        <v>17</v>
      </c>
      <c r="J20" s="9" t="n">
        <v>500</v>
      </c>
      <c r="K20" s="8" t="n">
        <v>161.5</v>
      </c>
      <c r="L20" s="8" t="n">
        <v>178.5</v>
      </c>
      <c r="M20" s="8" t="n">
        <v>2665</v>
      </c>
    </row>
    <row r="21">
      <c r="A21" s="6" t="inlineStr">
        <is>
          <t>NINGBO S.SHINE TRADING CO.,LTD</t>
        </is>
      </c>
      <c r="B21" s="6" t="inlineStr">
        <is>
          <t>STS168-1</t>
        </is>
      </c>
      <c r="C21" s="6" t="inlineStr">
        <is>
          <t>OOCU5371915</t>
        </is>
      </c>
      <c r="D21" s="6" t="inlineStr">
        <is>
          <t>HC0038</t>
        </is>
      </c>
      <c r="E21" s="6" t="inlineStr">
        <is>
          <t>STANZ 2-ROD BUZZ BAR 6" (15.2cm)</t>
        </is>
      </c>
      <c r="F21" s="6" t="inlineStr">
        <is>
          <t>7616999099</t>
        </is>
      </c>
      <c r="G21" s="6" t="inlineStr">
        <is>
          <t>Tyče na pruty</t>
        </is>
      </c>
      <c r="H21" s="6" t="inlineStr">
        <is>
          <t>Rod Bars</t>
        </is>
      </c>
      <c r="I21" s="9" t="n">
        <v>7</v>
      </c>
      <c r="J21" s="9" t="n">
        <v>280</v>
      </c>
      <c r="K21" s="8" t="n">
        <v>31.5</v>
      </c>
      <c r="L21" s="8" t="n">
        <v>35</v>
      </c>
      <c r="M21" s="8" t="n">
        <v>876.4</v>
      </c>
    </row>
    <row r="22">
      <c r="A22" s="6" t="inlineStr">
        <is>
          <t>NINGBO S.SHINE TRADING CO.,LTD</t>
        </is>
      </c>
      <c r="B22" s="6" t="inlineStr">
        <is>
          <t>STS168-1</t>
        </is>
      </c>
      <c r="C22" s="6" t="inlineStr">
        <is>
          <t>OOCU5371915</t>
        </is>
      </c>
      <c r="D22" s="6" t="inlineStr">
        <is>
          <t>HC0039</t>
        </is>
      </c>
      <c r="E22" s="6" t="inlineStr">
        <is>
          <t>STANZ 3-ROD BUZZ BAR 8.5" (21.6cm)</t>
        </is>
      </c>
      <c r="F22" s="6" t="inlineStr">
        <is>
          <t>7616999099</t>
        </is>
      </c>
      <c r="G22" s="6" t="inlineStr">
        <is>
          <t>Tyče na pruty</t>
        </is>
      </c>
      <c r="H22" s="6" t="inlineStr">
        <is>
          <t>Rod Bars</t>
        </is>
      </c>
      <c r="I22" s="9" t="n">
        <v>3</v>
      </c>
      <c r="J22" s="9" t="n">
        <v>100</v>
      </c>
      <c r="K22" s="8" t="n">
        <v>13.5</v>
      </c>
      <c r="L22" s="8" t="n">
        <v>16.5</v>
      </c>
      <c r="M22" s="8" t="n">
        <v>332</v>
      </c>
    </row>
    <row r="23">
      <c r="A23" s="6" t="inlineStr">
        <is>
          <t>NINGBO S.SHINE TRADING CO.,LTD</t>
        </is>
      </c>
      <c r="B23" s="6" t="inlineStr">
        <is>
          <t>STS168-1</t>
        </is>
      </c>
      <c r="C23" s="6" t="inlineStr">
        <is>
          <t>OOCU5371915</t>
        </is>
      </c>
      <c r="D23" s="6" t="inlineStr">
        <is>
          <t>HC0040</t>
        </is>
      </c>
      <c r="E23" s="6" t="inlineStr">
        <is>
          <t>STANZ 3-ROD BUZZ BAR 9.5" (24cm)</t>
        </is>
      </c>
      <c r="F23" s="6" t="inlineStr">
        <is>
          <t>7616999099</t>
        </is>
      </c>
      <c r="G23" s="6" t="inlineStr">
        <is>
          <t>Tyče na pruty</t>
        </is>
      </c>
      <c r="H23" s="6" t="inlineStr">
        <is>
          <t>Rod Bars</t>
        </is>
      </c>
      <c r="I23" s="9" t="n">
        <v>3</v>
      </c>
      <c r="J23" s="9" t="n">
        <v>100</v>
      </c>
      <c r="K23" s="8" t="n">
        <v>15</v>
      </c>
      <c r="L23" s="8" t="n">
        <v>18</v>
      </c>
      <c r="M23" s="8" t="n">
        <v>376</v>
      </c>
    </row>
    <row r="24">
      <c r="A24" s="6" t="inlineStr">
        <is>
          <t>NINGBO S.SHINE TRADING CO.,LTD</t>
        </is>
      </c>
      <c r="B24" s="6" t="inlineStr">
        <is>
          <t>STS168-1</t>
        </is>
      </c>
      <c r="C24" s="6" t="inlineStr">
        <is>
          <t>OOCU5371915</t>
        </is>
      </c>
      <c r="D24" s="6" t="inlineStr">
        <is>
          <t>HC0042</t>
        </is>
      </c>
      <c r="E24" s="6" t="inlineStr">
        <is>
          <t>STANZ 3-ROD BUZZ BAR 11.5" (29.2cm)</t>
        </is>
      </c>
      <c r="F24" s="6" t="inlineStr">
        <is>
          <t>7616999099</t>
        </is>
      </c>
      <c r="G24" s="6" t="inlineStr">
        <is>
          <t>Tyče na pruty</t>
        </is>
      </c>
      <c r="H24" s="6" t="inlineStr">
        <is>
          <t>Rod Bars</t>
        </is>
      </c>
      <c r="I24" s="9" t="n">
        <v>5</v>
      </c>
      <c r="J24" s="9" t="n">
        <v>200</v>
      </c>
      <c r="K24" s="8" t="n">
        <v>30</v>
      </c>
      <c r="L24" s="8" t="n">
        <v>32.5</v>
      </c>
      <c r="M24" s="8" t="n">
        <v>724</v>
      </c>
    </row>
    <row r="25">
      <c r="A25" s="6" t="inlineStr">
        <is>
          <t>NINGBO S.SHINE TRADING CO.,LTD</t>
        </is>
      </c>
      <c r="B25" s="6" t="inlineStr">
        <is>
          <t>STS168-1</t>
        </is>
      </c>
      <c r="C25" s="6" t="inlineStr">
        <is>
          <t>OOCU5371915</t>
        </is>
      </c>
      <c r="D25" s="6" t="inlineStr">
        <is>
          <t>HC0110</t>
        </is>
      </c>
      <c r="E25" s="6" t="inlineStr">
        <is>
          <t>STANZ SPRING GRIP</t>
        </is>
      </c>
      <c r="F25" s="6" t="inlineStr">
        <is>
          <t>4016999190</t>
        </is>
      </c>
      <c r="G25" s="6" t="inlineStr">
        <is>
          <t>úchop prutu</t>
        </is>
      </c>
      <c r="H25" s="6" t="inlineStr">
        <is>
          <t>Rod grip</t>
        </is>
      </c>
      <c r="I25" s="9" t="n">
        <v>4</v>
      </c>
      <c r="J25" s="9" t="n">
        <v>2000</v>
      </c>
      <c r="K25" s="8" t="n">
        <v>32</v>
      </c>
      <c r="L25" s="8" t="n">
        <v>36</v>
      </c>
      <c r="M25" s="8" t="n">
        <v>1800</v>
      </c>
    </row>
    <row r="26">
      <c r="A26" s="6" t="inlineStr">
        <is>
          <t>NINGBO S.SHINE TRADING CO.,LTD</t>
        </is>
      </c>
      <c r="B26" s="6" t="inlineStr">
        <is>
          <t>STS168-1</t>
        </is>
      </c>
      <c r="C26" s="6" t="inlineStr">
        <is>
          <t>OOCU5371915</t>
        </is>
      </c>
      <c r="D26" s="6" t="inlineStr">
        <is>
          <t>HC0111</t>
        </is>
      </c>
      <c r="E26" s="6" t="inlineStr">
        <is>
          <t>STANZ SPRING GRIP LARGE</t>
        </is>
      </c>
      <c r="F26" s="6" t="inlineStr">
        <is>
          <t>4016999190</t>
        </is>
      </c>
      <c r="G26" s="6" t="inlineStr">
        <is>
          <t>úchop prutu</t>
        </is>
      </c>
      <c r="H26" s="6" t="inlineStr">
        <is>
          <t>Rod grip</t>
        </is>
      </c>
      <c r="I26" s="9" t="n">
        <v>4</v>
      </c>
      <c r="J26" s="9" t="n">
        <v>2000</v>
      </c>
      <c r="K26" s="8" t="n">
        <v>32</v>
      </c>
      <c r="L26" s="8" t="n">
        <v>36</v>
      </c>
      <c r="M26" s="8" t="n">
        <v>1880</v>
      </c>
    </row>
    <row r="27">
      <c r="A27" s="6" t="inlineStr">
        <is>
          <t>NINGBO S.SHINE TRADING CO.,LTD</t>
        </is>
      </c>
      <c r="B27" s="6" t="inlineStr">
        <is>
          <t>STS168-1</t>
        </is>
      </c>
      <c r="C27" s="6" t="inlineStr">
        <is>
          <t>OOCU5371915</t>
        </is>
      </c>
      <c r="D27" s="6" t="inlineStr">
        <is>
          <t>HC0112</t>
        </is>
      </c>
      <c r="E27" s="6" t="inlineStr">
        <is>
          <t>STANZ BUTT LOKKA</t>
        </is>
      </c>
      <c r="F27" s="6" t="inlineStr">
        <is>
          <t>9507900000</t>
        </is>
      </c>
      <c r="G27" s="6" t="inlineStr">
        <is>
          <t>Rukojeť</t>
        </is>
      </c>
      <c r="H27" s="6" t="inlineStr">
        <is>
          <t>Grip</t>
        </is>
      </c>
      <c r="I27" s="9" t="n">
        <v>50</v>
      </c>
      <c r="J27" s="9" t="n">
        <v>5000</v>
      </c>
      <c r="K27" s="8" t="n">
        <v>100</v>
      </c>
      <c r="L27" s="8" t="n">
        <v>150</v>
      </c>
      <c r="M27" s="8" t="n">
        <v>6250</v>
      </c>
    </row>
    <row r="28">
      <c r="A28" s="6" t="inlineStr">
        <is>
          <t>NINGBO S.SHINE TRADING CO.,LTD</t>
        </is>
      </c>
      <c r="B28" s="6" t="inlineStr">
        <is>
          <t>STS168-1</t>
        </is>
      </c>
      <c r="C28" s="6" t="inlineStr">
        <is>
          <t>OOCU5371915</t>
        </is>
      </c>
      <c r="D28" s="6" t="inlineStr">
        <is>
          <t>HC0079</t>
        </is>
      </c>
      <c r="E28" s="6" t="inlineStr">
        <is>
          <t>STANZ ROD LOCK</t>
        </is>
      </c>
      <c r="F28" s="6" t="inlineStr">
        <is>
          <t>9507900000</t>
        </is>
      </c>
      <c r="G28" s="6" t="inlineStr">
        <is>
          <t>Zámek tyče</t>
        </is>
      </c>
      <c r="H28" s="6" t="inlineStr">
        <is>
          <t>Rod Lock</t>
        </is>
      </c>
      <c r="I28" s="9" t="n">
        <v>7</v>
      </c>
      <c r="J28" s="9" t="n">
        <v>3140</v>
      </c>
      <c r="K28" s="8" t="n">
        <v>84</v>
      </c>
      <c r="L28" s="8" t="n">
        <v>91</v>
      </c>
      <c r="M28" s="8" t="n">
        <v>1852.6</v>
      </c>
    </row>
    <row r="29">
      <c r="A29" s="6" t="inlineStr">
        <is>
          <t>NINGBO S.SHINE TRADING CO.,LTD</t>
        </is>
      </c>
      <c r="B29" s="6" t="inlineStr">
        <is>
          <t>STS168-1</t>
        </is>
      </c>
      <c r="C29" s="6" t="inlineStr">
        <is>
          <t>OOCU5371915</t>
        </is>
      </c>
      <c r="D29" s="6" t="inlineStr">
        <is>
          <t>QC0023</t>
        </is>
      </c>
      <c r="E29" s="6" t="inlineStr">
        <is>
          <t>GIZMO LITEZ BOB BLACK</t>
        </is>
      </c>
      <c r="F29" s="6" t="inlineStr">
        <is>
          <t>9507900000</t>
        </is>
      </c>
      <c r="G29" s="6" t="inlineStr">
        <is>
          <t>rybářský alarm</t>
        </is>
      </c>
      <c r="H29" s="6" t="inlineStr">
        <is>
          <t>Alarm</t>
        </is>
      </c>
      <c r="I29" s="9" t="n">
        <v>1</v>
      </c>
      <c r="J29" s="9" t="n">
        <v>100</v>
      </c>
      <c r="K29" s="8" t="n">
        <v>8</v>
      </c>
      <c r="L29" s="8" t="n">
        <v>9</v>
      </c>
      <c r="M29" s="8" t="n">
        <v>427</v>
      </c>
    </row>
    <row r="30">
      <c r="A30" s="6" t="inlineStr">
        <is>
          <t>NINGBO S.SHINE TRADING CO.,LTD</t>
        </is>
      </c>
      <c r="B30" s="6" t="inlineStr">
        <is>
          <t>STS168-1</t>
        </is>
      </c>
      <c r="C30" s="6" t="inlineStr">
        <is>
          <t>OOCU5371915</t>
        </is>
      </c>
      <c r="D30" s="6" t="inlineStr">
        <is>
          <t>QC0024</t>
        </is>
      </c>
      <c r="E30" s="6" t="inlineStr">
        <is>
          <t>GIZMO LITEZ BOB CARBON</t>
        </is>
      </c>
      <c r="F30" s="6" t="inlineStr">
        <is>
          <t>9507900000</t>
        </is>
      </c>
      <c r="G30" s="6" t="inlineStr">
        <is>
          <t>rybářský alarm</t>
        </is>
      </c>
      <c r="H30" s="6" t="inlineStr">
        <is>
          <t>Alarm</t>
        </is>
      </c>
      <c r="I30" s="9" t="n">
        <v>1</v>
      </c>
      <c r="J30" s="9" t="n">
        <v>100</v>
      </c>
      <c r="K30" s="8" t="n">
        <v>8</v>
      </c>
      <c r="L30" s="8" t="n">
        <v>9</v>
      </c>
      <c r="M30" s="8" t="n">
        <v>483</v>
      </c>
    </row>
    <row r="31">
      <c r="A31" s="6" t="inlineStr">
        <is>
          <t>NINGBO S.SHINE TRADING CO.,LTD</t>
        </is>
      </c>
      <c r="B31" s="6" t="inlineStr">
        <is>
          <t>STS168-1</t>
        </is>
      </c>
      <c r="C31" s="6" t="inlineStr">
        <is>
          <t>OOCU5371915</t>
        </is>
      </c>
      <c r="D31" s="6" t="inlineStr">
        <is>
          <t>QC0025</t>
        </is>
      </c>
      <c r="E31" s="6" t="inlineStr">
        <is>
          <t>GIZMO SWINGBOB SLIM RED</t>
        </is>
      </c>
      <c r="F31" s="6" t="inlineStr">
        <is>
          <t>9507900000</t>
        </is>
      </c>
      <c r="G31" s="6" t="inlineStr">
        <is>
          <t>rybářský alarm</t>
        </is>
      </c>
      <c r="H31" s="6" t="inlineStr">
        <is>
          <t>Alarm</t>
        </is>
      </c>
      <c r="I31" s="9" t="n">
        <v>2</v>
      </c>
      <c r="J31" s="9" t="n">
        <v>150</v>
      </c>
      <c r="K31" s="8" t="n">
        <v>11.4</v>
      </c>
      <c r="L31" s="8" t="n">
        <v>13.4</v>
      </c>
      <c r="M31" s="8" t="n">
        <v>717</v>
      </c>
    </row>
    <row r="32">
      <c r="A32" s="6" t="inlineStr">
        <is>
          <t>NINGBO S.SHINE TRADING CO.,LTD</t>
        </is>
      </c>
      <c r="B32" s="6" t="inlineStr">
        <is>
          <t>STS168-1</t>
        </is>
      </c>
      <c r="C32" s="6" t="inlineStr">
        <is>
          <t>OOCU5371915</t>
        </is>
      </c>
      <c r="D32" s="6" t="inlineStr">
        <is>
          <t>QC0027</t>
        </is>
      </c>
      <c r="E32" s="6" t="inlineStr">
        <is>
          <t>GIZMO SWINGBOB SLIM GREEN</t>
        </is>
      </c>
      <c r="F32" s="6" t="inlineStr">
        <is>
          <t>9507900000</t>
        </is>
      </c>
      <c r="G32" s="6" t="inlineStr">
        <is>
          <t>rybářský alarm</t>
        </is>
      </c>
      <c r="H32" s="6" t="inlineStr">
        <is>
          <t>Alarm</t>
        </is>
      </c>
      <c r="I32" s="9" t="n">
        <v>1</v>
      </c>
      <c r="J32" s="9" t="n">
        <v>100</v>
      </c>
      <c r="K32" s="8" t="n">
        <v>5.7</v>
      </c>
      <c r="L32" s="8" t="n">
        <v>6.7</v>
      </c>
      <c r="M32" s="8" t="n">
        <v>478</v>
      </c>
    </row>
    <row r="33">
      <c r="A33" s="6" t="inlineStr">
        <is>
          <t>NINGBO S.SHINE TRADING CO.,LTD</t>
        </is>
      </c>
      <c r="B33" s="6" t="inlineStr">
        <is>
          <t>STS168-1</t>
        </is>
      </c>
      <c r="C33" s="6" t="inlineStr">
        <is>
          <t>OOCU5371915</t>
        </is>
      </c>
      <c r="D33" s="6" t="inlineStr">
        <is>
          <t>QC0035</t>
        </is>
      </c>
      <c r="E33" s="6" t="inlineStr">
        <is>
          <t>GIZMO SWINGBOB PHAT BLUE</t>
        </is>
      </c>
      <c r="F33" s="6" t="inlineStr">
        <is>
          <t>9507900000</t>
        </is>
      </c>
      <c r="G33" s="6" t="inlineStr">
        <is>
          <t>rybářský alarm</t>
        </is>
      </c>
      <c r="H33" s="6" t="inlineStr">
        <is>
          <t>Alarm</t>
        </is>
      </c>
      <c r="I33" s="9" t="n">
        <v>3</v>
      </c>
      <c r="J33" s="9" t="n">
        <v>300</v>
      </c>
      <c r="K33" s="8" t="n">
        <v>32.1</v>
      </c>
      <c r="L33" s="8" t="n">
        <v>35.1</v>
      </c>
      <c r="M33" s="8" t="n">
        <v>1575</v>
      </c>
    </row>
    <row r="34">
      <c r="A34" s="6" t="inlineStr">
        <is>
          <t>NINGBO S.SHINE TRADING CO.,LTD</t>
        </is>
      </c>
      <c r="B34" s="6" t="inlineStr">
        <is>
          <t>STS168-1</t>
        </is>
      </c>
      <c r="C34" s="6" t="inlineStr">
        <is>
          <t>OOCU5371915</t>
        </is>
      </c>
      <c r="D34" s="6" t="inlineStr">
        <is>
          <t>QC0037</t>
        </is>
      </c>
      <c r="E34" s="6" t="inlineStr">
        <is>
          <t>GIZMO SWINGBOB PHAT WHITE</t>
        </is>
      </c>
      <c r="F34" s="6" t="inlineStr">
        <is>
          <t>9507900000</t>
        </is>
      </c>
      <c r="G34" s="6" t="inlineStr">
        <is>
          <t>rybářský alarm</t>
        </is>
      </c>
      <c r="H34" s="6" t="inlineStr">
        <is>
          <t>Alarm</t>
        </is>
      </c>
      <c r="I34" s="9" t="n">
        <v>3</v>
      </c>
      <c r="J34" s="9" t="n">
        <v>300</v>
      </c>
      <c r="K34" s="8" t="n">
        <v>32.1</v>
      </c>
      <c r="L34" s="8" t="n">
        <v>35.1</v>
      </c>
      <c r="M34" s="8" t="n">
        <v>1737</v>
      </c>
    </row>
    <row r="35">
      <c r="A35" s="6" t="inlineStr">
        <is>
          <t>NINGBO S.SHINE TRADING CO.,LTD</t>
        </is>
      </c>
      <c r="B35" s="6" t="inlineStr">
        <is>
          <t>STS168-1</t>
        </is>
      </c>
      <c r="C35" s="6" t="inlineStr">
        <is>
          <t>OOCU5371915</t>
        </is>
      </c>
      <c r="D35" s="6" t="inlineStr">
        <is>
          <t>20100055.0</t>
        </is>
      </c>
      <c r="E35" s="6" t="inlineStr">
        <is>
          <t>IMPAX MK2 3000</t>
        </is>
      </c>
      <c r="F35" s="6" t="inlineStr">
        <is>
          <t>9507300000</t>
        </is>
      </c>
      <c r="G35" s="6" t="inlineStr">
        <is>
          <t>Naviják</t>
        </is>
      </c>
      <c r="H35" s="6" t="inlineStr">
        <is>
          <t>Reel</t>
        </is>
      </c>
      <c r="I35" s="9" t="n">
        <v>15</v>
      </c>
      <c r="J35" s="9" t="n">
        <v>300</v>
      </c>
      <c r="K35" s="8" t="n">
        <v>90</v>
      </c>
      <c r="L35" s="8" t="n">
        <v>105</v>
      </c>
      <c r="M35" s="8" t="n">
        <v>3060</v>
      </c>
    </row>
    <row r="36">
      <c r="A36" s="6" t="inlineStr">
        <is>
          <t>NINGBO S.SHINE TRADING CO.,LTD</t>
        </is>
      </c>
      <c r="B36" s="6" t="inlineStr">
        <is>
          <t>STS168-1</t>
        </is>
      </c>
      <c r="C36" s="6" t="inlineStr">
        <is>
          <t>OOCU5371915</t>
        </is>
      </c>
      <c r="D36" s="6" t="inlineStr">
        <is>
          <t>20100056.0</t>
        </is>
      </c>
      <c r="E36" s="6" t="inlineStr">
        <is>
          <t>IMPAX MK2 4000</t>
        </is>
      </c>
      <c r="F36" s="6" t="inlineStr">
        <is>
          <t>9507300000</t>
        </is>
      </c>
      <c r="G36" s="6" t="inlineStr">
        <is>
          <t>Naviják</t>
        </is>
      </c>
      <c r="H36" s="6" t="inlineStr">
        <is>
          <t>Reel</t>
        </is>
      </c>
      <c r="I36" s="9" t="n">
        <v>50</v>
      </c>
      <c r="J36" s="9" t="n">
        <v>1000</v>
      </c>
      <c r="K36" s="8" t="n">
        <v>310</v>
      </c>
      <c r="L36" s="8" t="n">
        <v>360</v>
      </c>
      <c r="M36" s="8" t="n">
        <v>10550</v>
      </c>
    </row>
    <row r="37">
      <c r="A37" s="6" t="inlineStr">
        <is>
          <t>NINGBO S.SHINE TRADING CO.,LTD</t>
        </is>
      </c>
      <c r="B37" s="6" t="inlineStr">
        <is>
          <t>STS168-1</t>
        </is>
      </c>
      <c r="C37" s="6" t="inlineStr">
        <is>
          <t>OOCU5371915</t>
        </is>
      </c>
      <c r="D37" s="6" t="inlineStr">
        <is>
          <t>20100057.0</t>
        </is>
      </c>
      <c r="E37" s="6" t="inlineStr">
        <is>
          <t>IMPAX MK2 5000</t>
        </is>
      </c>
      <c r="F37" s="6" t="inlineStr">
        <is>
          <t>9507300000</t>
        </is>
      </c>
      <c r="G37" s="6" t="inlineStr">
        <is>
          <t>Naviják</t>
        </is>
      </c>
      <c r="H37" s="6" t="inlineStr">
        <is>
          <t>Reel</t>
        </is>
      </c>
      <c r="I37" s="9" t="n">
        <v>25</v>
      </c>
      <c r="J37" s="9" t="n">
        <v>500</v>
      </c>
      <c r="K37" s="8" t="n">
        <v>217.5</v>
      </c>
      <c r="L37" s="8" t="n">
        <v>242.5</v>
      </c>
      <c r="M37" s="8" t="n">
        <v>5450</v>
      </c>
    </row>
    <row r="38">
      <c r="A38" s="6" t="inlineStr">
        <is>
          <t>NINGBO S.SHINE TRADING CO.,LTD</t>
        </is>
      </c>
      <c r="B38" s="6" t="inlineStr">
        <is>
          <t>STS168-1</t>
        </is>
      </c>
      <c r="C38" s="6" t="inlineStr">
        <is>
          <t>OOCU5371915</t>
        </is>
      </c>
      <c r="D38" s="6" t="inlineStr">
        <is>
          <t>BC0046</t>
        </is>
      </c>
      <c r="E38" s="6" t="inlineStr">
        <is>
          <t>XTRACTOR+ 5000 CARBON</t>
        </is>
      </c>
      <c r="F38" s="6" t="inlineStr">
        <is>
          <t>9507300000</t>
        </is>
      </c>
      <c r="G38" s="6" t="inlineStr">
        <is>
          <t>Naviják</t>
        </is>
      </c>
      <c r="H38" s="6" t="inlineStr">
        <is>
          <t>Reel</t>
        </is>
      </c>
      <c r="I38" s="9" t="n">
        <v>50</v>
      </c>
      <c r="J38" s="9" t="n">
        <v>500</v>
      </c>
      <c r="K38" s="8" t="n">
        <v>260</v>
      </c>
      <c r="L38" s="8" t="n">
        <v>310</v>
      </c>
      <c r="M38" s="8" t="n">
        <v>9400</v>
      </c>
    </row>
    <row r="39">
      <c r="A39" s="6" t="inlineStr">
        <is>
          <t>NINGBO S.SHINE TRADING CO.,LTD</t>
        </is>
      </c>
      <c r="B39" s="6" t="inlineStr">
        <is>
          <t>STS168-1</t>
        </is>
      </c>
      <c r="C39" s="6" t="inlineStr">
        <is>
          <t>OOCU5371915</t>
        </is>
      </c>
      <c r="D39" s="6" t="inlineStr">
        <is>
          <t>BC0047</t>
        </is>
      </c>
      <c r="E39" s="6" t="inlineStr">
        <is>
          <t>XTRACTOR+ 5000 CARBON SPARE SPOOL</t>
        </is>
      </c>
      <c r="F39" s="6" t="inlineStr">
        <is>
          <t>9507300000</t>
        </is>
      </c>
      <c r="G39" s="6" t="inlineStr">
        <is>
          <t>rybářský naviják spool</t>
        </is>
      </c>
      <c r="H39" s="6" t="inlineStr">
        <is>
          <t>Spool</t>
        </is>
      </c>
      <c r="I39" s="9" t="n">
        <v>1</v>
      </c>
      <c r="J39" s="9" t="n">
        <v>60</v>
      </c>
      <c r="K39" s="8" t="n">
        <v>6</v>
      </c>
      <c r="L39" s="8" t="n">
        <v>7</v>
      </c>
      <c r="M39" s="8" t="n">
        <v>318</v>
      </c>
    </row>
    <row r="40">
      <c r="A40" s="6" t="inlineStr">
        <is>
          <t>NINGBO S.SHINE TRADING CO.,LTD</t>
        </is>
      </c>
      <c r="B40" s="6" t="inlineStr">
        <is>
          <t>STS168-1</t>
        </is>
      </c>
      <c r="C40" s="6" t="inlineStr">
        <is>
          <t>OOCU5371915</t>
        </is>
      </c>
      <c r="D40" s="6" t="inlineStr">
        <is>
          <t>CC0011</t>
        </is>
      </c>
      <c r="E40" s="6" t="inlineStr">
        <is>
          <t>HEROX LANDING NET 42" 2PC 6FT</t>
        </is>
      </c>
      <c r="F40" s="6" t="inlineStr">
        <is>
          <t>9507900000</t>
        </is>
      </c>
      <c r="G40" s="6" t="inlineStr">
        <is>
          <t>Síť</t>
        </is>
      </c>
      <c r="H40" s="6" t="inlineStr">
        <is>
          <t>Net</t>
        </is>
      </c>
      <c r="I40" s="9" t="n">
        <v>50</v>
      </c>
      <c r="J40" s="9" t="n">
        <v>500</v>
      </c>
      <c r="K40" s="8" t="n">
        <v>435</v>
      </c>
      <c r="L40" s="8" t="n">
        <v>485</v>
      </c>
      <c r="M40" s="8" t="n">
        <v>5390</v>
      </c>
    </row>
    <row r="41">
      <c r="A41" s="6" t="inlineStr">
        <is>
          <t>NINGBO S.SHINE TRADING CO.,LTD</t>
        </is>
      </c>
      <c r="B41" s="6" t="inlineStr">
        <is>
          <t>STS168-1</t>
        </is>
      </c>
      <c r="C41" s="6" t="inlineStr">
        <is>
          <t>OOCU5371915</t>
        </is>
      </c>
      <c r="D41" s="6" t="inlineStr">
        <is>
          <t>CC0012</t>
        </is>
      </c>
      <c r="E41" s="6" t="inlineStr">
        <is>
          <t>HEROX LANDING NET 42" 2PC 8FT</t>
        </is>
      </c>
      <c r="F41" s="6" t="inlineStr">
        <is>
          <t>9507900000</t>
        </is>
      </c>
      <c r="G41" s="6" t="inlineStr">
        <is>
          <t>Síť</t>
        </is>
      </c>
      <c r="H41" s="6" t="inlineStr">
        <is>
          <t>Net</t>
        </is>
      </c>
      <c r="I41" s="9" t="n">
        <v>50</v>
      </c>
      <c r="J41" s="9" t="n">
        <v>500</v>
      </c>
      <c r="K41" s="8" t="n">
        <v>490</v>
      </c>
      <c r="L41" s="8" t="n">
        <v>540</v>
      </c>
      <c r="M41" s="8" t="n">
        <v>5840</v>
      </c>
    </row>
    <row r="42">
      <c r="A42" s="6" t="inlineStr">
        <is>
          <t>NINGBO S.SHINE TRADING CO.,LTD</t>
        </is>
      </c>
      <c r="B42" s="6" t="inlineStr">
        <is>
          <t>STS168-1</t>
        </is>
      </c>
      <c r="C42" s="6" t="inlineStr">
        <is>
          <t>OOCU5371915</t>
        </is>
      </c>
      <c r="D42" s="6" t="inlineStr">
        <is>
          <t>VC0003</t>
        </is>
      </c>
      <c r="E42" s="6" t="inlineStr">
        <is>
          <t>LOKBOX COMPACT S-2 BOX</t>
        </is>
      </c>
      <c r="F42" s="6" t="inlineStr">
        <is>
          <t>3923109090</t>
        </is>
      </c>
      <c r="G42" s="6" t="inlineStr">
        <is>
          <t>Krabice</t>
        </is>
      </c>
      <c r="H42" s="6" t="inlineStr">
        <is>
          <t>Box</t>
        </is>
      </c>
      <c r="I42" s="9" t="n">
        <v>15</v>
      </c>
      <c r="J42" s="9" t="n">
        <v>300</v>
      </c>
      <c r="K42" s="8" t="n">
        <v>139.185</v>
      </c>
      <c r="L42" s="8" t="n">
        <v>154.185</v>
      </c>
      <c r="M42" s="8" t="n">
        <v>1488</v>
      </c>
    </row>
    <row r="43">
      <c r="A43" s="6" t="inlineStr">
        <is>
          <t>NINGBO S.SHINE TRADING CO.,LTD</t>
        </is>
      </c>
      <c r="B43" s="6" t="inlineStr">
        <is>
          <t>STS168-1</t>
        </is>
      </c>
      <c r="C43" s="6" t="inlineStr">
        <is>
          <t>OOCU5371915</t>
        </is>
      </c>
      <c r="D43" s="6" t="inlineStr">
        <is>
          <t>VC0005</t>
        </is>
      </c>
      <c r="E43" s="6" t="inlineStr">
        <is>
          <t>LOKBOX MEDIUM BOX</t>
        </is>
      </c>
      <c r="F43" s="6" t="inlineStr">
        <is>
          <t>3923109090</t>
        </is>
      </c>
      <c r="G43" s="6" t="inlineStr">
        <is>
          <t>Krabice</t>
        </is>
      </c>
      <c r="H43" s="6" t="inlineStr">
        <is>
          <t>Box</t>
        </is>
      </c>
      <c r="I43" s="9" t="n">
        <v>34</v>
      </c>
      <c r="J43" s="9" t="n">
        <v>510</v>
      </c>
      <c r="K43" s="8" t="n">
        <v>459.102</v>
      </c>
      <c r="L43" s="8" t="n">
        <v>493.102</v>
      </c>
      <c r="M43" s="8" t="n">
        <v>4845</v>
      </c>
    </row>
    <row r="44">
      <c r="A44" s="6" t="inlineStr">
        <is>
          <t>NINGBO S.SHINE TRADING CO.,LTD</t>
        </is>
      </c>
      <c r="B44" s="6" t="inlineStr">
        <is>
          <t>STS168-1</t>
        </is>
      </c>
      <c r="C44" s="6" t="inlineStr">
        <is>
          <t>OOCU5371915</t>
        </is>
      </c>
      <c r="D44" s="6" t="inlineStr">
        <is>
          <t>VC0006</t>
        </is>
      </c>
      <c r="E44" s="6" t="inlineStr">
        <is>
          <t>LOCKBOX LONG S-3 BOX</t>
        </is>
      </c>
      <c r="F44" s="6" t="inlineStr">
        <is>
          <t>3923109090</t>
        </is>
      </c>
      <c r="G44" s="6" t="inlineStr">
        <is>
          <t>Krabice</t>
        </is>
      </c>
      <c r="H44" s="6" t="inlineStr">
        <is>
          <t>Box</t>
        </is>
      </c>
      <c r="I44" s="9" t="n">
        <v>20</v>
      </c>
      <c r="J44" s="9" t="n">
        <v>300</v>
      </c>
      <c r="K44" s="8" t="n">
        <v>267.01</v>
      </c>
      <c r="L44" s="8" t="n">
        <v>287.41</v>
      </c>
      <c r="M44" s="8" t="n">
        <v>2682</v>
      </c>
    </row>
    <row r="45">
      <c r="A45" s="6" t="inlineStr">
        <is>
          <t>NINGBO S.SHINE TRADING CO.,LTD</t>
        </is>
      </c>
      <c r="B45" s="6" t="inlineStr">
        <is>
          <t>STS168-1</t>
        </is>
      </c>
      <c r="C45" s="6" t="inlineStr">
        <is>
          <t>OOCU5371915</t>
        </is>
      </c>
      <c r="D45" s="6" t="inlineStr">
        <is>
          <t>HC0090</t>
        </is>
      </c>
      <c r="E45" s="6" t="inlineStr">
        <is>
          <t>SONIK DIGITAL FOLDING SCALES</t>
        </is>
      </c>
      <c r="F45" s="6" t="inlineStr">
        <is>
          <t>8531202090</t>
        </is>
      </c>
      <c r="G45" s="6" t="inlineStr">
        <is>
          <t>Měřítko</t>
        </is>
      </c>
      <c r="H45" s="6" t="inlineStr">
        <is>
          <t>Scale</t>
        </is>
      </c>
      <c r="I45" s="9" t="n">
        <v>40</v>
      </c>
      <c r="J45" s="9" t="n">
        <v>800</v>
      </c>
      <c r="K45" s="8" t="n">
        <v>300</v>
      </c>
      <c r="L45" s="8" t="n">
        <v>340</v>
      </c>
      <c r="M45" s="8" t="n">
        <v>7888</v>
      </c>
    </row>
    <row r="46">
      <c r="A46" s="6" t="inlineStr">
        <is>
          <t>NINGBO S.SHINE TRADING CO.,LTD</t>
        </is>
      </c>
      <c r="B46" s="6" t="inlineStr">
        <is>
          <t>STS168-1</t>
        </is>
      </c>
      <c r="C46" s="6" t="inlineStr">
        <is>
          <t>OOCU5371915</t>
        </is>
      </c>
      <c r="D46" s="6" t="inlineStr">
        <is>
          <t>TC0002</t>
        </is>
      </c>
      <c r="E46" s="6" t="inlineStr">
        <is>
          <t>GIZMO HTR-160</t>
        </is>
      </c>
      <c r="F46" s="6" t="inlineStr">
        <is>
          <t>8513100000</t>
        </is>
      </c>
      <c r="G46" s="6" t="inlineStr">
        <is>
          <t>Pochodeň</t>
        </is>
      </c>
      <c r="H46" s="6" t="inlineStr">
        <is>
          <t>Torch</t>
        </is>
      </c>
      <c r="I46" s="9" t="n">
        <v>12</v>
      </c>
      <c r="J46" s="9" t="n">
        <v>600</v>
      </c>
      <c r="K46" s="8" t="n">
        <v>84</v>
      </c>
      <c r="L46" s="8" t="n">
        <v>96</v>
      </c>
      <c r="M46" s="8" t="n">
        <v>3270</v>
      </c>
    </row>
    <row r="47">
      <c r="A47" s="6" t="inlineStr">
        <is>
          <t>NINGBO S.SHINE TRADING CO.,LTD</t>
        </is>
      </c>
      <c r="B47" s="6" t="inlineStr">
        <is>
          <t>STS168-1</t>
        </is>
      </c>
      <c r="C47" s="6" t="inlineStr">
        <is>
          <t>OOCU5371915</t>
        </is>
      </c>
      <c r="D47" s="6" t="inlineStr">
        <is>
          <t>HC0100</t>
        </is>
      </c>
      <c r="E47" s="6" t="inlineStr">
        <is>
          <t>HEROX BITE ALARM SET 2+1+BL (R B)</t>
        </is>
      </c>
      <c r="F47" s="6" t="inlineStr">
        <is>
          <t>8531202090</t>
        </is>
      </c>
      <c r="G47" s="6" t="inlineStr">
        <is>
          <t>rybářský alarm</t>
        </is>
      </c>
      <c r="H47" s="6" t="inlineStr">
        <is>
          <t>Alarm</t>
        </is>
      </c>
      <c r="I47" s="9" t="n">
        <v>25</v>
      </c>
      <c r="J47" s="9" t="n">
        <v>500</v>
      </c>
      <c r="K47" s="8" t="n">
        <v>180</v>
      </c>
      <c r="L47" s="8" t="n">
        <v>205</v>
      </c>
      <c r="M47" s="8" t="n">
        <v>10900</v>
      </c>
    </row>
    <row r="48">
      <c r="A48" s="6" t="inlineStr">
        <is>
          <t>NINGBO S.SHINE TRADING CO.,LTD</t>
        </is>
      </c>
      <c r="B48" s="6" t="inlineStr">
        <is>
          <t>STS168-1</t>
        </is>
      </c>
      <c r="C48" s="6" t="inlineStr">
        <is>
          <t>OOCU5371915</t>
        </is>
      </c>
      <c r="D48" s="6" t="inlineStr">
        <is>
          <t>HC0101</t>
        </is>
      </c>
      <c r="E48" s="6" t="inlineStr">
        <is>
          <t>HEROX BITE ALARM SET 3+1+BL (R G B)</t>
        </is>
      </c>
      <c r="F48" s="6" t="inlineStr">
        <is>
          <t>8531202090</t>
        </is>
      </c>
      <c r="G48" s="6" t="inlineStr">
        <is>
          <t>rybářský alarm</t>
        </is>
      </c>
      <c r="H48" s="6" t="inlineStr">
        <is>
          <t>Alarm</t>
        </is>
      </c>
      <c r="I48" s="9" t="n">
        <v>25</v>
      </c>
      <c r="J48" s="9" t="n">
        <v>500</v>
      </c>
      <c r="K48" s="8" t="n">
        <v>212.5</v>
      </c>
      <c r="L48" s="8" t="n">
        <v>237.5</v>
      </c>
      <c r="M48" s="8" t="n">
        <v>12850</v>
      </c>
    </row>
    <row r="49">
      <c r="A49" s="6" t="inlineStr">
        <is>
          <t>NINGBO S.SHINE TRADING CO.,LTD</t>
        </is>
      </c>
      <c r="B49" s="6" t="inlineStr">
        <is>
          <t>STS168-1</t>
        </is>
      </c>
      <c r="C49" s="6" t="inlineStr">
        <is>
          <t>OOCU5371915</t>
        </is>
      </c>
      <c r="D49" s="6" t="inlineStr">
        <is>
          <t>HC0102</t>
        </is>
      </c>
      <c r="E49" s="6" t="inlineStr">
        <is>
          <t>HEROX BITE ALARM SINGLE (ORANGE)</t>
        </is>
      </c>
      <c r="F49" s="6" t="inlineStr">
        <is>
          <t>8531202090</t>
        </is>
      </c>
      <c r="G49" s="6" t="inlineStr">
        <is>
          <t>rybářský alarm</t>
        </is>
      </c>
      <c r="H49" s="6" t="inlineStr">
        <is>
          <t>Alarm</t>
        </is>
      </c>
      <c r="I49" s="9" t="n">
        <v>1</v>
      </c>
      <c r="J49" s="9" t="n">
        <v>50</v>
      </c>
      <c r="K49" s="8" t="n">
        <v>5.8</v>
      </c>
      <c r="L49" s="8" t="n">
        <v>6.8</v>
      </c>
      <c r="M49" s="8" t="n">
        <v>205</v>
      </c>
    </row>
    <row r="50">
      <c r="A50" s="6" t="inlineStr">
        <is>
          <t>NINGBO S.SHINE TRADING CO.,LTD</t>
        </is>
      </c>
      <c r="B50" s="6" t="inlineStr">
        <is>
          <t>STS168-1</t>
        </is>
      </c>
      <c r="C50" s="6" t="inlineStr">
        <is>
          <t>OOCU5371915</t>
        </is>
      </c>
      <c r="D50" s="6" t="inlineStr">
        <is>
          <t>20100029.0</t>
        </is>
      </c>
      <c r="E50" s="6" t="inlineStr">
        <is>
          <t>NYTRO NTR MK2 3002</t>
        </is>
      </c>
      <c r="F50" s="6" t="inlineStr">
        <is>
          <t>9507300000</t>
        </is>
      </c>
      <c r="G50" s="6" t="inlineStr">
        <is>
          <t>rybářský naviják</t>
        </is>
      </c>
      <c r="H50" s="6" t="inlineStr">
        <is>
          <t>Reel</t>
        </is>
      </c>
      <c r="I50" s="9" t="n">
        <v>25</v>
      </c>
      <c r="J50" s="9" t="n">
        <v>500</v>
      </c>
      <c r="K50" s="8" t="n">
        <v>150</v>
      </c>
      <c r="L50" s="8" t="n">
        <v>175</v>
      </c>
      <c r="M50" s="8" t="n">
        <v>3380</v>
      </c>
    </row>
    <row r="51">
      <c r="A51" s="6" t="inlineStr">
        <is>
          <t>NINGBO S.SHINE TRADING CO.,LTD</t>
        </is>
      </c>
      <c r="B51" s="6" t="inlineStr">
        <is>
          <t>STS168-1</t>
        </is>
      </c>
      <c r="C51" s="6" t="inlineStr">
        <is>
          <t>OOCU5371915</t>
        </is>
      </c>
      <c r="D51" s="6" t="inlineStr">
        <is>
          <t>20100030.0</t>
        </is>
      </c>
      <c r="E51" s="6" t="inlineStr">
        <is>
          <t>NYTRO NTR MK2 4002</t>
        </is>
      </c>
      <c r="F51" s="6" t="inlineStr">
        <is>
          <t>9507300000</t>
        </is>
      </c>
      <c r="G51" s="6" t="inlineStr">
        <is>
          <t>rybářský naviják</t>
        </is>
      </c>
      <c r="H51" s="6" t="inlineStr">
        <is>
          <t>Reel</t>
        </is>
      </c>
      <c r="I51" s="9" t="n">
        <v>25</v>
      </c>
      <c r="J51" s="9" t="n">
        <v>500</v>
      </c>
      <c r="K51" s="8" t="n">
        <v>155</v>
      </c>
      <c r="L51" s="8" t="n">
        <v>180</v>
      </c>
      <c r="M51" s="8" t="n">
        <v>3570</v>
      </c>
    </row>
    <row r="52">
      <c r="A52" s="6" t="inlineStr">
        <is>
          <t>NINGBO S.SHINE TRADING CO.,LTD</t>
        </is>
      </c>
      <c r="B52" s="6" t="inlineStr">
        <is>
          <t>STS168-1</t>
        </is>
      </c>
      <c r="C52" s="6" t="inlineStr">
        <is>
          <t>OOCU5371915</t>
        </is>
      </c>
      <c r="D52" s="6" t="inlineStr">
        <is>
          <t>20100025.0</t>
        </is>
      </c>
      <c r="E52" s="6" t="inlineStr">
        <is>
          <t>ARYZON 5000</t>
        </is>
      </c>
      <c r="F52" s="6" t="inlineStr">
        <is>
          <t>9507300000</t>
        </is>
      </c>
      <c r="G52" s="6" t="inlineStr">
        <is>
          <t>rybářský naviják</t>
        </is>
      </c>
      <c r="H52" s="6" t="inlineStr">
        <is>
          <t>Reel</t>
        </is>
      </c>
      <c r="I52" s="9" t="n">
        <v>10</v>
      </c>
      <c r="J52" s="9" t="n">
        <v>200</v>
      </c>
      <c r="K52" s="8" t="n">
        <v>76</v>
      </c>
      <c r="L52" s="8" t="n">
        <v>86</v>
      </c>
      <c r="M52" s="8" t="n">
        <v>2880</v>
      </c>
    </row>
    <row r="53">
      <c r="A53" s="6" t="inlineStr">
        <is>
          <t>NINGBO S.SHINE TRADING CO.,LTD</t>
        </is>
      </c>
      <c r="B53" s="6" t="inlineStr">
        <is>
          <t>STS168-1</t>
        </is>
      </c>
      <c r="C53" s="6" t="inlineStr">
        <is>
          <t>OOCU5371915</t>
        </is>
      </c>
      <c r="D53" s="6" t="inlineStr">
        <is>
          <t>30200002.0</t>
        </is>
      </c>
      <c r="E53" s="6" t="inlineStr">
        <is>
          <t>SKEATER REALIST 5K WS</t>
        </is>
      </c>
      <c r="F53" s="6" t="inlineStr">
        <is>
          <t>9507300000</t>
        </is>
      </c>
      <c r="G53" s="6" t="inlineStr">
        <is>
          <t>Cívka díly</t>
        </is>
      </c>
      <c r="H53" s="6" t="inlineStr">
        <is>
          <t>Reel - part</t>
        </is>
      </c>
      <c r="I53" s="9" t="n">
        <v>1</v>
      </c>
      <c r="J53" s="9" t="n">
        <v>2</v>
      </c>
      <c r="K53" s="8" t="n">
        <v>1.3</v>
      </c>
      <c r="L53" s="8" t="n">
        <v>1.4</v>
      </c>
      <c r="M53" s="8" t="n">
        <v>28</v>
      </c>
    </row>
    <row r="54">
      <c r="A54" s="6" t="inlineStr">
        <is>
          <t>NINGBO S.SHINE TRADING CO.,LTD</t>
        </is>
      </c>
      <c r="B54" s="6" t="inlineStr">
        <is>
          <t>STS168-1</t>
        </is>
      </c>
      <c r="C54" s="6" t="inlineStr">
        <is>
          <t>OOCU5371915</t>
        </is>
      </c>
      <c r="D54" s="6" t="inlineStr">
        <is>
          <t>30900000.0</t>
        </is>
      </c>
      <c r="E54" s="6" t="inlineStr">
        <is>
          <t>STALKING FOLDING PREDA-NET</t>
        </is>
      </c>
      <c r="F54" s="6" t="inlineStr">
        <is>
          <t>9507900000</t>
        </is>
      </c>
      <c r="G54" s="6" t="inlineStr">
        <is>
          <t>síťovina</t>
        </is>
      </c>
      <c r="H54" s="6" t="inlineStr">
        <is>
          <t>Net</t>
        </is>
      </c>
      <c r="I54" s="9" t="n">
        <v>20</v>
      </c>
      <c r="J54" s="9" t="n">
        <v>200</v>
      </c>
      <c r="K54" s="8" t="n">
        <v>246</v>
      </c>
      <c r="L54" s="8" t="n">
        <v>266</v>
      </c>
      <c r="M54" s="8" t="n">
        <v>1860</v>
      </c>
    </row>
    <row r="55">
      <c r="A55" s="6" t="inlineStr">
        <is>
          <t>NINGBO S.SHINE TRADING CO.,LTD</t>
        </is>
      </c>
      <c r="B55" s="6" t="inlineStr">
        <is>
          <t>STS168-1</t>
        </is>
      </c>
      <c r="C55" s="6" t="inlineStr">
        <is>
          <t>OOCU5371915</t>
        </is>
      </c>
      <c r="D55" s="6" t="inlineStr">
        <is>
          <t>30900001.0</t>
        </is>
      </c>
      <c r="E55" s="6" t="inlineStr">
        <is>
          <t>PREDA-NET FOLDING</t>
        </is>
      </c>
      <c r="F55" s="6" t="inlineStr">
        <is>
          <t>9507900000</t>
        </is>
      </c>
      <c r="G55" s="6" t="inlineStr">
        <is>
          <t>síťovina</t>
        </is>
      </c>
      <c r="H55" s="6" t="inlineStr">
        <is>
          <t>Net</t>
        </is>
      </c>
      <c r="I55" s="9" t="n">
        <v>40</v>
      </c>
      <c r="J55" s="9" t="n">
        <v>200</v>
      </c>
      <c r="K55" s="8" t="n">
        <v>264</v>
      </c>
      <c r="L55" s="8" t="n">
        <v>304</v>
      </c>
      <c r="M55" s="8" t="n">
        <v>2090</v>
      </c>
    </row>
    <row r="56">
      <c r="A56" s="6" t="inlineStr">
        <is>
          <t>NINGBO S.SHINE TRADING CO.,LTD</t>
        </is>
      </c>
      <c r="B56" s="6" t="inlineStr">
        <is>
          <t>STS168-1</t>
        </is>
      </c>
      <c r="C56" s="6" t="inlineStr">
        <is>
          <t>OOCU5371915</t>
        </is>
      </c>
      <c r="D56" s="6" t="inlineStr">
        <is>
          <t>30900002.0</t>
        </is>
      </c>
      <c r="E56" s="6" t="inlineStr">
        <is>
          <t>PREDA-NET FOLDING</t>
        </is>
      </c>
      <c r="F56" s="6" t="inlineStr">
        <is>
          <t>9507900000</t>
        </is>
      </c>
      <c r="G56" s="6" t="inlineStr">
        <is>
          <t>síťovina</t>
        </is>
      </c>
      <c r="H56" s="6" t="inlineStr">
        <is>
          <t>Net</t>
        </is>
      </c>
      <c r="I56" s="9" t="n">
        <v>30</v>
      </c>
      <c r="J56" s="9" t="n">
        <v>150</v>
      </c>
      <c r="K56" s="8" t="n">
        <v>273</v>
      </c>
      <c r="L56" s="8" t="n">
        <v>303</v>
      </c>
      <c r="M56" s="8" t="n">
        <v>1980</v>
      </c>
    </row>
    <row r="57">
      <c r="A57" s="6" t="inlineStr">
        <is>
          <t>NINGBO S.SHINE TRADING CO.,LTD</t>
        </is>
      </c>
      <c r="B57" s="6" t="inlineStr">
        <is>
          <t>STS168-1</t>
        </is>
      </c>
      <c r="C57" s="6" t="inlineStr">
        <is>
          <t>OOCU5371915</t>
        </is>
      </c>
      <c r="D57" s="6" t="inlineStr">
        <is>
          <t>30900003.0</t>
        </is>
      </c>
      <c r="E57" s="6" t="inlineStr">
        <is>
          <t>PREDA-NET XL FOLDING (TELE)</t>
        </is>
      </c>
      <c r="F57" s="6" t="inlineStr">
        <is>
          <t>9507900000</t>
        </is>
      </c>
      <c r="G57" s="6" t="inlineStr">
        <is>
          <t>síťovina</t>
        </is>
      </c>
      <c r="H57" s="6" t="inlineStr">
        <is>
          <t>Net</t>
        </is>
      </c>
      <c r="I57" s="9" t="n">
        <v>34</v>
      </c>
      <c r="J57" s="9" t="n">
        <v>170</v>
      </c>
      <c r="K57" s="8" t="n">
        <v>262</v>
      </c>
      <c r="L57" s="8" t="n">
        <v>296</v>
      </c>
      <c r="M57" s="8" t="n">
        <v>2626.5</v>
      </c>
    </row>
    <row r="58">
      <c r="A58" s="6" t="inlineStr">
        <is>
          <t>NINGBO S.SHINE TRADING CO.,LTD</t>
        </is>
      </c>
      <c r="B58" s="6" t="inlineStr">
        <is>
          <t>STS168-1</t>
        </is>
      </c>
      <c r="C58" s="6" t="inlineStr">
        <is>
          <t>OOCU5371915</t>
        </is>
      </c>
      <c r="D58" s="6" t="inlineStr">
        <is>
          <t>30900004.0</t>
        </is>
      </c>
      <c r="E58" s="6" t="inlineStr">
        <is>
          <t>PREDA-NET XL FOLDING (TELE)</t>
        </is>
      </c>
      <c r="F58" s="6" t="inlineStr">
        <is>
          <t>9507900000</t>
        </is>
      </c>
      <c r="G58" s="6" t="inlineStr">
        <is>
          <t>síťovina</t>
        </is>
      </c>
      <c r="H58" s="6" t="inlineStr">
        <is>
          <t>Net</t>
        </is>
      </c>
      <c r="I58" s="9" t="n">
        <v>40</v>
      </c>
      <c r="J58" s="9" t="n">
        <v>200</v>
      </c>
      <c r="K58" s="8" t="n">
        <v>406.4</v>
      </c>
      <c r="L58" s="8" t="n">
        <v>446.4</v>
      </c>
      <c r="M58" s="8" t="n">
        <v>3766</v>
      </c>
    </row>
    <row r="59">
      <c r="A59" s="6" t="inlineStr">
        <is>
          <t>NINGBO S.SHINE TRADING CO.,LTD</t>
        </is>
      </c>
      <c r="B59" s="6" t="inlineStr">
        <is>
          <t>STS168-2</t>
        </is>
      </c>
      <c r="C59" s="6" t="inlineStr">
        <is>
          <t>CSNU6903652</t>
        </is>
      </c>
      <c r="D59" s="6" t="inlineStr">
        <is>
          <t>VC0016</t>
        </is>
      </c>
      <c r="E59" s="6" t="inlineStr">
        <is>
          <t>SONIK STACKSMART STORAGE BOX SMALL</t>
        </is>
      </c>
      <c r="F59" s="6" t="inlineStr">
        <is>
          <t>3923900000</t>
        </is>
      </c>
      <c r="G59" s="6" t="inlineStr">
        <is>
          <t>Úložný box</t>
        </is>
      </c>
      <c r="H59" s="6" t="inlineStr">
        <is>
          <t>Storage box</t>
        </is>
      </c>
      <c r="I59" s="9" t="n">
        <v>84</v>
      </c>
      <c r="J59" s="9" t="n">
        <v>1008</v>
      </c>
      <c r="K59" s="8" t="n">
        <v>898.5</v>
      </c>
      <c r="L59" s="8" t="n">
        <v>982.5</v>
      </c>
      <c r="M59" s="8" t="n">
        <v>2903.04</v>
      </c>
    </row>
    <row r="60">
      <c r="A60" s="6" t="inlineStr">
        <is>
          <t>NINGBO S.SHINE TRADING CO.,LTD</t>
        </is>
      </c>
      <c r="B60" s="6" t="inlineStr">
        <is>
          <t>STS168-2</t>
        </is>
      </c>
      <c r="C60" s="6" t="inlineStr">
        <is>
          <t>CSNU6903652</t>
        </is>
      </c>
      <c r="D60" s="6" t="inlineStr">
        <is>
          <t>VC0017</t>
        </is>
      </c>
      <c r="E60" s="6" t="inlineStr">
        <is>
          <t>SONIK STACKSMART STORAGE BOX MEDIUM</t>
        </is>
      </c>
      <c r="F60" s="6" t="inlineStr">
        <is>
          <t>3923900000</t>
        </is>
      </c>
      <c r="G60" s="6" t="inlineStr">
        <is>
          <t>Úložný box</t>
        </is>
      </c>
      <c r="H60" s="6" t="inlineStr">
        <is>
          <t>Storage box</t>
        </is>
      </c>
      <c r="I60" s="9" t="n">
        <v>125</v>
      </c>
      <c r="J60" s="9" t="n">
        <v>1000</v>
      </c>
      <c r="K60" s="8" t="n">
        <v>1512.5</v>
      </c>
      <c r="L60" s="8" t="n">
        <v>1637.5</v>
      </c>
      <c r="M60" s="8" t="n">
        <v>4740</v>
      </c>
    </row>
    <row r="61">
      <c r="A61" s="6" t="inlineStr">
        <is>
          <t>NINGBO S.SHINE TRADING CO.,LTD</t>
        </is>
      </c>
      <c r="B61" s="6" t="inlineStr">
        <is>
          <t>STS168-2</t>
        </is>
      </c>
      <c r="C61" s="6" t="inlineStr">
        <is>
          <t>CSNU6903652</t>
        </is>
      </c>
      <c r="D61" s="6" t="inlineStr">
        <is>
          <t>VC0018</t>
        </is>
      </c>
      <c r="E61" s="6" t="inlineStr">
        <is>
          <t>SONIK STACKSMART STORAGE BOX LARGE</t>
        </is>
      </c>
      <c r="F61" s="6" t="inlineStr">
        <is>
          <t>3923900000</t>
        </is>
      </c>
      <c r="G61" s="6" t="inlineStr">
        <is>
          <t>Úložný box</t>
        </is>
      </c>
      <c r="H61" s="6" t="inlineStr">
        <is>
          <t>Storage box</t>
        </is>
      </c>
      <c r="I61" s="9" t="n">
        <v>180</v>
      </c>
      <c r="J61" s="9" t="n">
        <v>1080</v>
      </c>
      <c r="K61" s="8" t="n">
        <v>2304</v>
      </c>
      <c r="L61" s="8" t="n">
        <v>2484</v>
      </c>
      <c r="M61" s="8" t="n">
        <v>6933.6</v>
      </c>
    </row>
    <row r="62">
      <c r="A62" s="15" t="inlineStr">
        <is>
          <t>TOTAL</t>
        </is>
      </c>
      <c r="B62" s="6" t="n"/>
      <c r="C62" s="6" t="n"/>
      <c r="D62" s="6" t="n"/>
      <c r="E62" s="6" t="n"/>
      <c r="F62" s="6" t="n"/>
      <c r="G62" s="6" t="n"/>
      <c r="H62" s="6" t="n"/>
      <c r="I62" s="16">
        <f>SUM(I2:I61)</f>
        <v>1457</v>
      </c>
      <c r="J62" s="16">
        <f>SUM(J2:J61)</f>
        <v>32654</v>
      </c>
      <c r="K62" s="17">
        <f>SUM(K2:K61)</f>
        <v>13351.997</v>
      </c>
      <c r="L62" s="17">
        <f>SUM(L2:L61)</f>
        <v>14782.997</v>
      </c>
      <c r="M62" s="17">
        <f>SUM(M2:M61)</f>
        <v>187820.34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2026-07-17T20:20:34Z</dcterms:created>
  <dcterms:modified xsi:type="dcterms:W3CDTF">2026-07-17T20:20:34Z</dcterms:modified>
</cp:coreProperties>
</file>