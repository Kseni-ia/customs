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(detail)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2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22" customWidth="1" min="4" max="4"/>
    <col width="10" customWidth="1" min="5" max="5"/>
    <col width="13" customWidth="1" min="6" max="6"/>
    <col width="13" customWidth="1" min="7" max="7"/>
    <col width="13" customWidth="1" min="8" max="8"/>
    <col width="15" customWidth="1" min="9" max="9"/>
    <col width="16" customWidth="1" min="10" max="10"/>
    <col width="18" customWidth="1" min="11" max="11"/>
    <col width="70" customWidth="1" min="12" max="12"/>
  </cols>
  <sheetData>
    <row r="1">
      <c r="A1" s="1" t="inlineStr">
        <is>
          <t>Odesílatel</t>
        </is>
      </c>
      <c r="B1" s="1" t="inlineStr">
        <is>
          <t>HS kód (z dokladů)</t>
        </is>
      </c>
      <c r="C1" s="1" t="inlineStr">
        <is>
          <t>KN / TARIC (odvozeno – CCT/VPV KN)</t>
        </is>
      </c>
      <c r="D1" s="1" t="inlineStr">
        <is>
          <t>Popis zboží</t>
        </is>
      </c>
      <c r="E1" s="1" t="inlineStr">
        <is>
          <t>Země původu (COO)</t>
        </is>
      </c>
      <c r="F1" s="1" t="inlineStr">
        <is>
          <t>Celkové 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USD – Total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TARIC / poznámka / CBAM / Antidumping</t>
        </is>
      </c>
    </row>
    <row r="2" ht="120" customHeight="1">
      <c r="A2" s="2" t="inlineStr">
        <is>
          <t>SUNONWEALTH ELECTRIC MACHINE INDUSTRY CO., LTD. (Kaohsiung, TW)</t>
        </is>
      </c>
      <c r="B2" s="2" t="inlineStr">
        <is>
          <t>841459</t>
        </is>
      </c>
      <c r="C2" s="3" t="inlineStr">
        <is>
          <t>8414 59 15 00</t>
        </is>
      </c>
      <c r="D2" s="3" t="inlineStr">
        <is>
          <t>BRUSHLESS DC FAN</t>
        </is>
      </c>
      <c r="E2" s="2" t="inlineStr">
        <is>
          <t>PH</t>
        </is>
      </c>
      <c r="F2" s="4" t="n">
        <v>16420</v>
      </c>
      <c r="G2" s="5" t="n">
        <v>2744.24</v>
      </c>
      <c r="H2" s="5" t="n">
        <v>3576.6</v>
      </c>
      <c r="I2" s="5" t="n">
        <v>256923.8</v>
      </c>
      <c r="J2" s="2" t="inlineStr">
        <is>
          <t>DDP Kutná Hora</t>
        </is>
      </c>
      <c r="K2" s="3" t="inlineStr">
        <is>
          <t>CCT/VPV KN; bez CZ popisu</t>
        </is>
      </c>
      <c r="L2" s="2" t="inlineStr">
        <is>
          <t>HS 841459 je pouze na B/L (6 míst), na fakturách HS kód není. KN/TARIC 8414591500 odvozeno pravidlem CCT/VPV KN (ventilátory pro chlazení strojů ADP / serverů, smluvní clo 0 %) – ověřit konečné použití; alternativa 8414 59 25 (axiální ventilátory, 2,3 %). Popis: klient nedodal český popis → anglický popis z faktury. CBAM: ne. Antidumping: nezjištěno (ověřit v TARIC). Melt &amp; pour: N/A (není ocel/železo).</t>
        </is>
      </c>
    </row>
    <row r="3">
      <c r="A3" s="6" t="inlineStr">
        <is>
          <t>CELKEM</t>
        </is>
      </c>
      <c r="B3" s="6" t="n"/>
      <c r="C3" s="6" t="n"/>
      <c r="D3" s="6" t="n"/>
      <c r="E3" s="6" t="n"/>
      <c r="F3" s="7" t="n">
        <v>16420</v>
      </c>
      <c r="G3" s="8" t="n">
        <v>2744.24</v>
      </c>
      <c r="H3" s="8" t="n">
        <v>3576.6</v>
      </c>
      <c r="I3" s="8" t="n">
        <v>256923.8</v>
      </c>
      <c r="J3" s="6" t="n"/>
      <c r="K3" s="6" t="n"/>
      <c r="L3" s="6" t="n"/>
    </row>
    <row r="5">
      <c r="A5" s="9" t="inlineStr">
        <is>
          <t>Legenda:</t>
        </is>
      </c>
    </row>
    <row r="6">
      <c r="A6" s="9" t="inlineStr">
        <is>
          <t>🟡 ŽLUTÁ</t>
        </is>
      </c>
      <c r="B6" t="inlineStr">
        <is>
          <t>Odvozeno pravidlem CCT/VPV KN nebo chybí CZ popis od klienta – zkontrolovat</t>
        </is>
      </c>
    </row>
    <row r="7">
      <c r="A7" s="9" t="inlineStr">
        <is>
          <t>Hrubá hmotnost</t>
        </is>
      </c>
      <c r="B7" t="inlineStr">
        <is>
          <t>Vč. palet (14 palet × 12 kg = 168 kg)  shodné s B/L 3 576 600 kg. Bez palet (jen kartony z PL): 3 408.60 kg.</t>
        </is>
      </c>
    </row>
    <row r="8">
      <c r="A8" s="9" t="inlineStr">
        <is>
          <t>Hodnota</t>
        </is>
      </c>
      <c r="B8" t="inlineStr">
        <is>
          <t>Částky označené „TOTAL:“ na fakturách 1399597 (USD 192 283,80) a 1399595 (USD 64 640,00). Bez slevy.</t>
        </is>
      </c>
    </row>
    <row r="9">
      <c r="A9" s="9" t="inlineStr">
        <is>
          <t>Incoterm</t>
        </is>
      </c>
      <c r="B9" t="inlineStr">
        <is>
          <t>Faktury: „DELIVERY DUTY PAID“ (DDP) bez uvedeného místa – Kutná Hora převzata z adresy dodání / HBL „Place of delivery“. Ověřit.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13" customWidth="1" min="4" max="4"/>
    <col width="12" customWidth="1" min="5" max="5"/>
    <col width="22" customWidth="1" min="6" max="6"/>
    <col width="18" customWidth="1" min="7" max="7"/>
    <col width="9" customWidth="1" min="8" max="8"/>
    <col width="12" customWidth="1" min="9" max="9"/>
    <col width="9" customWidth="1" min="10" max="10"/>
    <col width="8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</cols>
  <sheetData>
    <row r="1">
      <c r="A1" s="1" t="inlineStr">
        <is>
          <t>Odesílatel</t>
        </is>
      </c>
      <c r="B1" s="1" t="inlineStr">
        <is>
          <t>Faktura č.</t>
        </is>
      </c>
      <c r="C1" s="1" t="inlineStr">
        <is>
          <t>Datum faktury</t>
        </is>
      </c>
      <c r="D1" s="1" t="inlineStr">
        <is>
          <t>PO č.</t>
        </is>
      </c>
      <c r="E1" s="1" t="inlineStr">
        <is>
          <t>Part No.</t>
        </is>
      </c>
      <c r="F1" s="1" t="inlineStr">
        <is>
          <t>Model</t>
        </is>
      </c>
      <c r="G1" s="1" t="inlineStr">
        <is>
          <t>Popis</t>
        </is>
      </c>
      <c r="H1" s="1" t="inlineStr">
        <is>
          <t>HS kód</t>
        </is>
      </c>
      <c r="I1" s="1" t="inlineStr">
        <is>
          <t>Množství (ks)</t>
        </is>
      </c>
      <c r="J1" s="1" t="inlineStr">
        <is>
          <t>Kartony</t>
        </is>
      </c>
      <c r="K1" s="1" t="inlineStr">
        <is>
          <t>Palety</t>
        </is>
      </c>
      <c r="L1" s="1" t="inlineStr">
        <is>
          <t>Čistá hmotnost (kg)</t>
        </is>
      </c>
      <c r="M1" s="1" t="inlineStr">
        <is>
          <t>Hrubá hm. kartony (kg)</t>
        </is>
      </c>
      <c r="N1" s="1" t="inlineStr">
        <is>
          <t>Hrubá hm. vč. palet (kg)</t>
        </is>
      </c>
      <c r="O1" s="1" t="inlineStr">
        <is>
          <t>Jedn. cena USD</t>
        </is>
      </c>
      <c r="P1" s="1" t="inlineStr">
        <is>
          <t>Total USD</t>
        </is>
      </c>
    </row>
    <row r="2">
      <c r="A2" s="10" t="inlineStr">
        <is>
          <t>SUNONWEALTH ELECTRIC MACHINE INDUSTRY CO., LTD. (Kaohsiung, TW)</t>
        </is>
      </c>
      <c r="B2" s="10" t="inlineStr">
        <is>
          <t>1399597</t>
        </is>
      </c>
      <c r="C2" s="10" t="inlineStr">
        <is>
          <t>14.09.2026</t>
        </is>
      </c>
      <c r="D2" s="10" t="inlineStr">
        <is>
          <t>4512771371</t>
        </is>
      </c>
      <c r="E2" s="10" t="inlineStr">
        <is>
          <t>P43520-001</t>
        </is>
      </c>
      <c r="F2" s="10" t="inlineStr">
        <is>
          <t>VG60561BX-Q155-Q9T</t>
        </is>
      </c>
      <c r="G2" s="10" t="inlineStr">
        <is>
          <t>BRUSHLESS DC FAN</t>
        </is>
      </c>
      <c r="H2" s="10" t="inlineStr">
        <is>
          <t>841459</t>
        </is>
      </c>
      <c r="I2" s="11" t="n">
        <v>10020</v>
      </c>
      <c r="J2" s="11" t="n">
        <v>334</v>
      </c>
      <c r="K2" s="11" t="n">
        <v>10</v>
      </c>
      <c r="L2" s="12" t="n">
        <v>2124.24</v>
      </c>
      <c r="M2" s="12" t="n">
        <v>2638.6</v>
      </c>
      <c r="N2" s="12" t="n">
        <v>2758.6</v>
      </c>
      <c r="O2" s="10" t="n">
        <v>19.19</v>
      </c>
      <c r="P2" s="12" t="n">
        <v>192283.8</v>
      </c>
    </row>
    <row r="3">
      <c r="A3" s="10" t="inlineStr">
        <is>
          <t>SUNONWEALTH ELECTRIC MACHINE INDUSTRY CO., LTD. (Kaohsiung, TW)</t>
        </is>
      </c>
      <c r="B3" s="10" t="inlineStr">
        <is>
          <t>1399595</t>
        </is>
      </c>
      <c r="C3" s="10" t="inlineStr">
        <is>
          <t>09.09.2026</t>
        </is>
      </c>
      <c r="D3" s="10" t="inlineStr">
        <is>
          <t>4512773620</t>
        </is>
      </c>
      <c r="E3" s="10" t="inlineStr">
        <is>
          <t>P43815-001</t>
        </is>
      </c>
      <c r="F3" s="10" t="inlineStr">
        <is>
          <t>VG40561BX-Q175-Q9T</t>
        </is>
      </c>
      <c r="G3" s="10" t="inlineStr">
        <is>
          <t>BRUSHLESS DC FAN</t>
        </is>
      </c>
      <c r="H3" s="10" t="inlineStr">
        <is>
          <t>841459</t>
        </is>
      </c>
      <c r="I3" s="11" t="n">
        <v>6400</v>
      </c>
      <c r="J3" s="11" t="n">
        <v>100</v>
      </c>
      <c r="K3" s="11" t="n">
        <v>4</v>
      </c>
      <c r="L3" s="12" t="n">
        <v>620</v>
      </c>
      <c r="M3" s="12" t="n">
        <v>770</v>
      </c>
      <c r="N3" s="12" t="n">
        <v>818</v>
      </c>
      <c r="O3" s="10" t="n">
        <v>10.1</v>
      </c>
      <c r="P3" s="12" t="n">
        <v>64640</v>
      </c>
    </row>
    <row r="4">
      <c r="A4" s="6" t="inlineStr">
        <is>
          <t>CELKEM</t>
        </is>
      </c>
      <c r="B4" s="6" t="n"/>
      <c r="C4" s="6" t="n"/>
      <c r="D4" s="6" t="n"/>
      <c r="E4" s="6" t="n"/>
      <c r="F4" s="6" t="n"/>
      <c r="G4" s="6" t="n"/>
      <c r="H4" s="6" t="n"/>
      <c r="I4" s="7" t="n">
        <v>16420</v>
      </c>
      <c r="J4" s="7" t="n">
        <v>434</v>
      </c>
      <c r="K4" s="7" t="n">
        <v>14</v>
      </c>
      <c r="L4" s="8" t="n">
        <v>2744.24</v>
      </c>
      <c r="M4" s="8" t="n">
        <v>3408.6</v>
      </c>
      <c r="N4" s="8" t="n">
        <v>3576.6</v>
      </c>
      <c r="O4" s="6" t="n"/>
      <c r="P4" s="8" t="n">
        <v>256923.8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9">
        <f>== ZÁSILKA ===</f>
        <v/>
      </c>
    </row>
    <row r="2">
      <c r="A2" t="inlineStr">
        <is>
          <t>Odesílatel / prodávající: SUNONWEALTH ELECTRIC MACHINE INDUSTRY CO., LTD., No. 30, Ln. 296, XinYa Rd., Kaohsiung 806034, Taiwan (odesláno z Filipín).</t>
        </is>
      </c>
    </row>
    <row r="3">
      <c r="A3" t="inlineStr">
        <is>
          <t>Kupující (Messrs.): Hewlett Packard Enterprise CRL, Stroombaan 16, 1181 VX Amstelveen, NL – CZ DIČ CZ684610333 (IČ CZ68461033), EORI DE571913241992460.</t>
        </is>
      </c>
    </row>
    <row r="4">
      <c r="A4" t="inlineStr">
        <is>
          <t>Příjemce / místo dodání: Hewlett Packard Enterprise CRL c/o Jusda Europe s.r.o., Karlov 245, CZ-284 01 Kutná Hora (Attn: Michaela Kafková).</t>
        </is>
      </c>
    </row>
    <row r="5">
      <c r="A5" t="inlineStr">
        <is>
          <t>Faktury: 1399597 (14.09.2026) + 1399595 (09.09.2026). Packing listy ke stejným číslům.</t>
        </is>
      </c>
    </row>
    <row r="6">
      <c r="A6" t="inlineStr">
        <is>
          <t>HBL: XH26090745 (Shenzhen Star Ocean Logistics) – TELEX RELEASED. Master waybill: CMA CGM GHC0346235 (příjemce Maurice Ward &amp; Co., s.r.o.).</t>
        </is>
      </c>
    </row>
    <row r="7">
      <c r="A7" t="inlineStr">
        <is>
          <t>Loď LADY OF LUCK (voy. 210A4S / 309S), Manila → Hamburg, naloženo 02.10.2026. Kontejner CMAU6154559 (40HQ), plomba M7178880.</t>
        </is>
      </c>
    </row>
    <row r="8">
      <c r="A8" t="inlineStr">
        <is>
          <t>14 palet / 434 kartonů, hrubá hmotnost 3 576,600 kg, 23,716 CBM – shoduje se s PL (10+4 palet, 334+100 kartonů, 2 758,60 + 818,00 kg).</t>
        </is>
      </c>
    </row>
    <row r="9"/>
    <row r="10">
      <c r="A10" s="9">
        <f>== ⚠️ CCT/VPV KN TARIFF RULE ===</f>
        <v/>
      </c>
    </row>
    <row r="11">
      <c r="A11" t="inlineStr">
        <is>
          <t>Na fakturách ani PL není HS kód. HS 841459 je uveden pouze na B/L a waybillu (6 míst). 8místný KN / 10místný TARIC odvozen pravidlem CCT/VPV KN:</t>
        </is>
      </c>
    </row>
    <row r="12">
      <c r="A12" t="inlineStr">
        <is>
          <t xml:space="preserve">  CO TO JE? Bezkartáčový stejnosměrný ventilátor (BRUSHLESS DC FAN), modely Sunon VG60561BX-Q155-Q9T a VG40561BX-Q175-Q9T.</t>
        </is>
      </c>
    </row>
    <row r="13">
      <c r="A13" t="inlineStr">
        <is>
          <t xml:space="preserve">  Z ČEHO TO JE? Plastové těleso a oběžné kolo, vestavěný elektromotor (BLDC) s řídicí elektronikou.</t>
        </is>
      </c>
    </row>
    <row r="14">
      <c r="A14" t="inlineStr">
        <is>
          <t xml:space="preserve">  K ČEMU SLOUŽÍ? Chlazení – díly (HPE part P43520-001, P43815-001) pro servery HPE kompletované v Kutné Hoře (Jusda / Foxconn).</t>
        </is>
      </c>
    </row>
    <row r="15">
      <c r="A15" t="inlineStr">
        <is>
          <t xml:space="preserve">  Třída XVI → kap. 84 (poznámky kap. 84 nevylučují) → čísl. 8414 (ventilátory) → HS 8414 59 (ostatní ventilátory) → KN 8414 59 15 → TARIC 8414 59 15 00. VPV 1 + 6.</t>
        </is>
      </c>
    </row>
    <row r="16">
      <c r="A16" t="inlineStr">
        <is>
          <t xml:space="preserve">  Výsledek: 8414 59 15 00 – ventilátory používané výhradně nebo hlavně pro chlazení mikroprocesorů, telekom. přístrojů, strojů ADP nebo jejich jednotek (smluvní clo 0 %).</t>
        </is>
      </c>
    </row>
    <row r="17">
      <c r="A17" t="inlineStr">
        <is>
          <t xml:space="preserve">  NEJISTOTA: zařazení do 8414 59 15 závisí na konečném použití (chlazení serverů). Pokud nelze doložit → 8414 59 25 (axiální ventilátory, 2,3 %). Potvrdit u klienta / případně tariff team (customs.tariff@mauriceward.com).</t>
        </is>
      </c>
    </row>
    <row r="18"/>
    <row r="19">
      <c r="A19" s="9">
        <f>== POPIS ZBOŽÍ ===</f>
        <v/>
      </c>
    </row>
    <row r="20">
      <c r="A20" t="inlineStr">
        <is>
          <t>Klient nedodal český popis a v dokladech žádný český popis není → použit anglický popis z faktury „BRUSHLESS DC FAN“.</t>
        </is>
      </c>
    </row>
    <row r="21">
      <c r="A21" t="inlineStr">
        <is>
          <t>Návrh CZ popisu k potvrzení klientem (NENÍ od klienta): „Bezkartáčový stejnosměrný ventilátor (pro chlazení serverů)“.</t>
        </is>
      </c>
    </row>
    <row r="22"/>
    <row r="23">
      <c r="A23" s="9">
        <f>== HODNOTA / INCOTERM ===</f>
        <v/>
      </c>
    </row>
    <row r="24">
      <c r="A24" t="inlineStr">
        <is>
          <t>Hodnota = částky „TOTAL:“ z faktur: 192 283,80 + 64 640,00 = USD 256 923,80. Žádná sleva na fakturách.</t>
        </is>
      </c>
    </row>
    <row r="25">
      <c r="A25" t="inlineStr">
        <is>
          <t>Incoterm: DDP („DELIVERY DUTY PAID“) – místo na fakturách neuvedeno; Kutná Hora převzata z adresy dodání a HBL (Place of delivery / Final destination). Ověřit.</t>
        </is>
      </c>
    </row>
    <row r="26">
      <c r="A26" t="inlineStr">
        <is>
          <t>POZOR – DDP: cena zahrnuje dopravu až do Kutné Hory a dovozní clo/DPH. Pro celní hodnotu lze odečíst náklady po vstupu do EU (doprava Hamburg → Kutná Hora, clo, DPH), pokud jsou odděleně vyčísleny – vyžádat rozpis od prodávajícího.</t>
        </is>
      </c>
    </row>
    <row r="27"/>
    <row r="28">
      <c r="A28" s="9">
        <f>== PŮVOD / PREFERENCE ===</f>
        <v/>
      </c>
    </row>
    <row r="29">
      <c r="A29" t="inlineStr">
        <is>
          <t>Země původu: Filipíny (PH) – „Made in Philippines“ na fakturách, PL i B/L.</t>
        </is>
      </c>
    </row>
    <row r="30">
      <c r="A30" t="inlineStr">
        <is>
          <t>Preferenční věta: NENÍ na žádném dokladu.</t>
        </is>
      </c>
    </row>
    <row r="31">
      <c r="A31" t="inlineStr">
        <is>
          <t>REX číslo: NENÍ uvedeno na fakturách.</t>
        </is>
      </c>
    </row>
    <row r="32">
      <c r="A32" t="inlineStr">
        <is>
          <t>→ Preferenci (GSP+ Filipíny) nelze uplatnit; použije se smluvní clo erga omnes (0 % pro 8414 59 15, 2,3 % pro 8414 59 25).</t>
        </is>
      </c>
    </row>
    <row r="33"/>
    <row r="34">
      <c r="A34" s="9">
        <f>== CBAM / ANTIDUMPING / MELT &amp; POUR ===</f>
        <v/>
      </c>
    </row>
    <row r="35">
      <c r="A35" t="inlineStr">
        <is>
          <t>CBAM: ventilátory (8414) nejsou CBAM zboží – Y kód není potřeba. (HPE CRL ani Jusda Europe nejsou v registru CBAM_receivers_CZ.xlsx.)</t>
        </is>
      </c>
    </row>
    <row r="36">
      <c r="A36" t="inlineStr">
        <is>
          <t>Antidumping: na ventilátory 8414 59 z Filipín žádné opatření nezjištěno – ověřit v TARIC při podání JSD.</t>
        </is>
      </c>
    </row>
    <row r="37">
      <c r="A37" t="inlineStr">
        <is>
          <t>Melt &amp; pour: N/A – nejde o zboží ze železa/oceli.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2026-10-30T09:51:33Z</dcterms:created>
  <dcterms:modified xmlns:dcterms="http://purl.org/dc/terms/" xmlns:xsi="http://www.w3.org/2001/XMLSchema-instance" xsi:type="dcterms:W3CDTF">2026-10-30T09:51:33Z</dcterms:modified>
</cp:coreProperties>
</file>