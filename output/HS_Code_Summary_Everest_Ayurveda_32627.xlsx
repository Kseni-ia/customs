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  <sheet name="Kontroly a clo (TARIC)" sheetId="3" state="visible" r:id="rId3"/>
  </sheets>
  <definedNames>
    <definedName name="_xlnm._FilterDatabase" localSheetId="0" hidden="1">'HS Summary'!$A$7:$Q$20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9C0006"/>
    </font>
    <font>
      <b val="1"/>
      <color rgb="00FFFFFF"/>
    </font>
    <font>
      <b val="1"/>
    </font>
    <font>
      <b val="1"/>
      <color rgb="001F3864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5" fillId="4" borderId="1" pivotButton="0" quotePrefix="0" xfId="0"/>
    <xf numFmtId="3" fontId="5" fillId="4" borderId="1" pivotButton="0" quotePrefix="0" xfId="0"/>
    <xf numFmtId="4" fontId="5" fillId="4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46" customWidth="1" min="3" max="3"/>
    <col width="8" customWidth="1" min="4" max="4"/>
    <col width="16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6" customWidth="1" min="11" max="11"/>
    <col width="20" customWidth="1" min="12" max="12"/>
    <col width="17" customWidth="1" min="13" max="13"/>
    <col width="17" customWidth="1" min="14" max="14"/>
    <col width="20" customWidth="1" min="15" max="15"/>
    <col width="12" customWidth="1" min="16" max="16"/>
    <col width="34" customWidth="1" min="17" max="17"/>
  </cols>
  <sheetData>
    <row r="1">
      <c r="A1" s="1" t="inlineStr">
        <is>
          <t>HS Code Summary – Everest Ayurveda, s.r.o. / faktura 3/2026-27 (kontejner 9/2026)</t>
        </is>
      </c>
    </row>
    <row r="2">
      <c r="A2" s="2" t="inlineStr">
        <is>
          <t>Odesílatel: Everest Healthcare, A-204, 43 Privet Drive, Balewadi, Pune 411045, INDIA   |   Příjemce (CZ): EVEREST AYURVEDA, S.R.O., Bystrá 761/10, 193 00 Praha 9   |   Incoterm: FOB Nhava Sheva   |   Země původu: Indie (IN)   |   Měna: EUR</t>
        </is>
      </c>
    </row>
    <row r="3">
      <c r="A3" s="2" t="inlineStr">
        <is>
          <t>Kontejner: HAMU 1741487 (1 × 40' HC), plomba HLK6860910   |   B/L 4155548P4070, plavidlo ATLANTA EXPRESS V.632, Nhava Sheva → Hamburg → Praha; 600 balení (589 kartonů + 11 palet); celní režim T1, doručení Maurice Ward &amp; Co. s.r.o.</t>
        </is>
      </c>
    </row>
    <row r="5">
      <c r="A5" s="3" t="inlineStr">
        <is>
          <t>⚠ PREFERENČNÍ PŮVOD: na faktuře je uvedena preferenční věta (STATEMENT ON ORIGIN, REX INREX3113021227EC010, kritérium původu „P“, GSP EU) → uplatnit preferenční celní sazbu, nikoli sazbu pro třetí země. Detaily viz list „Dokumenty a poznámky“.</t>
        </is>
      </c>
    </row>
    <row r="7" ht="32" customHeight="1">
      <c r="A7" s="4" t="inlineStr">
        <is>
          <t>Odesílatel</t>
        </is>
      </c>
      <c r="B7" s="4" t="inlineStr">
        <is>
          <t>HS kód</t>
        </is>
      </c>
      <c r="C7" s="4" t="inlineStr">
        <is>
          <t>Popis zboží (CZ)</t>
        </is>
      </c>
      <c r="D7" s="4" t="inlineStr">
        <is>
          <t>Země původu (COO)</t>
        </is>
      </c>
      <c r="E7" s="4" t="inlineStr">
        <is>
          <t>Incoterm</t>
        </is>
      </c>
      <c r="F7" s="4" t="inlineStr">
        <is>
          <t>Celkové množství (ks)</t>
        </is>
      </c>
      <c r="G7" s="4" t="inlineStr">
        <is>
          <t>Čistá hmotnost (kg)</t>
        </is>
      </c>
      <c r="H7" s="4" t="inlineStr">
        <is>
          <t>Hrubá hmotnost (kg)</t>
        </is>
      </c>
      <c r="I7" s="4" t="inlineStr">
        <is>
          <t>Celní hodnota EUR</t>
        </is>
      </c>
      <c r="J7" s="4" t="inlineStr">
        <is>
          <t>Fytokontrola / TRACES</t>
        </is>
      </c>
      <c r="K7" s="4" t="inlineStr">
        <is>
          <t>Vet. kontrola (SVD)</t>
        </is>
      </c>
      <c r="L7" s="4" t="inlineStr">
        <is>
          <t>Povinné kódy do JSD</t>
        </is>
      </c>
      <c r="M7" s="4" t="inlineStr">
        <is>
          <t>Clo MFN</t>
        </is>
      </c>
      <c r="N7" s="4" t="inlineStr">
        <is>
          <t>Clo GSP (preference)</t>
        </is>
      </c>
      <c r="O7" s="4" t="inlineStr">
        <is>
          <t>CBAM</t>
        </is>
      </c>
      <c r="P7" s="4" t="inlineStr">
        <is>
          <t>Antidumping</t>
        </is>
      </c>
      <c r="Q7" s="4" t="inlineStr">
        <is>
          <t>Poznámka</t>
        </is>
      </c>
    </row>
    <row r="8">
      <c r="A8" s="5" t="inlineStr">
        <is>
          <t>Everest Healthcare, A-204, 43 Privet Drive, Balewadi, Pune 411045, INDIA</t>
        </is>
      </c>
      <c r="B8" s="6" t="inlineStr">
        <is>
          <t>0902300000</t>
        </is>
      </c>
      <c r="C8" s="5" t="inlineStr">
        <is>
          <t>Černý čaj sáčkový (Masala Chai)</t>
        </is>
      </c>
      <c r="D8" s="7" t="inlineStr">
        <is>
          <t>IN</t>
        </is>
      </c>
      <c r="E8" s="7" t="inlineStr">
        <is>
          <t>FOB Nhava Sheva</t>
        </is>
      </c>
      <c r="F8" s="8" t="n">
        <v>3104</v>
      </c>
      <c r="G8" s="9" t="n">
        <v>186.24</v>
      </c>
      <c r="H8" s="9" t="n">
        <v>423.57</v>
      </c>
      <c r="I8" s="9" t="n">
        <v>2483.2</v>
      </c>
      <c r="J8" s="7" t="inlineStr">
        <is>
          <t>Ne</t>
        </is>
      </c>
      <c r="K8" s="7" t="inlineStr">
        <is>
          <t>Ne</t>
        </is>
      </c>
      <c r="L8" s="5" t="inlineStr">
        <is>
          <t>Y929</t>
        </is>
      </c>
      <c r="M8" s="5" t="inlineStr">
        <is>
          <t>0 %</t>
        </is>
      </c>
      <c r="N8" s="5" t="inlineStr">
        <is>
          <t>0 % (bez GSP)</t>
        </is>
      </c>
      <c r="O8" s="5" t="inlineStr">
        <is>
          <t>Ne – nespadá pod CBAM</t>
        </is>
      </c>
      <c r="P8" s="7" t="inlineStr">
        <is>
          <t>Ne</t>
        </is>
      </c>
      <c r="Q8" s="5" t="inlineStr">
        <is>
          <t>Potravina – vstupní kontrola / CHED dle potřeby.</t>
        </is>
      </c>
    </row>
    <row r="9">
      <c r="A9" s="5" t="inlineStr">
        <is>
          <t>Everest Healthcare, A-204, 43 Privet Drive, Balewadi, Pune 411045, INDIA</t>
        </is>
      </c>
      <c r="B9" s="6" t="inlineStr">
        <is>
          <t>1106309080</t>
        </is>
      </c>
      <c r="C9" s="5" t="inlineStr">
        <is>
          <t>Amla v prášku, bez přidaných látek</t>
        </is>
      </c>
      <c r="D9" s="7" t="inlineStr">
        <is>
          <t>IN</t>
        </is>
      </c>
      <c r="E9" s="7" t="inlineStr">
        <is>
          <t>FOB Nhava Sheva</t>
        </is>
      </c>
      <c r="F9" s="8" t="n">
        <v>8232</v>
      </c>
      <c r="G9" s="9" t="n">
        <v>823.2</v>
      </c>
      <c r="H9" s="9" t="n">
        <v>1568</v>
      </c>
      <c r="I9" s="9" t="n">
        <v>6997.2</v>
      </c>
      <c r="J9" s="7" t="inlineStr">
        <is>
          <t>Ne</t>
        </is>
      </c>
      <c r="K9" s="7" t="inlineStr">
        <is>
          <t>Ne</t>
        </is>
      </c>
      <c r="L9" s="5" t="inlineStr">
        <is>
          <t>Y929</t>
        </is>
      </c>
      <c r="M9" s="5" t="inlineStr">
        <is>
          <t>8,30 %</t>
        </is>
      </c>
      <c r="N9" s="5" t="inlineStr">
        <is>
          <t>4,80 %</t>
        </is>
      </c>
      <c r="O9" s="5" t="inlineStr">
        <is>
          <t>Ne – nespadá pod CBAM</t>
        </is>
      </c>
      <c r="P9" s="7" t="inlineStr">
        <is>
          <t>Ne</t>
        </is>
      </c>
      <c r="Q9" s="5" t="inlineStr"/>
    </row>
    <row r="10">
      <c r="A10" s="5" t="inlineStr">
        <is>
          <t>Everest Healthcare, A-204, 43 Privet Drive, Balewadi, Pune 411045, INDIA</t>
        </is>
      </c>
      <c r="B10" s="6" t="inlineStr">
        <is>
          <t>2007101095</t>
        </is>
      </c>
      <c r="C10" s="5" t="inlineStr">
        <is>
          <t>Bylinné džemy – řada PRASH (Rasa, Rakta, Mamsa, Meda, Asthi, Majja, Shukra, Arthava, Anna, Prana, Ambu, Purisha, Mutra, Sveda, Mano, Nayana, Kesha)</t>
        </is>
      </c>
      <c r="D10" s="7" t="inlineStr">
        <is>
          <t>IN</t>
        </is>
      </c>
      <c r="E10" s="7" t="inlineStr">
        <is>
          <t>FOB Nhava Sheva</t>
        </is>
      </c>
      <c r="F10" s="8" t="n">
        <v>12450</v>
      </c>
      <c r="G10" s="9" t="n">
        <v>2490</v>
      </c>
      <c r="H10" s="9" t="n">
        <v>3250.58</v>
      </c>
      <c r="I10" s="9" t="n">
        <v>17355</v>
      </c>
      <c r="J10" s="7" t="inlineStr">
        <is>
          <t>Ne</t>
        </is>
      </c>
      <c r="K10" s="7" t="inlineStr">
        <is>
          <t>Ne</t>
        </is>
      </c>
      <c r="L10" s="5" t="inlineStr">
        <is>
          <t>Y929</t>
        </is>
      </c>
      <c r="M10" s="5" t="inlineStr">
        <is>
          <t>24,00 % + 4,20 EUR/100 kg</t>
        </is>
      </c>
      <c r="N10" s="5" t="inlineStr">
        <is>
          <t>20,40 % + 4,20 EUR/100 kg</t>
        </is>
      </c>
      <c r="O10" s="5" t="inlineStr">
        <is>
          <t>Ne – nespadá pod CBAM</t>
        </is>
      </c>
      <c r="P10" s="7" t="inlineStr">
        <is>
          <t>Ne</t>
        </is>
      </c>
      <c r="Q10" s="5" t="inlineStr"/>
    </row>
    <row r="11">
      <c r="A11" s="5" t="inlineStr">
        <is>
          <t>Everest Healthcare, A-204, 43 Privet Drive, Balewadi, Pune 411045, INDIA</t>
        </is>
      </c>
      <c r="B11" s="6" t="inlineStr">
        <is>
          <t>2007993980</t>
        </is>
      </c>
      <c r="C11" s="5" t="inlineStr">
        <is>
          <t>Bylinný džem CHYAWANPRASH</t>
        </is>
      </c>
      <c r="D11" s="7" t="inlineStr">
        <is>
          <t>IN</t>
        </is>
      </c>
      <c r="E11" s="7" t="inlineStr">
        <is>
          <t>FOB Nhava Sheva</t>
        </is>
      </c>
      <c r="F11" s="8" t="n">
        <v>3400</v>
      </c>
      <c r="G11" s="9" t="n">
        <v>1020</v>
      </c>
      <c r="H11" s="9" t="n">
        <v>1311.17</v>
      </c>
      <c r="I11" s="9" t="n">
        <v>5780</v>
      </c>
      <c r="J11" s="7" t="inlineStr">
        <is>
          <t>Ne</t>
        </is>
      </c>
      <c r="K11" s="7" t="inlineStr">
        <is>
          <t>Ne</t>
        </is>
      </c>
      <c r="L11" s="5" t="inlineStr">
        <is>
          <t>Y929</t>
        </is>
      </c>
      <c r="M11" s="5" t="inlineStr">
        <is>
          <t>24,00 % + 23,00 EUR/100 kg</t>
        </is>
      </c>
      <c r="N11" s="5" t="inlineStr">
        <is>
          <t>20,50 % + 23,00 EUR/100 kg</t>
        </is>
      </c>
      <c r="O11" s="5" t="inlineStr">
        <is>
          <t>Ne – nespadá pod CBAM</t>
        </is>
      </c>
      <c r="P11" s="7" t="inlineStr">
        <is>
          <t>Ne</t>
        </is>
      </c>
      <c r="Q11" s="5" t="inlineStr"/>
    </row>
    <row r="12">
      <c r="A12" s="5" t="inlineStr">
        <is>
          <t>Everest Healthcare, A-204, 43 Privet Drive, Balewadi, Pune 411045, INDIA</t>
        </is>
      </c>
      <c r="B12" s="6" t="inlineStr">
        <is>
          <t>2008207100</t>
        </is>
      </c>
      <c r="C12" s="5" t="inlineStr">
        <is>
          <t>Sušený ananas</t>
        </is>
      </c>
      <c r="D12" s="7" t="inlineStr">
        <is>
          <t>IN</t>
        </is>
      </c>
      <c r="E12" s="7" t="inlineStr">
        <is>
          <t>FOB Nhava Sheva</t>
        </is>
      </c>
      <c r="F12" s="8" t="n">
        <v>2000</v>
      </c>
      <c r="G12" s="9" t="n">
        <v>200</v>
      </c>
      <c r="H12" s="9" t="n">
        <v>247</v>
      </c>
      <c r="I12" s="9" t="n">
        <v>1500</v>
      </c>
      <c r="J12" s="7" t="inlineStr">
        <is>
          <t>Ne</t>
        </is>
      </c>
      <c r="K12" s="7" t="inlineStr">
        <is>
          <t>Ne</t>
        </is>
      </c>
      <c r="L12" s="5" t="inlineStr">
        <is>
          <t>Y929</t>
        </is>
      </c>
      <c r="M12" s="5" t="inlineStr">
        <is>
          <t>20,80 %</t>
        </is>
      </c>
      <c r="N12" s="5" t="inlineStr">
        <is>
          <t>17,30 %</t>
        </is>
      </c>
      <c r="O12" s="5" t="inlineStr">
        <is>
          <t>Ne – nespadá pod CBAM</t>
        </is>
      </c>
      <c r="P12" s="7" t="inlineStr">
        <is>
          <t>Ne</t>
        </is>
      </c>
      <c r="Q12" s="5" t="inlineStr"/>
    </row>
    <row r="13">
      <c r="A13" s="5" t="inlineStr">
        <is>
          <t>Everest Healthcare, A-204, 43 Privet Drive, Balewadi, Pune 411045, INDIA</t>
        </is>
      </c>
      <c r="B13" s="6" t="inlineStr">
        <is>
          <t>2008977819</t>
        </is>
      </c>
      <c r="C13" s="5" t="inlineStr">
        <is>
          <t>Amla nutriční tyčinka VATA</t>
        </is>
      </c>
      <c r="D13" s="7" t="inlineStr">
        <is>
          <t>IN</t>
        </is>
      </c>
      <c r="E13" s="7" t="inlineStr">
        <is>
          <t>FOB Nhava Sheva</t>
        </is>
      </c>
      <c r="F13" s="8" t="n">
        <v>2112</v>
      </c>
      <c r="G13" s="9" t="n">
        <v>147.95</v>
      </c>
      <c r="H13" s="9" t="n">
        <v>165</v>
      </c>
      <c r="I13" s="9" t="n">
        <v>1372.8</v>
      </c>
      <c r="J13" s="7" t="inlineStr">
        <is>
          <t>Ne</t>
        </is>
      </c>
      <c r="K13" s="7" t="inlineStr">
        <is>
          <t>Ne</t>
        </is>
      </c>
      <c r="L13" s="5" t="inlineStr">
        <is>
          <t>Y929</t>
        </is>
      </c>
      <c r="M13" s="5" t="inlineStr">
        <is>
          <t>19,20 %</t>
        </is>
      </c>
      <c r="N13" s="5" t="inlineStr">
        <is>
          <t>13,40 %</t>
        </is>
      </c>
      <c r="O13" s="5" t="inlineStr">
        <is>
          <t>Ne – nespadá pod CBAM</t>
        </is>
      </c>
      <c r="P13" s="7" t="inlineStr">
        <is>
          <t>Ne</t>
        </is>
      </c>
      <c r="Q13" s="5" t="inlineStr"/>
    </row>
    <row r="14">
      <c r="A14" s="5" t="inlineStr">
        <is>
          <t>Everest Healthcare, A-204, 43 Privet Drive, Balewadi, Pune 411045, INDIA</t>
        </is>
      </c>
      <c r="B14" s="6" t="inlineStr">
        <is>
          <t>2008977890</t>
        </is>
      </c>
      <c r="C14" s="5" t="inlineStr">
        <is>
          <t>Amla nutriční tyčinka (Pitta, Kapha)</t>
        </is>
      </c>
      <c r="D14" s="7" t="inlineStr">
        <is>
          <t>IN</t>
        </is>
      </c>
      <c r="E14" s="7" t="inlineStr">
        <is>
          <t>FOB Nhava Sheva</t>
        </is>
      </c>
      <c r="F14" s="8" t="n">
        <v>3840</v>
      </c>
      <c r="G14" s="9" t="n">
        <v>269</v>
      </c>
      <c r="H14" s="9" t="n">
        <v>300</v>
      </c>
      <c r="I14" s="9" t="n">
        <v>2496</v>
      </c>
      <c r="J14" s="7" t="inlineStr">
        <is>
          <t>Ne</t>
        </is>
      </c>
      <c r="K14" s="7" t="inlineStr">
        <is>
          <t>Ne</t>
        </is>
      </c>
      <c r="L14" s="5" t="inlineStr">
        <is>
          <t>Y929</t>
        </is>
      </c>
      <c r="M14" s="5" t="inlineStr">
        <is>
          <t>19,20 %</t>
        </is>
      </c>
      <c r="N14" s="5" t="inlineStr">
        <is>
          <t>13,40 %</t>
        </is>
      </c>
      <c r="O14" s="5" t="inlineStr">
        <is>
          <t>Ne – nespadá pod CBAM</t>
        </is>
      </c>
      <c r="P14" s="7" t="inlineStr">
        <is>
          <t>Ne</t>
        </is>
      </c>
      <c r="Q14" s="5" t="inlineStr"/>
    </row>
    <row r="15">
      <c r="A15" s="5" t="inlineStr">
        <is>
          <t>Everest Healthcare, A-204, 43 Privet Drive, Balewadi, Pune 411045, INDIA</t>
        </is>
      </c>
      <c r="B15" s="6" t="inlineStr">
        <is>
          <t>2008996390</t>
        </is>
      </c>
      <c r="C15" s="5" t="inlineStr">
        <is>
          <t>Sušené ovoce – jackfruit, mango, papája, guava</t>
        </is>
      </c>
      <c r="D15" s="7" t="inlineStr">
        <is>
          <t>IN</t>
        </is>
      </c>
      <c r="E15" s="7" t="inlineStr">
        <is>
          <t>FOB Nhava Sheva</t>
        </is>
      </c>
      <c r="F15" s="8" t="n">
        <v>6700</v>
      </c>
      <c r="G15" s="9" t="n">
        <v>670</v>
      </c>
      <c r="H15" s="9" t="n">
        <v>827.45</v>
      </c>
      <c r="I15" s="9" t="n">
        <v>7725</v>
      </c>
      <c r="J15" s="7" t="inlineStr">
        <is>
          <t>Ne</t>
        </is>
      </c>
      <c r="K15" s="7" t="inlineStr">
        <is>
          <t>ANO – podmíněné</t>
        </is>
      </c>
      <c r="L15" s="5" t="inlineStr">
        <is>
          <t>Y929 + Y930</t>
        </is>
      </c>
      <c r="M15" s="5" t="inlineStr">
        <is>
          <t>13,00 %</t>
        </is>
      </c>
      <c r="N15" s="5" t="inlineStr">
        <is>
          <t>9,50 %</t>
        </is>
      </c>
      <c r="O15" s="5" t="inlineStr">
        <is>
          <t>Ne – nespadá pod CBAM</t>
        </is>
      </c>
      <c r="P15" s="7" t="inlineStr">
        <is>
          <t>Ne</t>
        </is>
      </c>
      <c r="Q15" s="5" t="inlineStr"/>
    </row>
    <row r="16">
      <c r="A16" s="5" t="inlineStr">
        <is>
          <t>Everest Healthcare, A-204, 43 Privet Drive, Balewadi, Pune 411045, INDIA</t>
        </is>
      </c>
      <c r="B16" s="6" t="inlineStr">
        <is>
          <t>2008996799</t>
        </is>
      </c>
      <c r="C16" s="5" t="inlineStr">
        <is>
          <t>Sušená amla (Amla candy)</t>
        </is>
      </c>
      <c r="D16" s="7" t="inlineStr">
        <is>
          <t>IN</t>
        </is>
      </c>
      <c r="E16" s="7" t="inlineStr">
        <is>
          <t>FOB Nhava Sheva</t>
        </is>
      </c>
      <c r="F16" s="8" t="n">
        <v>20500</v>
      </c>
      <c r="G16" s="9" t="n">
        <v>2050</v>
      </c>
      <c r="H16" s="9" t="n">
        <v>2552.25</v>
      </c>
      <c r="I16" s="9" t="n">
        <v>13325</v>
      </c>
      <c r="J16" s="7" t="inlineStr">
        <is>
          <t>Ne</t>
        </is>
      </c>
      <c r="K16" s="7" t="inlineStr">
        <is>
          <t>ANO – podmíněné</t>
        </is>
      </c>
      <c r="L16" s="5" t="inlineStr">
        <is>
          <t>Y929 + Y930</t>
        </is>
      </c>
      <c r="M16" s="5" t="inlineStr">
        <is>
          <t>20,80 %</t>
        </is>
      </c>
      <c r="N16" s="5" t="inlineStr">
        <is>
          <t>17,30 %</t>
        </is>
      </c>
      <c r="O16" s="5" t="inlineStr">
        <is>
          <t>Ne – nespadá pod CBAM</t>
        </is>
      </c>
      <c r="P16" s="7" t="inlineStr">
        <is>
          <t>Ne</t>
        </is>
      </c>
      <c r="Q16" s="5" t="inlineStr"/>
    </row>
    <row r="17">
      <c r="A17" s="5" t="inlineStr">
        <is>
          <t>Everest Healthcare, A-204, 43 Privet Drive, Balewadi, Pune 411045, INDIA</t>
        </is>
      </c>
      <c r="B17" s="6" t="inlineStr">
        <is>
          <t>3304990000</t>
        </is>
      </c>
      <c r="C17" s="5" t="inlineStr">
        <is>
          <t>Kosmetický přípravek pro péči o pokožku – VATA body care olej</t>
        </is>
      </c>
      <c r="D17" s="7" t="inlineStr">
        <is>
          <t>IN</t>
        </is>
      </c>
      <c r="E17" s="7" t="inlineStr">
        <is>
          <t>FOB Nhava Sheva</t>
        </is>
      </c>
      <c r="F17" s="8" t="n">
        <v>1024</v>
      </c>
      <c r="G17" s="9" t="n">
        <v>102.4</v>
      </c>
      <c r="H17" s="9" t="n">
        <v>153.85</v>
      </c>
      <c r="I17" s="9" t="n">
        <v>1638.4</v>
      </c>
      <c r="J17" s="7" t="inlineStr">
        <is>
          <t>Ne</t>
        </is>
      </c>
      <c r="K17" s="7" t="inlineStr">
        <is>
          <t>Ne</t>
        </is>
      </c>
      <c r="L17" s="5" t="inlineStr">
        <is>
          <t>Y900 + Y113 + Y160</t>
        </is>
      </c>
      <c r="M17" s="5" t="inlineStr">
        <is>
          <t>0 %</t>
        </is>
      </c>
      <c r="N17" s="5" t="inlineStr">
        <is>
          <t>0 % (bez GSP)</t>
        </is>
      </c>
      <c r="O17" s="5" t="inlineStr">
        <is>
          <t>Ne – nespadá pod CBAM</t>
        </is>
      </c>
      <c r="P17" s="7" t="inlineStr">
        <is>
          <t>Ne</t>
        </is>
      </c>
      <c r="Q17" s="5" t="inlineStr">
        <is>
          <t>Kosmetický přípravek – ověřit oznámení do CPNP (nařízení 1223/2009).</t>
        </is>
      </c>
    </row>
    <row r="18">
      <c r="A18" s="5" t="inlineStr">
        <is>
          <t>Everest Healthcare, A-204, 43 Privet Drive, Balewadi, Pune 411045, INDIA</t>
        </is>
      </c>
      <c r="B18" s="6" t="inlineStr">
        <is>
          <t>3305900000</t>
        </is>
      </c>
      <c r="C18" s="5" t="inlineStr">
        <is>
          <t>Vlasový olej – BHRINGARAJ hair care oil</t>
        </is>
      </c>
      <c r="D18" s="7" t="inlineStr">
        <is>
          <t>IN</t>
        </is>
      </c>
      <c r="E18" s="7" t="inlineStr">
        <is>
          <t>FOB Nhava Sheva</t>
        </is>
      </c>
      <c r="F18" s="8" t="n">
        <v>704</v>
      </c>
      <c r="G18" s="9" t="n">
        <v>70.40000000000001</v>
      </c>
      <c r="H18" s="9" t="n">
        <v>100.65</v>
      </c>
      <c r="I18" s="9" t="n">
        <v>1126.4</v>
      </c>
      <c r="J18" s="7" t="inlineStr">
        <is>
          <t>Ne</t>
        </is>
      </c>
      <c r="K18" s="7" t="inlineStr">
        <is>
          <t>Ne</t>
        </is>
      </c>
      <c r="L18" s="5" t="inlineStr">
        <is>
          <t>Y113 + Y160</t>
        </is>
      </c>
      <c r="M18" s="5" t="inlineStr">
        <is>
          <t>0 %</t>
        </is>
      </c>
      <c r="N18" s="5" t="inlineStr">
        <is>
          <t>0 % (bez GSP)</t>
        </is>
      </c>
      <c r="O18" s="5" t="inlineStr">
        <is>
          <t>Ne – nespadá pod CBAM</t>
        </is>
      </c>
      <c r="P18" s="7" t="inlineStr">
        <is>
          <t>Ne</t>
        </is>
      </c>
      <c r="Q18" s="5" t="inlineStr">
        <is>
          <t>Kosmetický přípravek – ověřit oznámení do CPNP (nařízení 1223/2009).</t>
        </is>
      </c>
    </row>
    <row r="19">
      <c r="A19" s="5" t="inlineStr">
        <is>
          <t>Everest Healthcare, A-204, 43 Privet Drive, Balewadi, Pune 411045, INDIA</t>
        </is>
      </c>
      <c r="B19" s="6" t="inlineStr">
        <is>
          <t>3307900000</t>
        </is>
      </c>
      <c r="C19" s="5" t="inlineStr">
        <is>
          <t>Masážní olej MAHANARAYAN</t>
        </is>
      </c>
      <c r="D19" s="7" t="inlineStr">
        <is>
          <t>IN</t>
        </is>
      </c>
      <c r="E19" s="7" t="inlineStr">
        <is>
          <t>FOB Nhava Sheva</t>
        </is>
      </c>
      <c r="F19" s="8" t="n">
        <v>1344</v>
      </c>
      <c r="G19" s="9" t="n">
        <v>134.4</v>
      </c>
      <c r="H19" s="9" t="n">
        <v>199.6</v>
      </c>
      <c r="I19" s="9" t="n">
        <v>2150.4</v>
      </c>
      <c r="J19" s="7" t="inlineStr">
        <is>
          <t>Ne</t>
        </is>
      </c>
      <c r="K19" s="7" t="inlineStr">
        <is>
          <t>Ne</t>
        </is>
      </c>
      <c r="L19" s="5" t="inlineStr">
        <is>
          <t>Y900 + Y113 + Y160 + Y924</t>
        </is>
      </c>
      <c r="M19" s="5" t="inlineStr">
        <is>
          <t>6,50 %</t>
        </is>
      </c>
      <c r="N19" s="5" t="inlineStr">
        <is>
          <t>0 %</t>
        </is>
      </c>
      <c r="O19" s="5" t="inlineStr">
        <is>
          <t>Ne – nespadá pod CBAM</t>
        </is>
      </c>
      <c r="P19" s="7" t="inlineStr">
        <is>
          <t>Ne</t>
        </is>
      </c>
      <c r="Q19" s="5" t="inlineStr">
        <is>
          <t>Kosmetický přípravek – ověřit oznámení do CPNP (nařízení 1223/2009).</t>
        </is>
      </c>
    </row>
    <row r="20">
      <c r="A20" s="5" t="inlineStr">
        <is>
          <t>Everest Healthcare, A-204, 43 Privet Drive, Balewadi, Pune 411045, INDIA</t>
        </is>
      </c>
      <c r="B20" s="6" t="inlineStr">
        <is>
          <t>4819200000</t>
        </is>
      </c>
      <c r="C20" s="5" t="inlineStr">
        <is>
          <t>Papírové skládací krabičky (potištěné)</t>
        </is>
      </c>
      <c r="D20" s="7" t="inlineStr">
        <is>
          <t>IN</t>
        </is>
      </c>
      <c r="E20" s="7" t="inlineStr">
        <is>
          <t>FOB Nhava Sheva</t>
        </is>
      </c>
      <c r="F20" s="8" t="n">
        <v>7905</v>
      </c>
      <c r="G20" s="9" t="n">
        <v>123</v>
      </c>
      <c r="H20" s="9" t="n">
        <v>125</v>
      </c>
      <c r="I20" s="9" t="n">
        <v>1185.75</v>
      </c>
      <c r="J20" s="7" t="inlineStr">
        <is>
          <t>Ne</t>
        </is>
      </c>
      <c r="K20" s="7" t="inlineStr">
        <is>
          <t>Ne</t>
        </is>
      </c>
      <c r="L20" s="5" t="inlineStr">
        <is>
          <t>—</t>
        </is>
      </c>
      <c r="M20" s="5" t="inlineStr">
        <is>
          <t>0 %</t>
        </is>
      </c>
      <c r="N20" s="5" t="inlineStr">
        <is>
          <t>0 % (bez GSP)</t>
        </is>
      </c>
      <c r="O20" s="5" t="inlineStr">
        <is>
          <t>Ne – nespadá pod CBAM</t>
        </is>
      </c>
      <c r="P20" s="7" t="inlineStr">
        <is>
          <t>Ne</t>
        </is>
      </c>
      <c r="Q20" s="5" t="inlineStr"/>
    </row>
    <row r="21">
      <c r="A21" s="10" t="inlineStr">
        <is>
          <t>CELKEM</t>
        </is>
      </c>
      <c r="B21" s="10" t="n"/>
      <c r="C21" s="10" t="n"/>
      <c r="D21" s="10" t="n"/>
      <c r="E21" s="10" t="n"/>
      <c r="F21" s="11" t="n">
        <v>73315</v>
      </c>
      <c r="G21" s="12" t="n">
        <v>8286.59</v>
      </c>
      <c r="H21" s="12" t="n">
        <v>11224.12</v>
      </c>
      <c r="I21" s="12" t="n">
        <v>65135.15</v>
      </c>
      <c r="J21" s="10" t="n"/>
      <c r="K21" s="10" t="n"/>
      <c r="L21" s="10" t="n"/>
      <c r="M21" s="10" t="n"/>
      <c r="N21" s="10" t="n"/>
      <c r="O21" s="10" t="n"/>
      <c r="P21" s="10" t="n"/>
      <c r="Q21" s="10" t="n"/>
    </row>
    <row r="23">
      <c r="A23" s="2" t="inlineStr">
        <is>
          <t>Kontrola proti dokladům: množství 73 315 ks = fakturovaný GRAND TOTAL; čistá hmotnost 8 286,59 kg = údaj na faktuře i PL; celní hodnota 65 135,15 EUR = Total FOB in EURO.</t>
        </is>
      </c>
    </row>
    <row r="24">
      <c r="A24" s="2" t="inlineStr">
        <is>
          <t>Hrubá hmotnost: součet řádků PL = 11 224,12 kg; PL uvádí v součtu 11 224,15 kg a v hlavičce/BL 11 224,20 kg (zaokrouhlení v PL). Pro JSD doporučuji 11 224,20 kg dle B/L.</t>
        </is>
      </c>
    </row>
  </sheetData>
  <autoFilter ref="A7:Q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3">
        <f>== ZÁSILKA ===</f>
        <v/>
      </c>
    </row>
    <row r="2">
      <c r="A2" t="inlineStr">
        <is>
          <t>Odesílatel (sender): Everest Healthcare, A-204, 43 Privet Drive, Balewadi, Pune 411045, Indie</t>
        </is>
      </c>
    </row>
    <row r="3">
      <c r="A3" t="inlineStr">
        <is>
          <t xml:space="preserve">   IEC 3113021227 | GSTIN 27BVVPK5113P1ZT | PAN BVVPK5113P</t>
        </is>
      </c>
    </row>
    <row r="4">
      <c r="A4" t="inlineStr">
        <is>
          <t>Příjemce (CZ receiver): EVEREST AYURVEDA, S.R.O., Bystrá 761/10, 193 00 Praha 9, tel. +420 604 609 110</t>
        </is>
      </c>
    </row>
    <row r="5">
      <c r="A5" t="inlineStr">
        <is>
          <t>Faktura: 3/2026-27 ze dne 22.07.2026 | objednávka PO-01/26-27 ze dne 08.04.2026</t>
        </is>
      </c>
    </row>
    <row r="6">
      <c r="A6" s="14" t="inlineStr">
        <is>
          <t>ČÍSLO KONTEJNERU: HAMU 1741487  (1 × 40' HC, STC), plomba HLK6860910</t>
        </is>
      </c>
    </row>
    <row r="7">
      <c r="A7" t="inlineStr">
        <is>
          <t xml:space="preserve">   Zdroj: B/L 4155548P4070, str. 1, sloupec „Container No.“ (dolní okraj, na skenu částečně oříznuto:</t>
        </is>
      </c>
    </row>
    <row r="8">
      <c r="A8" t="inlineStr">
        <is>
          <t xml:space="preserve">   4. písmeno vypadá jako „II/TT“). Odečet ověřen kontrolní číslicí dle ISO 6346: pro HAMU174148 vychází 7,</t>
        </is>
      </c>
    </row>
    <row r="9">
      <c r="A9" t="inlineStr">
        <is>
          <t xml:space="preserve">   což odpovídá vytištěnému „/7“; pro HAMT vychází 0, pro HAMI 2 – správně je tedy HAMU 1741487.</t>
        </is>
      </c>
    </row>
    <row r="10">
      <c r="A10" t="inlineStr">
        <is>
          <t xml:space="preserve">   Předpona HAMU = Hapag-Lloyd, což odpovídá i plombě HLK6860910.</t>
        </is>
      </c>
    </row>
    <row r="11">
      <c r="A11" s="14" t="inlineStr">
        <is>
          <t xml:space="preserve">   POZOR: v „INSTRUKCE K CELNÍMU ODBAVENÍ“ je pole „Číslo kontejneru“ NEVYPLNĚNO (je tam jen číslo faktury,</t>
        </is>
      </c>
    </row>
    <row r="12">
      <c r="A12" t="inlineStr">
        <is>
          <t xml:space="preserve">   navíc chybně jako „3/2024-25“ místo 3/2026-27). Číslo kontejneru brát z B/L.</t>
        </is>
      </c>
    </row>
    <row r="13">
      <c r="A13" t="inlineStr">
        <is>
          <t>B/L: 4155548P4070 (Interglobo, SEAWAY BL), plavidlo ATLANTA EXPRESS V.632, on board 08.08.2026</t>
        </is>
      </c>
    </row>
    <row r="14">
      <c r="A14" t="inlineStr">
        <is>
          <t>Trasa: Nhava Sheva (IN) → Hamburg (DE) → Praha (CZ) | S/BILL 5288203 z 23.07.2026</t>
        </is>
      </c>
    </row>
    <row r="15">
      <c r="A15" t="inlineStr">
        <is>
          <t>Balení: 600 balení celkem (589 kartonů 1-519 a 531-600 + 11 palet 520-530), plomba HLK6860910</t>
        </is>
      </c>
    </row>
    <row r="16">
      <c r="A16" s="14" t="inlineStr">
        <is>
          <t>Incoterm: FOB Nhava Sheva (faktura i PL: „FOB BY SEA“; přístav nalodění dle B/L = Nhava Sheva, Indie)</t>
        </is>
      </c>
    </row>
    <row r="17">
      <c r="A17" t="inlineStr">
        <is>
          <t>Platba: 100 % předem. Přepravné: FREIGHT COLLECT / splatné v místě určení.</t>
        </is>
      </c>
    </row>
    <row r="18">
      <c r="A18" t="inlineStr">
        <is>
          <t>Celní režim: T1, doručení přes Maurice Ward &amp; Co., s.r.o., CTPark Prague Airport, Nad Kovárnou 185,</t>
        </is>
      </c>
    </row>
    <row r="19">
      <c r="A19" t="inlineStr">
        <is>
          <t xml:space="preserve">   252 68 Kněževes; VAT CZ62908227. Vykládka Praha 9, 9:00, kontakt Petr Hlava 733 710 017.</t>
        </is>
      </c>
    </row>
    <row r="20">
      <c r="A20" t="inlineStr"/>
    </row>
    <row r="21">
      <c r="A21" s="13">
        <f>== ⚠ PREFERENČNÍ VĚTA / PŮVOD (COO) – DŮLEŽITÉ ===</f>
        <v/>
      </c>
    </row>
    <row r="22">
      <c r="A22" s="14" t="inlineStr">
        <is>
          <t>ANO – preferenční věta JE v dokladech (export faktura 3/2026-27, str. 3, „STATEMENT ON ORIGIN“):</t>
        </is>
      </c>
    </row>
    <row r="23">
      <c r="A23" t="inlineStr">
        <is>
          <t xml:space="preserve">   „The exporter EVEREST HEALTHCARE INREX3113021227EC010 of the products covered by this document</t>
        </is>
      </c>
    </row>
    <row r="24">
      <c r="A24" t="inlineStr">
        <is>
          <t xml:space="preserve">   declares that, except where otherwise clearly indicated, these products are of Indian preferential</t>
        </is>
      </c>
    </row>
    <row r="25">
      <c r="A25" t="inlineStr">
        <is>
          <t xml:space="preserve">   origin according to rules of origin of the Generalized System of Preferences of the European Union</t>
        </is>
      </c>
    </row>
    <row r="26">
      <c r="A26" t="inlineStr">
        <is>
          <t xml:space="preserve">   and that the origin criterion met is "P".„</t>
        </is>
      </c>
    </row>
    <row r="27">
      <c r="A27" t="inlineStr">
        <is>
          <t>→ Jde o deklaraci o původu registrovaného vývozce (REX) v rámci GSP EU; číslo REX: INREX3113021227EC010.</t>
        </is>
      </c>
    </row>
    <row r="28">
      <c r="A28" t="inlineStr">
        <is>
          <t>→ Kritérium původu „P“ = zcela získané / dostatečně opracované produkty.</t>
        </is>
      </c>
    </row>
    <row r="29">
      <c r="A29" s="14" t="inlineStr">
        <is>
          <t>→ DOPAD: zboží lze uplatnit na PREFERENČNÍ celní sazbu GSP (snížené / nulové clo) místo sazby pro třetí země.</t>
        </is>
      </c>
    </row>
    <row r="30">
      <c r="A30" t="inlineStr">
        <is>
          <t>→ Před odbavením ověřit: platnost registrace REX vývozce v databázi REX a aktuální GSP status Indie</t>
        </is>
      </c>
    </row>
    <row r="31">
      <c r="A31" t="inlineStr">
        <is>
          <t xml:space="preserve">   pro dotčené kapitoly; přímá doprava (Nhava Sheva → Hamburg → CZ). Bez platné preference se použije</t>
        </is>
      </c>
    </row>
    <row r="32">
      <c r="A32" t="inlineStr">
        <is>
          <t xml:space="preserve">   běžná třetizemní sazba.</t>
        </is>
      </c>
    </row>
    <row r="33">
      <c r="A33" t="inlineStr"/>
    </row>
    <row r="34">
      <c r="A34" s="13">
        <f>== CBAM ===</f>
        <v/>
      </c>
    </row>
    <row r="35">
      <c r="A35" t="inlineStr">
        <is>
          <t>Zásilka NEOBSAHUJE žádné CBAM zboží. Uplatněné HS kódy spadají do kapitol 09, 11, 20, 33 a 48</t>
        </is>
      </c>
    </row>
    <row r="36">
      <c r="A36" t="inlineStr">
        <is>
          <t>(potraviny, kosmetika, papírové obaly) – mimo rozsah CBAM (železo/ocel, hliník, cement, hnojiva,</t>
        </is>
      </c>
    </row>
    <row r="37">
      <c r="A37" t="inlineStr">
        <is>
          <t>elektřina, vodík). CBAM prohlášení se pro tuto zásilku nepodává.</t>
        </is>
      </c>
    </row>
    <row r="38">
      <c r="A38" s="14" t="inlineStr">
        <is>
          <t>POZNÁMKA K REGISTRU: příjemce EVEREST AYURVEDA, S.R.O. NENÍ v reference/CBAM_receivers_CZ.xlsx (List1)</t>
        </is>
      </c>
    </row>
    <row r="39">
      <c r="A39" t="inlineStr">
        <is>
          <t>uveden – vyhledáno dle sloupce „Firma“ i „EORI“, bez shody. Pro tuto zásilku to nevadí (žádné CBAM zboží),</t>
        </is>
      </c>
    </row>
    <row r="40">
      <c r="A40" t="inlineStr">
        <is>
          <t>ale pokud bude firma někdy dovážet CBAM zboží, je třeba ji do registru doplnit a zjistit její Y kód.</t>
        </is>
      </c>
    </row>
    <row r="41">
      <c r="A41" t="inlineStr"/>
    </row>
    <row r="42">
      <c r="A42" s="13">
        <f>== ANTIDUMPING ===</f>
        <v/>
      </c>
    </row>
    <row r="43">
      <c r="A43" t="inlineStr">
        <is>
          <t>Žádná položka zásilky nepodléhá antidumpingovému clu. Nejde o komodity, na které EU uplatňuje</t>
        </is>
      </c>
    </row>
    <row r="44">
      <c r="A44" t="inlineStr">
        <is>
          <t>antidumpingová opatření vůči Indii (potraviny, kosmetika, papírové krabičky).</t>
        </is>
      </c>
    </row>
    <row r="45">
      <c r="A45" t="inlineStr"/>
    </row>
    <row r="46">
      <c r="A46" s="13">
        <f>== SLEVA ===</f>
        <v/>
      </c>
    </row>
    <row r="47">
      <c r="A47" t="inlineStr">
        <is>
          <t>Na faktuře 3/2026-27 není uvedena žádná obchodní sleva → poměrné rozpuštění slevy se neuplatňuje.</t>
        </is>
      </c>
    </row>
    <row r="48">
      <c r="A48" t="inlineStr">
        <is>
          <t>Celní hodnota = fakturovaná FOB hodnota 65 135,15 EUR (přepočet na faktuře: 1 EUR = 108,60 INR).</t>
        </is>
      </c>
    </row>
    <row r="49">
      <c r="A49" s="14" t="inlineStr">
        <is>
          <t>POZOR: dodací doložka je FOB – k celní hodnotě je nutno připočíst náklady na přepravu a pojištění</t>
        </is>
      </c>
    </row>
    <row r="50">
      <c r="A50" t="inlineStr">
        <is>
          <t>do místa vstupu do EU (freight collect), viz čl. 70-71 UCC.</t>
        </is>
      </c>
    </row>
    <row r="51">
      <c r="A51" t="inlineStr"/>
    </row>
    <row r="52">
      <c r="A52" s="13">
        <f>== ZDROJ SAZEBNÍHO ZAŘAZENÍ ===</f>
        <v/>
      </c>
    </row>
    <row r="53">
      <c r="A53" t="inlineStr">
        <is>
          <t>HS/TARIC kódy a české popisy převzaty z „INSTRUKCE K CELNÍMU ODBAVENÍ A DORUČENÍ ZBOŽÍ“ (kont. 9/2026).</t>
        </is>
      </c>
    </row>
    <row r="54">
      <c r="A54" t="inlineStr">
        <is>
          <t>Indické HSN kódy z exportní faktury (17049090, 08045030, 08134090, 11063090, 20089700, 09024040,</t>
        </is>
      </c>
    </row>
    <row r="55">
      <c r="A55" s="14" t="inlineStr">
        <is>
          <t>30049011, 48191010) se s EU zařazením NESHODUJÍ – pro JSD platí EU kódy uvedené v tomto přehledu.</t>
        </is>
      </c>
    </row>
    <row r="56">
      <c r="A56" t="inlineStr">
        <is>
          <t>Zejména: „prash“ výrobky jsou v Indii deklarovány jako 3004 (léčiva), v EU zařazeny jako 2007 (džemy);</t>
        </is>
      </c>
    </row>
    <row r="57">
      <c r="A57" t="inlineStr">
        <is>
          <t>AMLA CANDY je v Indii 1704, v EU 2008 99 67 99.</t>
        </is>
      </c>
    </row>
    <row r="58">
      <c r="A58" t="inlineStr"/>
    </row>
    <row r="59">
      <c r="A59" s="13">
        <f>== KONTROLA HMOTNOSTÍ A MNOŽSTVÍ ===</f>
        <v/>
      </c>
    </row>
    <row r="60">
      <c r="A60" t="inlineStr">
        <is>
          <t>Množství: 73 315 ks – souhlasí s GRAND TOTAL faktury i s PL.</t>
        </is>
      </c>
    </row>
    <row r="61">
      <c r="A61" t="inlineStr">
        <is>
          <t>Čistá hmotnost: 8 286,59 kg – souhlasí s faktura/PL/B/L.</t>
        </is>
      </c>
    </row>
    <row r="62">
      <c r="A62" t="inlineStr">
        <is>
          <t>Hrubá hmotnost: součet jednotlivých řádků PL = 11 224,12 kg; PL v součtu uvádí 11 224,15 kg;</t>
        </is>
      </c>
    </row>
    <row r="63">
      <c r="A63" t="inlineStr">
        <is>
          <t>hlavička PL, faktura a B/L uvádějí 11 224,20 kg. Rozdíl 0,08 kg = zaokrouhlení v PL.</t>
        </is>
      </c>
    </row>
    <row r="64">
      <c r="A64" t="inlineStr">
        <is>
          <t>Do JSD doporučuji uvést hrubou hmotnost 11 224,20 kg dle B/L.</t>
        </is>
      </c>
    </row>
    <row r="65">
      <c r="A65" t="inlineStr"/>
    </row>
    <row r="66">
      <c r="A66" s="13">
        <f>== CO JEŠTĚ OVĚŘIT ===</f>
        <v/>
      </c>
    </row>
    <row r="67">
      <c r="A67" t="inlineStr">
        <is>
          <t>• Kosmetika (3304 99 00 00, 3305 90 00 00, 3307 90 00 00) – oznámení do CPNP dle nař. 1223/2009.</t>
        </is>
      </c>
    </row>
    <row r="68">
      <c r="A68" t="inlineStr">
        <is>
          <t>• Potraviny z Indie – případný CHED / vstupní kontrola dle nař. 2019/1793 (kontrolní seznam).</t>
        </is>
      </c>
    </row>
    <row r="69">
      <c r="A69" t="inlineStr">
        <is>
          <t>• Doplňkové doklady: plná moc k zastoupení, čestné prohlášení o obalech.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2" customWidth="1" min="3" max="3"/>
    <col width="26" customWidth="1" min="4" max="4"/>
    <col width="24" customWidth="1" min="5" max="5"/>
    <col width="26" customWidth="1" min="6" max="6"/>
    <col width="26" customWidth="1" min="7" max="7"/>
    <col width="18" customWidth="1" min="8" max="8"/>
    <col width="18" customWidth="1" min="9" max="9"/>
    <col width="14" customWidth="1" min="10" max="10"/>
  </cols>
  <sheetData>
    <row r="1">
      <c r="A1" s="15" t="inlineStr">
        <is>
          <t>Ověření v TARIC – dovoz z Indie (IN), referenční datum 14-09-2026, poslední aktualizace TARIC 11-09-2026</t>
        </is>
      </c>
    </row>
    <row r="2">
      <c r="A2" s="2" t="inlineStr">
        <is>
          <t>Zdroj: ec.europa.eu/taxation_customs/dds2/taric – opatření a podmínky načteny pro každý CN kód zvlášť (oblast IN). Odpověď na dotaz Maurice Ward ze dne 14.09.2026 (fytokontrola / TRACES / SVD).</t>
        </is>
      </c>
    </row>
    <row r="4" ht="34" customHeight="1">
      <c r="A4" s="4" t="inlineStr">
        <is>
          <t>CN kód</t>
        </is>
      </c>
      <c r="B4" s="4" t="inlineStr">
        <is>
          <t>Zboží</t>
        </is>
      </c>
      <c r="C4" s="4" t="inlineStr">
        <is>
          <t>Fytokontrola / TRACES-PP</t>
        </is>
      </c>
      <c r="D4" s="4" t="inlineStr">
        <is>
          <t>Veterinární kontrola (SVD / CHED-P)</t>
        </is>
      </c>
      <c r="E4" s="4" t="inlineStr">
        <is>
          <t>Povinné kódy do JSD</t>
        </is>
      </c>
      <c r="F4" s="4" t="inlineStr">
        <is>
          <t>Clo MFN (třetí země)</t>
        </is>
      </c>
      <c r="G4" s="4" t="inlineStr">
        <is>
          <t>Clo GSP (preference)</t>
        </is>
      </c>
      <c r="H4" s="4" t="inlineStr">
        <is>
          <t>Clo bez preference EUR</t>
        </is>
      </c>
      <c r="I4" s="4" t="inlineStr">
        <is>
          <t>Clo s preferencí EUR</t>
        </is>
      </c>
      <c r="J4" s="4" t="inlineStr">
        <is>
          <t>Úspora EUR</t>
        </is>
      </c>
    </row>
    <row r="5">
      <c r="A5" s="7" t="inlineStr">
        <is>
          <t>0902300000</t>
        </is>
      </c>
      <c r="B5" s="5" t="inlineStr">
        <is>
          <t>Černý čaj sáčkový (Masala Chai)</t>
        </is>
      </c>
      <c r="C5" s="5" t="inlineStr">
        <is>
          <t>Ne</t>
        </is>
      </c>
      <c r="D5" s="5" t="inlineStr">
        <is>
          <t>Ne</t>
        </is>
      </c>
      <c r="E5" s="5" t="inlineStr">
        <is>
          <t>Y929</t>
        </is>
      </c>
      <c r="F5" s="5" t="inlineStr">
        <is>
          <t>0 %</t>
        </is>
      </c>
      <c r="G5" s="5" t="inlineStr">
        <is>
          <t>0 % (bez GSP)</t>
        </is>
      </c>
      <c r="H5" s="9" t="n">
        <v>0</v>
      </c>
      <c r="I5" s="9" t="n">
        <v>0</v>
      </c>
      <c r="J5" s="9" t="n">
        <v>0</v>
      </c>
    </row>
    <row r="6">
      <c r="A6" s="7" t="inlineStr">
        <is>
          <t>1106309080</t>
        </is>
      </c>
      <c r="B6" s="5" t="inlineStr">
        <is>
          <t>Amla v prášku, bez přidaných látek</t>
        </is>
      </c>
      <c r="C6" s="5" t="inlineStr">
        <is>
          <t>Ne</t>
        </is>
      </c>
      <c r="D6" s="5" t="inlineStr">
        <is>
          <t>Ne</t>
        </is>
      </c>
      <c r="E6" s="5" t="inlineStr">
        <is>
          <t>Y929</t>
        </is>
      </c>
      <c r="F6" s="5" t="inlineStr">
        <is>
          <t>8,30 %</t>
        </is>
      </c>
      <c r="G6" s="5" t="inlineStr">
        <is>
          <t>4,80 %</t>
        </is>
      </c>
      <c r="H6" s="9" t="n">
        <v>580.77</v>
      </c>
      <c r="I6" s="9" t="n">
        <v>335.87</v>
      </c>
      <c r="J6" s="9" t="n">
        <v>244.9</v>
      </c>
    </row>
    <row r="7">
      <c r="A7" s="7" t="inlineStr">
        <is>
          <t>2007101095</t>
        </is>
      </c>
      <c r="B7" s="5" t="inlineStr">
        <is>
          <t>Bylinné džemy – řada PRASH (Rasa, Rakta, Mamsa, Meda, Asthi, Majja, Shukra, Arthava, Anna, Prana, Ambu, Purisha, Mutra, Sveda, Mano, Nayana, Kesha)</t>
        </is>
      </c>
      <c r="C7" s="5" t="inlineStr">
        <is>
          <t>Ne</t>
        </is>
      </c>
      <c r="D7" s="5" t="inlineStr">
        <is>
          <t>Ne</t>
        </is>
      </c>
      <c r="E7" s="5" t="inlineStr">
        <is>
          <t>Y929</t>
        </is>
      </c>
      <c r="F7" s="5" t="inlineStr">
        <is>
          <t>24,00 % + 4,20 EUR/100 kg</t>
        </is>
      </c>
      <c r="G7" s="5" t="inlineStr">
        <is>
          <t>20,40 % + 4,20 EUR/100 kg</t>
        </is>
      </c>
      <c r="H7" s="9" t="n">
        <v>4269.78</v>
      </c>
      <c r="I7" s="9" t="n">
        <v>3645</v>
      </c>
      <c r="J7" s="9" t="n">
        <v>624.78</v>
      </c>
    </row>
    <row r="8">
      <c r="A8" s="7" t="inlineStr">
        <is>
          <t>2007993980</t>
        </is>
      </c>
      <c r="B8" s="5" t="inlineStr">
        <is>
          <t>Bylinný džem CHYAWANPRASH</t>
        </is>
      </c>
      <c r="C8" s="5" t="inlineStr">
        <is>
          <t>Ne</t>
        </is>
      </c>
      <c r="D8" s="5" t="inlineStr">
        <is>
          <t>Ne</t>
        </is>
      </c>
      <c r="E8" s="5" t="inlineStr">
        <is>
          <t>Y929</t>
        </is>
      </c>
      <c r="F8" s="5" t="inlineStr">
        <is>
          <t>24,00 % + 23,00 EUR/100 kg</t>
        </is>
      </c>
      <c r="G8" s="5" t="inlineStr">
        <is>
          <t>20,50 % + 23,00 EUR/100 kg</t>
        </is>
      </c>
      <c r="H8" s="9" t="n">
        <v>1621.8</v>
      </c>
      <c r="I8" s="9" t="n">
        <v>1419.5</v>
      </c>
      <c r="J8" s="9" t="n">
        <v>202.3</v>
      </c>
    </row>
    <row r="9">
      <c r="A9" s="7" t="inlineStr">
        <is>
          <t>2008207100</t>
        </is>
      </c>
      <c r="B9" s="5" t="inlineStr">
        <is>
          <t>Sušený ananas</t>
        </is>
      </c>
      <c r="C9" s="5" t="inlineStr">
        <is>
          <t>Ne</t>
        </is>
      </c>
      <c r="D9" s="5" t="inlineStr">
        <is>
          <t>Ne</t>
        </is>
      </c>
      <c r="E9" s="5" t="inlineStr">
        <is>
          <t>Y929</t>
        </is>
      </c>
      <c r="F9" s="5" t="inlineStr">
        <is>
          <t>20,80 %</t>
        </is>
      </c>
      <c r="G9" s="5" t="inlineStr">
        <is>
          <t>17,30 %</t>
        </is>
      </c>
      <c r="H9" s="9" t="n">
        <v>312</v>
      </c>
      <c r="I9" s="9" t="n">
        <v>259.5</v>
      </c>
      <c r="J9" s="9" t="n">
        <v>52.5</v>
      </c>
    </row>
    <row r="10">
      <c r="A10" s="7" t="inlineStr">
        <is>
          <t>2008977819</t>
        </is>
      </c>
      <c r="B10" s="5" t="inlineStr">
        <is>
          <t>Amla nutriční tyčinka VATA</t>
        </is>
      </c>
      <c r="C10" s="5" t="inlineStr">
        <is>
          <t>Ne</t>
        </is>
      </c>
      <c r="D10" s="5" t="inlineStr">
        <is>
          <t>Ne</t>
        </is>
      </c>
      <c r="E10" s="5" t="inlineStr">
        <is>
          <t>Y929</t>
        </is>
      </c>
      <c r="F10" s="5" t="inlineStr">
        <is>
          <t>19,20 %</t>
        </is>
      </c>
      <c r="G10" s="5" t="inlineStr">
        <is>
          <t>13,40 %</t>
        </is>
      </c>
      <c r="H10" s="9" t="n">
        <v>263.58</v>
      </c>
      <c r="I10" s="9" t="n">
        <v>183.96</v>
      </c>
      <c r="J10" s="9" t="n">
        <v>79.62</v>
      </c>
    </row>
    <row r="11">
      <c r="A11" s="7" t="inlineStr">
        <is>
          <t>2008977890</t>
        </is>
      </c>
      <c r="B11" s="5" t="inlineStr">
        <is>
          <t>Amla nutriční tyčinka (Pitta, Kapha)</t>
        </is>
      </c>
      <c r="C11" s="5" t="inlineStr">
        <is>
          <t>Ne</t>
        </is>
      </c>
      <c r="D11" s="5" t="inlineStr">
        <is>
          <t>Ne</t>
        </is>
      </c>
      <c r="E11" s="5" t="inlineStr">
        <is>
          <t>Y929</t>
        </is>
      </c>
      <c r="F11" s="5" t="inlineStr">
        <is>
          <t>19,20 %</t>
        </is>
      </c>
      <c r="G11" s="5" t="inlineStr">
        <is>
          <t>13,40 %</t>
        </is>
      </c>
      <c r="H11" s="9" t="n">
        <v>479.23</v>
      </c>
      <c r="I11" s="9" t="n">
        <v>334.46</v>
      </c>
      <c r="J11" s="9" t="n">
        <v>144.77</v>
      </c>
    </row>
    <row r="12">
      <c r="A12" s="7" t="inlineStr">
        <is>
          <t>2008996390</t>
        </is>
      </c>
      <c r="B12" s="5" t="inlineStr">
        <is>
          <t>Sušené ovoce – jackfruit, mango, papája, guava</t>
        </is>
      </c>
      <c r="C12" s="5" t="inlineStr">
        <is>
          <t>Ne</t>
        </is>
      </c>
      <c r="D12" s="16" t="inlineStr">
        <is>
          <t>ANO – podmíněné</t>
        </is>
      </c>
      <c r="E12" s="16" t="inlineStr">
        <is>
          <t>Y929 + Y930</t>
        </is>
      </c>
      <c r="F12" s="5" t="inlineStr">
        <is>
          <t>13,00 %</t>
        </is>
      </c>
      <c r="G12" s="5" t="inlineStr">
        <is>
          <t>9,50 %</t>
        </is>
      </c>
      <c r="H12" s="9" t="n">
        <v>1004.25</v>
      </c>
      <c r="I12" s="9" t="n">
        <v>733.88</v>
      </c>
      <c r="J12" s="9" t="n">
        <v>270.38</v>
      </c>
    </row>
    <row r="13">
      <c r="A13" s="7" t="inlineStr">
        <is>
          <t>2008996799</t>
        </is>
      </c>
      <c r="B13" s="5" t="inlineStr">
        <is>
          <t>Sušená amla (Amla candy)</t>
        </is>
      </c>
      <c r="C13" s="5" t="inlineStr">
        <is>
          <t>Ne</t>
        </is>
      </c>
      <c r="D13" s="16" t="inlineStr">
        <is>
          <t>ANO – podmíněné</t>
        </is>
      </c>
      <c r="E13" s="16" t="inlineStr">
        <is>
          <t>Y929 + Y930</t>
        </is>
      </c>
      <c r="F13" s="5" t="inlineStr">
        <is>
          <t>20,80 %</t>
        </is>
      </c>
      <c r="G13" s="5" t="inlineStr">
        <is>
          <t>17,30 %</t>
        </is>
      </c>
      <c r="H13" s="9" t="n">
        <v>2771.6</v>
      </c>
      <c r="I13" s="9" t="n">
        <v>2305.22</v>
      </c>
      <c r="J13" s="9" t="n">
        <v>466.38</v>
      </c>
    </row>
    <row r="14">
      <c r="A14" s="7" t="inlineStr">
        <is>
          <t>3304990000</t>
        </is>
      </c>
      <c r="B14" s="5" t="inlineStr">
        <is>
          <t>Kosmetický přípravek pro péči o pokožku – VATA body care olej</t>
        </is>
      </c>
      <c r="C14" s="5" t="inlineStr">
        <is>
          <t>Ne</t>
        </is>
      </c>
      <c r="D14" s="5" t="inlineStr">
        <is>
          <t>Ne</t>
        </is>
      </c>
      <c r="E14" s="5" t="inlineStr">
        <is>
          <t>Y900 + Y113 + Y160</t>
        </is>
      </c>
      <c r="F14" s="5" t="inlineStr">
        <is>
          <t>0 %</t>
        </is>
      </c>
      <c r="G14" s="5" t="inlineStr">
        <is>
          <t>0 % (bez GSP)</t>
        </is>
      </c>
      <c r="H14" s="9" t="n">
        <v>0</v>
      </c>
      <c r="I14" s="9" t="n">
        <v>0</v>
      </c>
      <c r="J14" s="9" t="n">
        <v>0</v>
      </c>
    </row>
    <row r="15">
      <c r="A15" s="7" t="inlineStr">
        <is>
          <t>3305900000</t>
        </is>
      </c>
      <c r="B15" s="5" t="inlineStr">
        <is>
          <t>Vlasový olej – BHRINGARAJ hair care oil</t>
        </is>
      </c>
      <c r="C15" s="5" t="inlineStr">
        <is>
          <t>Ne</t>
        </is>
      </c>
      <c r="D15" s="5" t="inlineStr">
        <is>
          <t>Ne</t>
        </is>
      </c>
      <c r="E15" s="5" t="inlineStr">
        <is>
          <t>Y113 + Y160</t>
        </is>
      </c>
      <c r="F15" s="5" t="inlineStr">
        <is>
          <t>0 %</t>
        </is>
      </c>
      <c r="G15" s="5" t="inlineStr">
        <is>
          <t>0 % (bez GSP)</t>
        </is>
      </c>
      <c r="H15" s="9" t="n">
        <v>0</v>
      </c>
      <c r="I15" s="9" t="n">
        <v>0</v>
      </c>
      <c r="J15" s="9" t="n">
        <v>0</v>
      </c>
    </row>
    <row r="16">
      <c r="A16" s="7" t="inlineStr">
        <is>
          <t>3307900000</t>
        </is>
      </c>
      <c r="B16" s="5" t="inlineStr">
        <is>
          <t>Masážní olej MAHANARAYAN</t>
        </is>
      </c>
      <c r="C16" s="5" t="inlineStr">
        <is>
          <t>Ne</t>
        </is>
      </c>
      <c r="D16" s="5" t="inlineStr">
        <is>
          <t>Ne</t>
        </is>
      </c>
      <c r="E16" s="5" t="inlineStr">
        <is>
          <t>Y900 + Y113 + Y160 + Y924</t>
        </is>
      </c>
      <c r="F16" s="5" t="inlineStr">
        <is>
          <t>6,50 %</t>
        </is>
      </c>
      <c r="G16" s="5" t="inlineStr">
        <is>
          <t>0 %</t>
        </is>
      </c>
      <c r="H16" s="9" t="n">
        <v>139.78</v>
      </c>
      <c r="I16" s="9" t="n">
        <v>0</v>
      </c>
      <c r="J16" s="9" t="n">
        <v>139.78</v>
      </c>
    </row>
    <row r="17">
      <c r="A17" s="7" t="inlineStr">
        <is>
          <t>4819200000</t>
        </is>
      </c>
      <c r="B17" s="5" t="inlineStr">
        <is>
          <t>Papírové skládací krabičky (potištěné)</t>
        </is>
      </c>
      <c r="C17" s="5" t="inlineStr">
        <is>
          <t>Ne</t>
        </is>
      </c>
      <c r="D17" s="5" t="inlineStr">
        <is>
          <t>Ne</t>
        </is>
      </c>
      <c r="E17" s="5" t="inlineStr">
        <is>
          <t>—</t>
        </is>
      </c>
      <c r="F17" s="5" t="inlineStr">
        <is>
          <t>0 %</t>
        </is>
      </c>
      <c r="G17" s="5" t="inlineStr">
        <is>
          <t>0 % (bez GSP)</t>
        </is>
      </c>
      <c r="H17" s="9" t="n">
        <v>0</v>
      </c>
      <c r="I17" s="9" t="n">
        <v>0</v>
      </c>
      <c r="J17" s="9" t="n">
        <v>0</v>
      </c>
    </row>
    <row r="18">
      <c r="A18" s="10" t="inlineStr">
        <is>
          <t>CELKEM</t>
        </is>
      </c>
      <c r="B18" s="10" t="n"/>
      <c r="C18" s="10" t="n"/>
      <c r="D18" s="10" t="n"/>
      <c r="E18" s="10" t="n"/>
      <c r="F18" s="10" t="n"/>
      <c r="G18" s="10" t="n"/>
      <c r="H18" s="12" t="n">
        <v>11442.78</v>
      </c>
      <c r="I18" s="12" t="n">
        <v>9217.379999999999</v>
      </c>
      <c r="J18" s="12" t="n">
        <v>2225.4</v>
      </c>
    </row>
    <row r="20">
      <c r="A20" s="13" t="inlineStr">
        <is>
          <t>ZÁVĚR K DOTAZU MAURICE WARD (14.09.2026)</t>
        </is>
      </c>
    </row>
    <row r="21">
      <c r="A21" s="14" t="inlineStr">
        <is>
          <t>1) Fytosanitární kontrola / TRACES-PP: NE – ani jeden z 13 CN kódů nemá v TARIC fytosanitární opatření.</t>
        </is>
      </c>
    </row>
    <row r="22">
      <c r="A22" t="inlineStr">
        <is>
          <t xml:space="preserve">   Není třeba rostlinolékařské osvědčení (N851) ani CHED-PP, není třeba registrace v TRACES.</t>
        </is>
      </c>
    </row>
    <row r="23">
      <c r="A23" t="inlineStr">
        <is>
          <t xml:space="preserve">   Důvod: veškeré rostlinné zboží je zpracované (sušené, kandované, džemy, prášek, fermentovaný čaj),</t>
        </is>
      </c>
    </row>
    <row r="24">
      <c r="A24" t="inlineStr">
        <is>
          <t xml:space="preserve">   tj. mimo přílohu XI nařízení (EU) 2019/2072.</t>
        </is>
      </c>
    </row>
    <row r="25">
      <c r="A25" s="14" t="inlineStr">
        <is>
          <t xml:space="preserve">   JEDINÁ výjimka se netýká zboží, ale OBALU: zásilka obsahuje 11 palet – pokud jsou dřevěné, musí být</t>
        </is>
      </c>
    </row>
    <row r="26">
      <c r="A26" t="inlineStr">
        <is>
          <t xml:space="preserve">   ošetřené a označené dle ISPM 15. To je jediný fytosanitární požadavek této zásilky.</t>
        </is>
      </c>
    </row>
    <row r="27">
      <c r="A27" t="inlineStr"/>
    </row>
    <row r="28">
      <c r="A28" s="14" t="inlineStr">
        <is>
          <t>2) Veterinární doklad SVD / CHED-P: NE – žádná položka není produktem živočišného původu.</t>
        </is>
      </c>
    </row>
    <row r="29">
      <c r="A29" s="14" t="inlineStr">
        <is>
          <t xml:space="preserve">   ALE POZOR: u CN 2008 99 63 90 a 2008 99 67 99 je v TARIC PODMÍNĚNÉ veterinární opatření</t>
        </is>
      </c>
    </row>
    <row r="30">
      <c r="A30" t="inlineStr">
        <is>
          <t xml:space="preserve">   (nařízení (EU) 2021/632, platné od 23-07-2026). Celní prohlášení proto MUSÍ u těchto dvou položek</t>
        </is>
      </c>
    </row>
    <row r="31">
      <c r="A31" t="inlineStr">
        <is>
          <t xml:space="preserve">   nést jeden z kódů:</t>
        </is>
      </c>
    </row>
    <row r="32">
      <c r="A32" s="14" t="inlineStr">
        <is>
          <t xml:space="preserve">      • Y930 – „zboží není dotčeno nařízením (EU) 2021/632“  ← TOTO PLATÍ PRO NAŠI ZÁSILKU</t>
        </is>
      </c>
    </row>
    <row r="33">
      <c r="A33" t="inlineStr">
        <is>
          <t xml:space="preserve">      • N853 – CHED-P (jen pokud by šlo o složený produkt se živočišnou složkou)</t>
        </is>
      </c>
    </row>
    <row r="34">
      <c r="A34" t="inlineStr">
        <is>
          <t xml:space="preserve">      • Y931 – výjimka dle čl. 3 nař. (EU) 2021/630 (trvanlivé složené produkty)</t>
        </is>
      </c>
    </row>
    <row r="35">
      <c r="A35" s="14" t="inlineStr">
        <is>
          <t xml:space="preserve">   Bez Y930 (nebo N853) JSD u těchto dvou položek neprojde. SVD se ale nevystavuje.</t>
        </is>
      </c>
    </row>
    <row r="36">
      <c r="A36" t="inlineStr"/>
    </row>
    <row r="37">
      <c r="A37" t="inlineStr">
        <is>
          <t>3) Bio kontrola: všech 9 potravinových kódů má opatření „Import control of organic products“</t>
        </is>
      </c>
    </row>
    <row r="38">
      <c r="A38" s="14" t="inlineStr">
        <is>
          <t xml:space="preserve">   (nař. 2021/2306). Zboží není bio → uvést Y929 „zboží není dotčeno nařízením (EU) 2018/848“.</t>
        </is>
      </c>
    </row>
    <row r="39">
      <c r="A39" t="inlineStr">
        <is>
          <t xml:space="preserve">   Pokud by šlo o bio, bylo by třeba C644 (certifikát o kontrole).</t>
        </is>
      </c>
    </row>
    <row r="40">
      <c r="A40" t="inlineStr"/>
    </row>
    <row r="41">
      <c r="A41" t="inlineStr">
        <is>
          <t>4) Kosmetika (3304 99 00 00, 3305 90 00 00, 3307 90 00 00) – opatření CITES, REACH, F-plyny, rtuť.</t>
        </is>
      </c>
    </row>
    <row r="42">
      <c r="A42" t="inlineStr">
        <is>
          <t xml:space="preserve">   Zboží se jich netýká → Y900 (není CITES), Y113 (mimo přílohu XVII REACH), Y160 (mimo nař. 2024/573),</t>
        </is>
      </c>
    </row>
    <row r="43">
      <c r="A43" t="inlineStr">
        <is>
          <t xml:space="preserve">   u 3307 90 navíc Y924 (mimo nař. 2017/852 o rtuti). U 3305 90 se CITES opatření nevyskytuje.</t>
        </is>
      </c>
    </row>
    <row r="44">
      <c r="A44" t="inlineStr"/>
    </row>
    <row r="45">
      <c r="A45" t="inlineStr">
        <is>
          <t>5) Zvýšené kontroly potravin nerostlinného původu (nař. 2019/1793): žádný z kódů není v TARIC dotčen,</t>
        </is>
      </c>
    </row>
    <row r="46">
      <c r="A46" t="inlineStr">
        <is>
          <t xml:space="preserve">   tedy ani CHED-D. Antidumping: žádný.</t>
        </is>
      </c>
    </row>
    <row r="47">
      <c r="A47" t="inlineStr"/>
    </row>
    <row r="48">
      <c r="A48" s="13" t="inlineStr">
        <is>
          <t>K OVĚŘENÍ S VÝVOZCEM</t>
        </is>
      </c>
    </row>
    <row r="49">
      <c r="A49" s="14" t="inlineStr">
        <is>
          <t>Chyawanprash a řada „prash“ tradičně obsahují ghí (mléčný tuk) a med – tedy složky živočišného původu.</t>
        </is>
      </c>
    </row>
    <row r="50">
      <c r="A50" t="inlineStr">
        <is>
          <t>V TARIC nemá CN 2007 10 10 95 ani 2007 99 39 80 žádné veterinární opatření, takže k celnímu prohlášení</t>
        </is>
      </c>
    </row>
    <row r="51">
      <c r="A51" t="inlineStr">
        <is>
          <t>není u nich nic potřeba. Přesto doporučuji si od vývozce vyžádat složení: pokud by živočišná složka byla</t>
        </is>
      </c>
    </row>
    <row r="52">
      <c r="A52" t="inlineStr">
        <is>
          <t>i v položkách pod 2008 99 (amla candy, sušené ovoce), nebyl by Y930 správný a musel by se použít Y931</t>
        </is>
      </c>
    </row>
    <row r="53">
      <c r="A53" t="inlineStr">
        <is>
          <t>nebo N853. Dle popisu jde o ovoce v cukru bez živočišných složek → Y930.</t>
        </is>
      </c>
    </row>
    <row r="54">
      <c r="A54" t="inlineStr"/>
    </row>
    <row r="55">
      <c r="A55" s="13" t="inlineStr">
        <is>
          <t>DOPAD PREFERENCE (GSP)</t>
        </is>
      </c>
    </row>
    <row r="56">
      <c r="A56" t="inlineStr">
        <is>
          <t>Výpočet výše je z fakturované hodnoty FOB. Skutečná celní hodnota bude vyšší o dopravu a pojištění</t>
        </is>
      </c>
    </row>
    <row r="57">
      <c r="A57" t="inlineStr">
        <is>
          <t>do místa vstupu do EU (freight collect), takže i clo bude odpovídajícím způsobem vyšší.</t>
        </is>
      </c>
    </row>
    <row r="58">
      <c r="A58" s="14" t="inlineStr">
        <is>
          <t>Preferenční věta (REX INREX3113021227EC010) tedy na této zásilce šetří přibližně 2 225 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2026-09-14T13:16:04Z</dcterms:created>
  <dcterms:modified xsi:type="dcterms:W3CDTF">2026-09-14T13:16:04Z</dcterms:modified>
</cp:coreProperties>
</file>