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etail položek" sheetId="2" state="visible" r:id="rId2"/>
    <sheet name="Dokumenty a poznámk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b val="1"/>
    </font>
    <font>
      <b val="1"/>
      <color rgb="00FFFFFF"/>
    </font>
    <font>
      <b val="1"/>
      <color rgb="00C00000"/>
      <sz val="12"/>
    </font>
    <font>
      <b val="1"/>
      <color rgb="001F4E78"/>
      <sz val="11"/>
    </font>
    <font>
      <b val="1"/>
      <color rgb="00C55A11"/>
    </font>
    <font>
      <b val="1"/>
      <color rgb="00C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9999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2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0" fontId="4" fillId="0" borderId="0" pivotButton="0" quotePrefix="0" xfId="0"/>
    <xf numFmtId="0" fontId="2" fillId="5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6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2" customWidth="1" min="3" max="3"/>
    <col width="10" customWidth="1" min="4" max="4"/>
    <col width="12" customWidth="1" min="5" max="5"/>
    <col width="11" customWidth="1" min="6" max="6"/>
    <col width="14" customWidth="1" min="7" max="7"/>
    <col width="14" customWidth="1" min="8" max="8"/>
    <col width="16" customWidth="1" min="9" max="9"/>
    <col width="18" customWidth="1" min="10" max="10"/>
    <col width="12" customWidth="1" min="11" max="11"/>
    <col width="14" customWidth="1" min="12" max="12"/>
    <col width="60" customWidth="1" min="13" max="13"/>
  </cols>
  <sheetData>
    <row r="1">
      <c r="A1" s="1" t="inlineStr">
        <is>
          <t>SOUHRN HS KÓDŮ – W.P.E. a.s., zásilka CZ26013054 (SWM33-260522)</t>
        </is>
      </c>
    </row>
    <row r="3">
      <c r="A3" s="2" t="inlineStr">
        <is>
          <t>ZÁSILKA / SHIPMENT</t>
        </is>
      </c>
      <c r="C3" t="inlineStr">
        <is>
          <t>W.P.E. a.s. – CZ26013054 (SWM33-260522)</t>
        </is>
      </c>
    </row>
    <row r="4">
      <c r="A4" s="2" t="inlineStr">
        <is>
          <t>Klient / příjemce (CZ)</t>
        </is>
      </c>
      <c r="C4" t="inlineStr">
        <is>
          <t>W.P.E. a.s., Podnikatelská 565, 190 11 Praha, Czechia</t>
        </is>
      </c>
    </row>
    <row r="5">
      <c r="A5" s="2" t="inlineStr">
        <is>
          <t>Odesílatel (sender)</t>
        </is>
      </c>
      <c r="C5" t="inlineStr">
        <is>
          <t>Hengshui Snowate Environmental Technology Co., Ltd., Hengshui, Hebei, CHINA</t>
        </is>
      </c>
    </row>
    <row r="6">
      <c r="A6" s="2" t="inlineStr">
        <is>
          <t>Země původu / COO</t>
        </is>
      </c>
      <c r="C6" t="inlineStr">
        <is>
          <t>Čína (CN) – 'Country of origin: China' (faktura i packing list)</t>
        </is>
      </c>
    </row>
    <row r="7">
      <c r="A7" s="2" t="inlineStr">
        <is>
          <t>Incoterm</t>
        </is>
      </c>
      <c r="C7" t="inlineStr">
        <is>
          <t>CIF Praha (faktura: 'CIF Prague port amount'); B/L: FREIGHT PREPAID</t>
        </is>
      </c>
    </row>
    <row r="8">
      <c r="A8" s="2" t="inlineStr">
        <is>
          <t>Měna</t>
        </is>
      </c>
      <c r="C8" t="inlineStr">
        <is>
          <t>EUR</t>
        </is>
      </c>
    </row>
    <row r="9">
      <c r="A9" s="2" t="inlineStr">
        <is>
          <t>Faktura / Packing list</t>
        </is>
      </c>
      <c r="C9" t="inlineStr">
        <is>
          <t>SWM33-260522 ze dne 5. 6. 2026</t>
        </is>
      </c>
    </row>
    <row r="10">
      <c r="A10" s="2" t="inlineStr">
        <is>
          <t>B/L</t>
        </is>
      </c>
      <c r="C10" t="inlineStr">
        <is>
          <t>YSGSFS260607002FE (Globelink Marine (China) Pte Ltd), telex release / surrendered in Shanghai</t>
        </is>
      </c>
    </row>
    <row r="11">
      <c r="A11" s="2" t="inlineStr">
        <is>
          <t>Plavba</t>
        </is>
      </c>
      <c r="C11" t="inlineStr">
        <is>
          <t>OOCL SWEDEN, voy. 008W – Shanghai → Praha, shipped on board 3. 7. 2026, CFS/CFS, LCL</t>
        </is>
      </c>
    </row>
    <row r="12">
      <c r="A12" s="2" t="inlineStr">
        <is>
          <t>Kontejner / plomba</t>
        </is>
      </c>
      <c r="C12" t="inlineStr">
        <is>
          <t>DFSU7084218 / CX683944 / 40HC</t>
        </is>
      </c>
    </row>
    <row r="13">
      <c r="A13" s="2" t="inlineStr">
        <is>
          <t>Celkem zásilka</t>
        </is>
      </c>
      <c r="C13" t="inlineStr">
        <is>
          <t>4 kolli (2 palety + 2 kartony), 985 kg netto / 1 028,5 kg brutto, 7,13 m³, 87 ks</t>
        </is>
      </c>
    </row>
    <row r="14">
      <c r="A14" s="2" t="inlineStr">
        <is>
          <t>Celní deklarant / dopravce</t>
        </is>
      </c>
      <c r="C14" t="inlineStr">
        <is>
          <t>AUSTROMAR obchodní a dopravní spol. s r.o., EORI CZ60471841</t>
        </is>
      </c>
    </row>
    <row r="15">
      <c r="A15" s="2" t="inlineStr">
        <is>
          <t>Příjezd</t>
        </is>
      </c>
      <c r="C15" t="inlineStr">
        <is>
          <t>A1 Praha, 31. 8. 2026</t>
        </is>
      </c>
    </row>
    <row r="16">
      <c r="A16" s="2" t="inlineStr">
        <is>
          <t>TÚ</t>
        </is>
      </c>
      <c r="C16" t="inlineStr">
        <is>
          <t>6 824 CZK (dle e-mailu S. Hampl) – viz poznámka k celní hodnotě, list 'Dokumenty a poznámky'</t>
        </is>
      </c>
    </row>
    <row r="18" ht="45" customHeight="1">
      <c r="A18" s="3" t="inlineStr">
        <is>
          <t>Odesílatel (Sender)</t>
        </is>
      </c>
      <c r="B18" s="3" t="inlineStr">
        <is>
          <t>HS kód</t>
        </is>
      </c>
      <c r="C18" s="3" t="inlineStr">
        <is>
          <t>Popis zboží (CZ)</t>
        </is>
      </c>
      <c r="D18" s="3" t="inlineStr">
        <is>
          <t>Země původu (COO)</t>
        </is>
      </c>
      <c r="E18" s="3" t="inlineStr">
        <is>
          <t>Množství (ks)</t>
        </is>
      </c>
      <c r="F18" s="3" t="inlineStr">
        <is>
          <t>Počet kolli</t>
        </is>
      </c>
      <c r="G18" s="3" t="inlineStr">
        <is>
          <t>Čistá hmotnost NW (kg)</t>
        </is>
      </c>
      <c r="H18" s="3" t="inlineStr">
        <is>
          <t>Hrubá hmotnost GW (kg)</t>
        </is>
      </c>
      <c r="I18" s="3" t="inlineStr">
        <is>
          <t>Fakturovaná cena zboží (EUR)</t>
        </is>
      </c>
      <c r="J18" s="3" t="inlineStr">
        <is>
          <t>Celní hodnota CIF Praha (EUR)</t>
        </is>
      </c>
      <c r="K18" s="3" t="inlineStr">
        <is>
          <t>Incoterm</t>
        </is>
      </c>
      <c r="L18" s="3" t="inlineStr">
        <is>
          <t>Příznak</t>
        </is>
      </c>
      <c r="M18" s="3" t="inlineStr">
        <is>
          <t>Poznámka / CBAM / Antidumping / TARIC</t>
        </is>
      </c>
    </row>
    <row r="19" ht="62" customHeight="1">
      <c r="A19" s="4" t="inlineStr">
        <is>
          <t>Hengshui Snowate Environmental Technology Co., Ltd., Hengshui, Hebei, CHINA</t>
        </is>
      </c>
      <c r="B19" s="4" t="inlineStr">
        <is>
          <t>8421999090</t>
        </is>
      </c>
      <c r="C19" s="4" t="inlineStr">
        <is>
          <t>MBR membrány – ponorné vyztužené moduly PVDF s dutými vlákny SWB1V7924-20 (48 cm × 200 cm, 0,1 µm, 20 m² membránové plochy, závitové připojení); části a součásti zařízení k filtrování/čištění kapalin</t>
        </is>
      </c>
      <c r="D19" s="4" t="inlineStr">
        <is>
          <t>CN</t>
        </is>
      </c>
      <c r="E19" s="5" t="n">
        <v>50</v>
      </c>
      <c r="F19" s="5" t="n">
        <v>1</v>
      </c>
      <c r="G19" s="6" t="n">
        <v>500</v>
      </c>
      <c r="H19" s="6" t="n">
        <v>525</v>
      </c>
      <c r="I19" s="6" t="n">
        <v>9195</v>
      </c>
      <c r="J19" s="6" t="n">
        <v>9542.870000000001</v>
      </c>
      <c r="K19" s="4" t="inlineStr">
        <is>
          <t>CIF Praha</t>
        </is>
      </c>
      <c r="L19" s="4" t="inlineStr"/>
      <c r="M19" s="4" t="inlineStr">
        <is>
          <t>Bez preference (CN) – plné třetizemní clo dle TARIC. CBAM se nevztahuje (kap. 84 není v příloze I CBAM). Antidumping nezjištěn – ověřit v TARIC.</t>
        </is>
      </c>
    </row>
    <row r="20" ht="62" customHeight="1">
      <c r="A20" s="4" t="inlineStr">
        <is>
          <t>Hengshui Snowate Environmental Technology Co., Ltd., Hengshui, Hebei, CHINA</t>
        </is>
      </c>
      <c r="B20" s="4" t="inlineStr">
        <is>
          <t>8413502090</t>
        </is>
      </c>
      <c r="C20" s="4" t="inlineStr">
        <is>
          <t>Dávkovací čerpadla (objemová čerpadla s vratným pohybem) – GM 44 s hlavou SS316L, GM 44 s hlavou PVDF, GM 170 s hlavou PVDF; 380 V/50 Hz, 3fáz. motor s frekvenčním měničem; včetně náhradních dílů (membrána + sací a výtlačný ventil)</t>
        </is>
      </c>
      <c r="D20" s="4" t="inlineStr">
        <is>
          <t>CN</t>
        </is>
      </c>
      <c r="E20" s="5" t="n">
        <v>28</v>
      </c>
      <c r="F20" s="5" t="n">
        <v>1</v>
      </c>
      <c r="G20" s="6" t="n">
        <v>480</v>
      </c>
      <c r="H20" s="6" t="n">
        <v>496</v>
      </c>
      <c r="I20" s="6" t="n">
        <v>9184</v>
      </c>
      <c r="J20" s="6" t="n">
        <v>9531.459999999999</v>
      </c>
      <c r="K20" s="4" t="inlineStr">
        <is>
          <t>CIF Praha</t>
        </is>
      </c>
      <c r="L20" s="4" t="inlineStr"/>
      <c r="M20" s="4" t="inlineStr">
        <is>
          <t>Bez preference (CN) – plné třetizemní clo dle TARIC. Množství = 22 ks čerpadel + 6 sad ND. CBAM se nevztahuje. Antidumping nezjištěn – ověřit v TARIC.</t>
        </is>
      </c>
    </row>
    <row r="21" ht="62" customHeight="1">
      <c r="A21" s="7" t="inlineStr">
        <is>
          <t>Hengshui Snowate Environmental Technology Co., Ltd., Hengshui, Hebei, CHINA</t>
        </is>
      </c>
      <c r="B21" s="7" t="inlineStr">
        <is>
          <t>NUTNO POTVRDIT</t>
        </is>
      </c>
      <c r="C21" s="7" t="inlineStr">
        <is>
          <t>Příslušenství elektrody pro SUP-PH-7001 – PVC trubky se závitem (1 m), držák trubky, kryt svorkovnice</t>
        </is>
      </c>
      <c r="D21" s="7" t="inlineStr">
        <is>
          <t>CN</t>
        </is>
      </c>
      <c r="E21" s="8" t="n">
        <v>9</v>
      </c>
      <c r="F21" s="8" t="n">
        <v>2</v>
      </c>
      <c r="G21" s="9" t="n">
        <v>5</v>
      </c>
      <c r="H21" s="9" t="n">
        <v>7.5</v>
      </c>
      <c r="I21" s="9" t="n">
        <v>4.5</v>
      </c>
      <c r="J21" s="9" t="n">
        <v>4.67</v>
      </c>
      <c r="K21" s="7" t="inlineStr">
        <is>
          <t>CIF Praha</t>
        </is>
      </c>
      <c r="L21" s="7" t="inlineStr">
        <is>
          <t>K DOŘEŠENÍ</t>
        </is>
      </c>
      <c r="M21" s="7" t="inlineStr">
        <is>
          <t>HS kód NEBYL v e-mailu od S. Hampla uveden (uvedeny jen 8421999090 a 8413502090) ani na B/L. Návrh: 9026909000 / 9027900000 (části a příslušenství měřicích přístrojů) nebo 3917 (plastové trouby). POTVRDIT se zákazníkem před podáním JSD. Hodnota pouze 4,50 EUR.</t>
        </is>
      </c>
    </row>
    <row r="22">
      <c r="A22" s="10" t="inlineStr">
        <is>
          <t>CELKEM</t>
        </is>
      </c>
      <c r="B22" s="10" t="n"/>
      <c r="C22" s="10" t="n"/>
      <c r="D22" s="10" t="n"/>
      <c r="E22" s="11" t="n">
        <v>87</v>
      </c>
      <c r="F22" s="11" t="n">
        <v>4</v>
      </c>
      <c r="G22" s="12" t="n">
        <v>985</v>
      </c>
      <c r="H22" s="12" t="n">
        <v>1028.5</v>
      </c>
      <c r="I22" s="12" t="n">
        <v>18383.5</v>
      </c>
      <c r="J22" s="12" t="n">
        <v>19079</v>
      </c>
      <c r="K22" s="10" t="n"/>
      <c r="L22" s="10" t="n"/>
      <c r="M22" s="10" t="n"/>
    </row>
    <row r="24">
      <c r="A24" s="13" t="inlineStr">
        <is>
          <t>KLÍČOVÁ UPOZORNĚNÍ</t>
        </is>
      </c>
    </row>
    <row r="25" ht="32" customHeight="1">
      <c r="A25" s="14" t="inlineStr">
        <is>
          <t>🔵 PREFERENČNÍ PŮVOD (COO)</t>
        </is>
      </c>
      <c r="C25" s="15" t="inlineStr">
        <is>
          <t>V dokumentech NENÍ žádná preferenční věta. Původ Čína – EU nemá s ČLR preferenční dohodu. → Uplatní se PLNÉ třetizemní clo (erga omnes) dle TARIC. Preferenci nelze nárokovat.</t>
        </is>
      </c>
    </row>
    <row r="26" ht="32" customHeight="1">
      <c r="A26" s="16" t="inlineStr">
        <is>
          <t>🟡 CBAM</t>
        </is>
      </c>
      <c r="C26" s="15" t="inlineStr">
        <is>
          <t>NEVZTAHUJE SE. HS 8421 a 8413 (kap. 84) nejsou zbožím přílohy I nařízení CBAM (CBAM = kap. 25, 28, 31, 72, 73, 76 a 2716). POZOR: příjemce W.P.E. a.s. NENÍ v registru reference/CBAM_receivers_CZ.xlsx – viz list 'Dokumenty a poznámky'.</t>
        </is>
      </c>
    </row>
    <row r="27" ht="32" customHeight="1">
      <c r="A27" s="17" t="inlineStr">
        <is>
          <t>🔴 ANTIDUMPING</t>
        </is>
      </c>
      <c r="C27" s="15" t="inlineStr">
        <is>
          <t>Pro HS 8421999090 a 8413502090 (původ CN) nebylo antidumpingové opatření zjištěno. Ověřit v TARIC k datu propuštění.</t>
        </is>
      </c>
    </row>
    <row r="28" ht="32" customHeight="1">
      <c r="A28" s="16" t="inlineStr">
        <is>
          <t>🟠 HS KÓD – POLOŽKA 5</t>
        </is>
      </c>
      <c r="C28" s="15" t="inlineStr">
        <is>
          <t>Electrode Accessories (4,50 EUR) nemá přidělený HS kód – nutno potvrdit se zákazníkem.</t>
        </is>
      </c>
    </row>
  </sheetData>
  <mergeCells count="19">
    <mergeCell ref="C3:M3"/>
    <mergeCell ref="C6:M6"/>
    <mergeCell ref="C15:M15"/>
    <mergeCell ref="C5:M5"/>
    <mergeCell ref="C14:M14"/>
    <mergeCell ref="C4:M4"/>
    <mergeCell ref="C26:M26"/>
    <mergeCell ref="C25:M25"/>
    <mergeCell ref="C10:M10"/>
    <mergeCell ref="C16:M16"/>
    <mergeCell ref="C9:M9"/>
    <mergeCell ref="A1:M1"/>
    <mergeCell ref="C12:M12"/>
    <mergeCell ref="C11:M11"/>
    <mergeCell ref="C27:M27"/>
    <mergeCell ref="C8:M8"/>
    <mergeCell ref="C7:M7"/>
    <mergeCell ref="C28:M28"/>
    <mergeCell ref="C13:M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55" customWidth="1" min="3" max="3"/>
    <col width="16" customWidth="1" min="4" max="4"/>
    <col width="12" customWidth="1" min="5" max="5"/>
    <col width="14" customWidth="1" min="6" max="6"/>
    <col width="14" customWidth="1" min="7" max="7"/>
    <col width="8" customWidth="1" min="8" max="8"/>
    <col width="11" customWidth="1" min="9" max="9"/>
    <col width="11" customWidth="1" min="10" max="10"/>
    <col width="11" customWidth="1" min="11" max="11"/>
  </cols>
  <sheetData>
    <row r="1" ht="40" customHeight="1">
      <c r="A1" s="3" t="inlineStr">
        <is>
          <t>Pol. faktury</t>
        </is>
      </c>
      <c r="B1" s="3" t="inlineStr">
        <is>
          <t>Popis (EN, dle faktury)</t>
        </is>
      </c>
      <c r="C1" s="3" t="inlineStr">
        <is>
          <t>Popis (CZ)</t>
        </is>
      </c>
      <c r="D1" s="3" t="inlineStr">
        <is>
          <t>HS kód</t>
        </is>
      </c>
      <c r="E1" s="3" t="inlineStr">
        <is>
          <t>Množství (ks)</t>
        </is>
      </c>
      <c r="F1" s="3" t="inlineStr">
        <is>
          <t>Jedn. cena (EUR)</t>
        </is>
      </c>
      <c r="G1" s="3" t="inlineStr">
        <is>
          <t>Celkem (EUR)</t>
        </is>
      </c>
      <c r="H1" s="3" t="inlineStr">
        <is>
          <t>Kolli</t>
        </is>
      </c>
      <c r="I1" s="3" t="inlineStr">
        <is>
          <t>NW (kg)</t>
        </is>
      </c>
      <c r="J1" s="3" t="inlineStr">
        <is>
          <t>GW (kg)</t>
        </is>
      </c>
      <c r="K1" s="3" t="inlineStr">
        <is>
          <t>Objem (m³)</t>
        </is>
      </c>
    </row>
    <row r="2" ht="46" customHeight="1">
      <c r="A2" s="4" t="n">
        <v>1</v>
      </c>
      <c r="B2" s="4" t="inlineStr">
        <is>
          <t>MBR Membrane SWB1V7924-20, Submerged Reinforced PVDF Hollow Fiber MBR Module, 48 cm Width, 200 cm Height, 0.1 μm, 20 m2 Membrane Area, Thread Connection</t>
        </is>
      </c>
      <c r="C2" s="4" t="inlineStr">
        <is>
          <t>MBR membrána SWB1V7924-20, ponorný vyztužený PVDF modul s dutými vlákny</t>
        </is>
      </c>
      <c r="D2" s="4" t="inlineStr">
        <is>
          <t>8421999090</t>
        </is>
      </c>
      <c r="E2" s="4" t="n">
        <v>50</v>
      </c>
      <c r="F2" s="6" t="n">
        <v>183.9</v>
      </c>
      <c r="G2" s="6" t="n">
        <v>9195</v>
      </c>
      <c r="H2" s="4" t="n">
        <v>1</v>
      </c>
      <c r="I2" s="6" t="n">
        <v>500</v>
      </c>
      <c r="J2" s="6" t="n">
        <v>525</v>
      </c>
      <c r="K2" s="6" t="n">
        <v>5.17</v>
      </c>
    </row>
    <row r="3" ht="46" customHeight="1">
      <c r="A3" s="4" t="n">
        <v>2</v>
      </c>
      <c r="B3" s="4" t="inlineStr">
        <is>
          <t>Dosing pump GM 44 with SS316L head, 380V/50HZ 3-phase motor for control with frequency converter, variable frequency motor</t>
        </is>
      </c>
      <c r="C3" s="4" t="inlineStr">
        <is>
          <t>Dávkovací čerpadlo GM 44 s hlavou SS316L, 380 V/50 Hz, 3fáz. motor s frekvenčním měničem</t>
        </is>
      </c>
      <c r="D3" s="4" t="inlineStr">
        <is>
          <t>8413502090</t>
        </is>
      </c>
      <c r="E3" s="4" t="n">
        <v>8</v>
      </c>
      <c r="F3" s="6" t="n">
        <v>407.2</v>
      </c>
      <c r="G3" s="6" t="n">
        <v>3257.6</v>
      </c>
      <c r="H3" s="4" t="n"/>
      <c r="I3" s="6" t="n"/>
      <c r="J3" s="6" t="n"/>
      <c r="K3" s="6" t="n"/>
    </row>
    <row r="4" ht="46" customHeight="1">
      <c r="A4" s="4" t="n">
        <v>2</v>
      </c>
      <c r="B4" s="4" t="inlineStr">
        <is>
          <t>parts (diaphragm + inlet valve + outlet valve)</t>
        </is>
      </c>
      <c r="C4" s="4" t="inlineStr">
        <is>
          <t>náhradní díly (membrána + sací ventil + výtlačný ventil)</t>
        </is>
      </c>
      <c r="D4" s="4" t="inlineStr">
        <is>
          <t>8413502090</t>
        </is>
      </c>
      <c r="E4" s="4" t="n">
        <v>2</v>
      </c>
      <c r="F4" s="6" t="n">
        <v>134.5</v>
      </c>
      <c r="G4" s="6" t="n">
        <v>269</v>
      </c>
      <c r="H4" s="4" t="n"/>
      <c r="I4" s="6" t="n"/>
      <c r="J4" s="6" t="n"/>
      <c r="K4" s="6" t="n"/>
    </row>
    <row r="5" ht="46" customHeight="1">
      <c r="A5" s="4" t="n">
        <v>3</v>
      </c>
      <c r="B5" s="4" t="inlineStr">
        <is>
          <t>Dosing pump GM 44 with PVDF head, 380V/50HZ 3-phase motor for control with frequency converter, variable frequency motor</t>
        </is>
      </c>
      <c r="C5" s="4" t="inlineStr">
        <is>
          <t>Dávkovací čerpadlo GM 44 s hlavou PVDF, 380 V/50 Hz, 3fáz. motor s frekvenčním měničem</t>
        </is>
      </c>
      <c r="D5" s="4" t="inlineStr">
        <is>
          <t>8413502090</t>
        </is>
      </c>
      <c r="E5" s="4" t="n">
        <v>7</v>
      </c>
      <c r="F5" s="6" t="n">
        <v>373</v>
      </c>
      <c r="G5" s="6" t="n">
        <v>2611</v>
      </c>
      <c r="H5" s="4" t="n"/>
      <c r="I5" s="6" t="n"/>
      <c r="J5" s="6" t="n"/>
      <c r="K5" s="6" t="n"/>
    </row>
    <row r="6" ht="46" customHeight="1">
      <c r="A6" s="4" t="n">
        <v>3</v>
      </c>
      <c r="B6" s="4" t="inlineStr">
        <is>
          <t>diaphragm and inlet valve + outlet valve</t>
        </is>
      </c>
      <c r="C6" s="4" t="inlineStr">
        <is>
          <t>membrána + sací ventil + výtlačný ventil</t>
        </is>
      </c>
      <c r="D6" s="4" t="inlineStr">
        <is>
          <t>8413502090</t>
        </is>
      </c>
      <c r="E6" s="4" t="n">
        <v>2</v>
      </c>
      <c r="F6" s="6" t="n">
        <v>105.9</v>
      </c>
      <c r="G6" s="6" t="n">
        <v>211.8</v>
      </c>
      <c r="H6" s="4" t="n"/>
      <c r="I6" s="6" t="n"/>
      <c r="J6" s="6" t="n"/>
      <c r="K6" s="6" t="n"/>
    </row>
    <row r="7" ht="46" customHeight="1">
      <c r="A7" s="4" t="n">
        <v>4</v>
      </c>
      <c r="B7" s="4" t="inlineStr">
        <is>
          <t>Dosing pump GM 170 with PVDF head, 380V/50HZ 3-phase motor for control with frequency converter, variable frequency motor</t>
        </is>
      </c>
      <c r="C7" s="4" t="inlineStr">
        <is>
          <t>Dávkovací čerpadlo GM 170 s hlavou PVDF, 380 V/50 Hz, 3fáz. motor s frekvenčním měničem</t>
        </is>
      </c>
      <c r="D7" s="4" t="inlineStr">
        <is>
          <t>8413502090</t>
        </is>
      </c>
      <c r="E7" s="4" t="n">
        <v>7</v>
      </c>
      <c r="F7" s="6" t="n">
        <v>373</v>
      </c>
      <c r="G7" s="6" t="n">
        <v>2611</v>
      </c>
      <c r="H7" s="4" t="n"/>
      <c r="I7" s="6" t="n"/>
      <c r="J7" s="6" t="n"/>
      <c r="K7" s="6" t="n"/>
    </row>
    <row r="8" ht="46" customHeight="1">
      <c r="A8" s="4" t="n">
        <v>4</v>
      </c>
      <c r="B8" s="4" t="inlineStr">
        <is>
          <t>diaphragm and inlet valve + outlet valve</t>
        </is>
      </c>
      <c r="C8" s="4" t="inlineStr">
        <is>
          <t>membrána + sací ventil + výtlačný ventil</t>
        </is>
      </c>
      <c r="D8" s="4" t="inlineStr">
        <is>
          <t>8413502090</t>
        </is>
      </c>
      <c r="E8" s="4" t="n">
        <v>2</v>
      </c>
      <c r="F8" s="6" t="n">
        <v>111.8</v>
      </c>
      <c r="G8" s="6" t="n">
        <v>223.6</v>
      </c>
      <c r="H8" s="4" t="n">
        <v>1</v>
      </c>
      <c r="I8" s="6" t="n">
        <v>480</v>
      </c>
      <c r="J8" s="6" t="n">
        <v>496</v>
      </c>
      <c r="K8" s="6" t="n">
        <v>1.92</v>
      </c>
    </row>
    <row r="9" ht="46" customHeight="1">
      <c r="A9" s="7" t="n">
        <v>5</v>
      </c>
      <c r="B9" s="7" t="inlineStr">
        <is>
          <t>Electrode Accessories for SUP-PH-7001: 1-meter-long threaded PVC pipes, a pipe bracket, and a terminal box cover</t>
        </is>
      </c>
      <c r="C9" s="7" t="inlineStr">
        <is>
          <t>Příslušenství elektrody pro SUP-PH-7001: PVC trubky se závitem (1 m), držák trubky, kryt svorkovnice</t>
        </is>
      </c>
      <c r="D9" s="7" t="inlineStr">
        <is>
          <t>NUTNO POTVRDIT</t>
        </is>
      </c>
      <c r="E9" s="7" t="n">
        <v>9</v>
      </c>
      <c r="F9" s="9" t="n">
        <v>0.5</v>
      </c>
      <c r="G9" s="9" t="n">
        <v>4.5</v>
      </c>
      <c r="H9" s="7" t="n">
        <v>2</v>
      </c>
      <c r="I9" s="9" t="n">
        <v>5</v>
      </c>
      <c r="J9" s="9" t="n">
        <v>7.5</v>
      </c>
      <c r="K9" s="9" t="n">
        <v>0.04</v>
      </c>
    </row>
    <row r="10">
      <c r="A10" s="4" t="inlineStr"/>
      <c r="B10" s="4" t="inlineStr">
        <is>
          <t>Handling cost</t>
        </is>
      </c>
      <c r="C10" s="4" t="inlineStr">
        <is>
          <t>Manipulační poplatek</t>
        </is>
      </c>
      <c r="D10" s="4" t="inlineStr"/>
      <c r="E10" s="4" t="n"/>
      <c r="F10" s="4" t="n"/>
      <c r="G10" s="6" t="n">
        <v>45.5</v>
      </c>
      <c r="H10" s="4" t="n"/>
      <c r="I10" s="4" t="n"/>
      <c r="J10" s="4" t="n"/>
      <c r="K10" s="4" t="n"/>
    </row>
    <row r="11">
      <c r="A11" s="4" t="inlineStr"/>
      <c r="B11" s="4" t="inlineStr">
        <is>
          <t>Delivery cost to Shanghai</t>
        </is>
      </c>
      <c r="C11" s="4" t="inlineStr">
        <is>
          <t>Doprava do Šanghaje (vnitrozemská přeprava v ČLR)</t>
        </is>
      </c>
      <c r="D11" s="4" t="inlineStr"/>
      <c r="E11" s="4" t="n"/>
      <c r="F11" s="4" t="n"/>
      <c r="G11" s="6" t="n">
        <v>450</v>
      </c>
      <c r="H11" s="4" t="n"/>
      <c r="I11" s="4" t="n"/>
      <c r="J11" s="4" t="n"/>
      <c r="K11" s="4" t="n"/>
    </row>
    <row r="12">
      <c r="A12" s="4" t="inlineStr"/>
      <c r="B12" s="4" t="inlineStr">
        <is>
          <t>Shipping freight</t>
        </is>
      </c>
      <c r="C12" s="4" t="inlineStr">
        <is>
          <t>Námořní přepravné</t>
        </is>
      </c>
      <c r="D12" s="4" t="inlineStr"/>
      <c r="E12" s="4" t="n"/>
      <c r="F12" s="4" t="n"/>
      <c r="G12" s="6" t="n">
        <v>200</v>
      </c>
      <c r="H12" s="4" t="n"/>
      <c r="I12" s="4" t="n"/>
      <c r="J12" s="4" t="n"/>
      <c r="K12" s="4" t="n"/>
    </row>
    <row r="13">
      <c r="A13" s="4" t="inlineStr"/>
      <c r="B13" s="4" t="inlineStr">
        <is>
          <t>Rounding by seller (invoice states EUR 19,079.00)</t>
        </is>
      </c>
      <c r="C13" s="4" t="inlineStr">
        <is>
          <t>Zaokrouhlení prodejcem (faktura uvádí 19 079,00 EUR)</t>
        </is>
      </c>
      <c r="D13" s="4" t="inlineStr"/>
      <c r="E13" s="4" t="n"/>
      <c r="F13" s="4" t="n"/>
      <c r="G13" s="6" t="n">
        <v>0.5</v>
      </c>
      <c r="H13" s="4" t="n"/>
      <c r="I13" s="4" t="n"/>
      <c r="J13" s="4" t="n"/>
      <c r="K13" s="4" t="n"/>
    </row>
    <row r="14">
      <c r="A14" s="10" t="n"/>
      <c r="B14" s="10" t="inlineStr">
        <is>
          <t>CELKEM CIF PRAHA (dle faktury)</t>
        </is>
      </c>
      <c r="C14" s="10" t="n"/>
      <c r="D14" s="10" t="n"/>
      <c r="E14" s="11" t="n">
        <v>87</v>
      </c>
      <c r="F14" s="10" t="n"/>
      <c r="G14" s="12" t="n">
        <v>19079</v>
      </c>
      <c r="H14" s="10" t="n">
        <v>4</v>
      </c>
      <c r="I14" s="12" t="n">
        <v>985</v>
      </c>
      <c r="J14" s="12" t="n">
        <v>1028.5</v>
      </c>
      <c r="K14" s="12" t="n">
        <v>7.13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>
        <f>== PŘIJATÉ DOKUMENTY (stav 26. 8. 2026) ===</f>
        <v/>
      </c>
    </row>
    <row r="2">
      <c r="A2" t="inlineStr">
        <is>
          <t>✓ Commercial Invoice SWM33-260522 (5. 6. 2026) – Hengshui Snowate → W.P.E. a.s., CIF Prague 19 079,00 EUR</t>
        </is>
      </c>
    </row>
    <row r="3">
      <c r="A3" t="inlineStr">
        <is>
          <t>✓ Packing List SWM33-260522 (5. 6. 2026) – 87 ks / 4 kolli / 985 kg NW / 1 028,5 kg GW / 7,13 m³</t>
        </is>
      </c>
    </row>
    <row r="4">
      <c r="A4" t="inlineStr">
        <is>
          <t>✓ Loading Info SWM33-260522 (nakládka 18. 6. 2026) – fotodokumentace zboží a značek, shodné hmotnosti</t>
        </is>
      </c>
    </row>
    <row r="5">
      <c r="A5" t="inlineStr">
        <is>
          <t>✓ Bill of Lading YSGSFS260607002FE – Globelink Marine (China) Pte Ltd, COPY NOT NEGOTIABLE</t>
        </is>
      </c>
    </row>
    <row r="6">
      <c r="A6" t="inlineStr">
        <is>
          <t>✓ Telex release B/L – SURRENDERED IN SHANGHAI, telex release potvrzen (originál B/L se nevyžaduje)</t>
        </is>
      </c>
    </row>
    <row r="7">
      <c r="A7" s="19" t="inlineStr">
        <is>
          <t>✗ CHYBÍ: plná moc k zastoupení (přímé/nepřímé) W.P.E. a.s. → Maurice Ward &amp; Co. – doplnit před podáním JSD</t>
        </is>
      </c>
    </row>
    <row r="8">
      <c r="A8" s="19" t="inlineStr">
        <is>
          <t>✗ CHYBÍ: prohlášení k obalům (§ 15a zákona o obalech) – ověřit, zda je pro W.P.E. a.s. již na spisu</t>
        </is>
      </c>
    </row>
    <row r="9">
      <c r="A9" t="inlineStr"/>
    </row>
    <row r="10">
      <c r="A10" s="18">
        <f>== HS KÓDY – ZDROJ ===</f>
        <v/>
      </c>
    </row>
    <row r="11">
      <c r="A11" t="inlineStr">
        <is>
          <t>HS kódy zadal Samuel Hampl (customs.praha@mauriceward.com) e-mailem, ref. CZ26013054 / 31. 8. 2026:</t>
        </is>
      </c>
    </row>
    <row r="12">
      <c r="A12" t="inlineStr">
        <is>
          <t xml:space="preserve">   • MBR membrane (MBR membrány): 8421999090</t>
        </is>
      </c>
    </row>
    <row r="13">
      <c r="A13" t="inlineStr">
        <is>
          <t xml:space="preserve">   • Dosing pump (dávkovací čerpadla): 8413502090</t>
        </is>
      </c>
    </row>
    <row r="14">
      <c r="A14" t="inlineStr">
        <is>
          <t>Oba kódy jsou shodně uvedeny i na B/L YSGSFS260607002FE (description of goods). Zdroje se shodují.</t>
        </is>
      </c>
    </row>
    <row r="15">
      <c r="A15" t="inlineStr"/>
    </row>
    <row r="16">
      <c r="A16" s="18">
        <f>== ⚠ POLOŽKA 5 – ELECTRODE ACCESSORIES: HS KÓD CHYBÍ ===</f>
        <v/>
      </c>
    </row>
    <row r="17">
      <c r="A17" t="inlineStr">
        <is>
          <t>Faktura obsahuje 5. položku: 'Electrode Accessories for SUP-PH-7001' – 9 ks, 4,50 EUR, 2 kartony, 5 kg NW / 7,5 kg GW.</t>
        </is>
      </c>
    </row>
    <row r="18">
      <c r="A18" t="inlineStr">
        <is>
          <t>Tato položka NENÍ pokryta e-mailem (uvedeny pouze 2 HS kódy) ani popisem zboží na B/L.</t>
        </is>
      </c>
    </row>
    <row r="19">
      <c r="A19" t="inlineStr">
        <is>
          <t>Jde o montážní příslušenství k pH elektrodě: PVC trubky se závitem (1 m), držák trubky, kryt svorkovnice.</t>
        </is>
      </c>
    </row>
    <row r="20">
      <c r="A20" s="20" t="inlineStr">
        <is>
          <t>→ NUTNO POTVRDIT HS KÓD SE ZÁKAZNÍKEM / SAMUELEM HAMPLEM PŘED PODÁNÍM JSD.</t>
        </is>
      </c>
    </row>
    <row r="21">
      <c r="A21" t="inlineStr">
        <is>
          <t xml:space="preserve">   Možnosti: 9026909000 nebo 9027900000 (části a příslušenství měřicích/kontrolních přístrojů),</t>
        </is>
      </c>
    </row>
    <row r="22">
      <c r="A22" t="inlineStr">
        <is>
          <t xml:space="preserve">   případně 3917 (plastové trouby a hadice). Hodnota je marginální (4,50 EUR), ale položka musí být deklarována.</t>
        </is>
      </c>
    </row>
    <row r="23">
      <c r="A23" t="inlineStr"/>
    </row>
    <row r="24">
      <c r="A24" s="18">
        <f>== ⚠ PREFERENČNÍ PŮVOD (COO) – KONTROLA PROVEDENA ===</f>
        <v/>
      </c>
    </row>
    <row r="25">
      <c r="A25" t="inlineStr">
        <is>
          <t>V žádném z dodaných dokumentů (faktura, packing list, loading info, B/L, telex release) NENÍ preferenční věta.</t>
        </is>
      </c>
    </row>
    <row r="26">
      <c r="A26" t="inlineStr">
        <is>
          <t>Deklarovaný původ: Čína – 'Country of origin: China' (faktura i packing list), 'MADE IN CHINA SWM33' (značky, B/L).</t>
        </is>
      </c>
    </row>
    <row r="27">
      <c r="A27" t="inlineStr">
        <is>
          <t>EU nemá s ČLR preferenční dohodu → preferenční sazební zacházení NELZE uplatnit.</t>
        </is>
      </c>
    </row>
    <row r="28">
      <c r="A28" t="inlineStr">
        <is>
          <t>→ Uplatní se PLNÉ třetizemní clo (erga omnes) dle TARIC pro oba HS kódy. Sazbu ověřit v TARIC k datu propuštění.</t>
        </is>
      </c>
    </row>
    <row r="29">
      <c r="A29" t="inlineStr"/>
    </row>
    <row r="30">
      <c r="A30" s="18">
        <f>== CBAM ===</f>
        <v/>
      </c>
    </row>
    <row r="31">
      <c r="A31" t="inlineStr">
        <is>
          <t>CBAM se na tuto zásilku NEVZTAHUJE.</t>
        </is>
      </c>
    </row>
    <row r="32">
      <c r="A32" t="inlineStr">
        <is>
          <t>HS 8421999090 a 8413502090 spadají do kapitoly 84 (stroje a mechanická zařízení), která NENÍ v příloze I nařízení CBAM.</t>
        </is>
      </c>
    </row>
    <row r="33">
      <c r="A33" t="inlineStr">
        <is>
          <t>CBAM zboží = kapitoly 25 (cement), 28/2804 10 (vodík), 31 (hnojiva), 72/73 (železo a ocel), 76 (hliník), 2716 (elektřina).</t>
        </is>
      </c>
    </row>
    <row r="34">
      <c r="A34" t="inlineStr">
        <is>
          <t>→ Do JSD se kód Y (Y128 / Y238 / Y137 / Y237) neuvádí.</t>
        </is>
      </c>
    </row>
    <row r="35">
      <c r="A35" t="inlineStr"/>
    </row>
    <row r="36">
      <c r="A36" s="20" t="inlineStr">
        <is>
          <t>⚠ UPOZORNĚNÍ K REGISTRU: Příjemce W.P.E. a.s. (Podnikatelská 565, 190 11 Praha) NENÍ uveden</t>
        </is>
      </c>
    </row>
    <row r="37">
      <c r="A37" t="inlineStr">
        <is>
          <t>v souboru reference/CBAM_receivers_CZ.xlsx (list List1) – ani ve sloupci 'Firma', ani podle EORI,</t>
        </is>
      </c>
    </row>
    <row r="38">
      <c r="A38" t="inlineStr">
        <is>
          <t>ani mezi firmami mimo EU využívajícími náš sdílený účet CBAM-CZ-2025-QGM67089385721.</t>
        </is>
      </c>
    </row>
    <row r="39">
      <c r="A39" t="inlineStr">
        <is>
          <t>Pro tuto zásilku to nevadí (žádné CBAM zboží), ale doporučuji firmu prověřit a doplnit do registru</t>
        </is>
      </c>
    </row>
    <row r="40">
      <c r="A40" t="inlineStr">
        <is>
          <t>pro případ budoucích zásilek s CBAM zbožím.</t>
        </is>
      </c>
    </row>
    <row r="41">
      <c r="A41" t="inlineStr"/>
    </row>
    <row r="42">
      <c r="A42" s="18">
        <f>== ANTIDUMPING ===</f>
        <v/>
      </c>
    </row>
    <row r="43">
      <c r="A43" t="inlineStr">
        <is>
          <t>Pro HS 8421999090 (části filtračních/čisticích zařízení) ani 8413502090 (objemová čerpadla s vratným pohybem)</t>
        </is>
      </c>
    </row>
    <row r="44">
      <c r="A44" t="inlineStr">
        <is>
          <t>s původem v ČLR nebylo antidumpingové opatření zjištěno.</t>
        </is>
      </c>
    </row>
    <row r="45">
      <c r="A45" t="inlineStr">
        <is>
          <t>→ Ověřit v TARIC k datu propuštění (opatření se mění).</t>
        </is>
      </c>
    </row>
    <row r="46">
      <c r="A46" t="inlineStr"/>
    </row>
    <row r="47">
      <c r="A47" s="18">
        <f>== OBCHODNÍ SLEVA ===</f>
        <v/>
      </c>
    </row>
    <row r="48">
      <c r="A48" t="inlineStr">
        <is>
          <t>Faktura SWM33-260522 NEOBSAHUJE žádnou obchodní slevu. Proporcionální rozpuštění slevy se neuplatní.</t>
        </is>
      </c>
    </row>
    <row r="49">
      <c r="A49" t="inlineStr"/>
    </row>
    <row r="50">
      <c r="A50" s="18">
        <f>== INCOTERM ===</f>
        <v/>
      </c>
    </row>
    <row r="51">
      <c r="A51" t="inlineStr">
        <is>
          <t>Incoterm: CIF Praha (CIF Prague).</t>
        </is>
      </c>
    </row>
    <row r="52">
      <c r="A52" t="inlineStr">
        <is>
          <t>Zdroj: faktura, řádek 'CIF Prague port amount €19,079.00'. B/L: FREIGHT PREPAID, port of discharge PRAGUE / PRAHA,</t>
        </is>
      </c>
    </row>
    <row r="53">
      <c r="A53" t="inlineStr">
        <is>
          <t>final destination PRAGUE / PRAHA. Poznámka na B/L: 'LCL SERVICE CHARGE &amp; DESTINATION CHARGE FOR ACCOUNT OF CNEE'.</t>
        </is>
      </c>
    </row>
    <row r="54">
      <c r="A54" t="inlineStr">
        <is>
          <t>Pozn.: CIF je námořní doložka, ale jmenované místo je vnitrozemská Praha – tak je uvedeno na faktuře.</t>
        </is>
      </c>
    </row>
    <row r="55">
      <c r="A55" t="inlineStr"/>
    </row>
    <row r="56">
      <c r="A56" s="18">
        <f>== CELNÍ HODNOTA – VÝPOČET ===</f>
        <v/>
      </c>
    </row>
    <row r="57">
      <c r="A57" t="inlineStr">
        <is>
          <t>Fakturovaná cena zboží (součet položek 1–5):                     18 383,50 EUR</t>
        </is>
      </c>
    </row>
    <row r="58">
      <c r="A58" t="inlineStr">
        <is>
          <t>+ Handling cost:                                                       45,50 EUR</t>
        </is>
      </c>
    </row>
    <row r="59">
      <c r="A59" t="inlineStr">
        <is>
          <t>+ Delivery cost to Shanghai (vnitrozemská přeprava v ČLR):            450,00 EUR</t>
        </is>
      </c>
    </row>
    <row r="60">
      <c r="A60" t="inlineStr">
        <is>
          <t>+ Shipping freight (námořní přepravné):                               200,00 EUR</t>
        </is>
      </c>
    </row>
    <row r="61">
      <c r="A61" t="inlineStr">
        <is>
          <t>+ Zaokrouhlení prodejcem:                                               0,50 EUR</t>
        </is>
      </c>
    </row>
    <row r="62">
      <c r="A62">
        <f> CELKEM CIF PRAHA (dle faktury):                                  19 079,00 EUR</f>
        <v/>
      </c>
    </row>
    <row r="63">
      <c r="A63" t="inlineStr"/>
    </row>
    <row r="64">
      <c r="A64" t="inlineStr">
        <is>
          <t>Vedlejší náklady (695,50 EUR) rozpuštěny PROPORCIONÁLNĚ podle hodnoty zboží (faktor 1,0378313).</t>
        </is>
      </c>
    </row>
    <row r="65">
      <c r="A65" s="20" t="inlineStr">
        <is>
          <t>⚠ Součet položek faktury je 19 078,50 EUR, faktura však uvádí celkem 19 079,00 EUR (rozdíl 0,50 EUR –</t>
        </is>
      </c>
    </row>
    <row r="66">
      <c r="A66" t="inlineStr">
        <is>
          <t xml:space="preserve">   zaokrouhlení prodejcem, 'SAY EURO NINETEEN THOUSAND SEVENTY-NINE ONLY'). Rozdíl byl rozpuštěn</t>
        </is>
      </c>
    </row>
    <row r="67">
      <c r="A67" t="inlineStr">
        <is>
          <t xml:space="preserve">   proporcionálně, aby součet celní hodnoty odpovídal fakturovanému celku 19 079,00 EUR.</t>
        </is>
      </c>
    </row>
    <row r="68">
      <c r="A68" t="inlineStr"/>
    </row>
    <row r="69">
      <c r="A69" s="18">
        <f>== ⚠ TÚ 6 824 CZK – NUTNO POTVRDIT ZPŮSOB ZAHRNUTÍ ===</f>
        <v/>
      </c>
    </row>
    <row r="70">
      <c r="A70" t="inlineStr">
        <is>
          <t>E-mail S. Hampla uvádí: 'TÚ: 6824 CZK'. Tato částka NENÍ obsažena ve faktuře prodejce.</t>
        </is>
      </c>
    </row>
    <row r="71">
      <c r="A71" t="inlineStr">
        <is>
          <t>Fakturovaná doložka CIF Praha již zahrnuje přepravu až do Prahy, tedy i úsek PO vstupu na celní území EU.</t>
        </is>
      </c>
    </row>
    <row r="72">
      <c r="A72" t="inlineStr">
        <is>
          <t>Náklady na přepravu po vstupu do EU lze od celní hodnoty odečíst pouze tehdy, jsou-li samostatně vyčísleny –</t>
        </is>
      </c>
    </row>
    <row r="73">
      <c r="A73" t="inlineStr">
        <is>
          <t>na faktuře prodejce vyčísleny NEJSOU.</t>
        </is>
      </c>
    </row>
    <row r="74">
      <c r="A74" s="20" t="inlineStr">
        <is>
          <t>→ POTVRDIT: má se TÚ 6 824 CZK k celní hodnotě PŘIČÍST (dodatečné náklady do místa vstupu do EU),</t>
        </is>
      </c>
    </row>
    <row r="75">
      <c r="A75" t="inlineStr">
        <is>
          <t xml:space="preserve">   nebo jde o tuzemský úsek přepravy k ODEČTU? V souhrnu zatím NENÍ zohledněno – celní hodnota je čistě</t>
        </is>
      </c>
    </row>
    <row r="76">
      <c r="A76" t="inlineStr">
        <is>
          <t xml:space="preserve">   fakturovaná CIF Praha 19 079,00 EUR.</t>
        </is>
      </c>
    </row>
    <row r="77">
      <c r="A77" t="inlineStr"/>
    </row>
    <row r="78">
      <c r="A78" s="18">
        <f>== HMOTNOSTI A KOLLI – PŘIŘAZENÍ K HS KÓDŮM ===</f>
        <v/>
      </c>
    </row>
    <row r="79">
      <c r="A79" t="inlineStr">
        <is>
          <t>Hmotnosti NEJSOU dopočítávány proporcionálně – packing list i loading info uvádějí hmotnosti přímo po baleních,</t>
        </is>
      </c>
    </row>
    <row r="80">
      <c r="A80" t="inlineStr">
        <is>
          <t>která se 1:1 kryjí s HS kódy:</t>
        </is>
      </c>
    </row>
    <row r="81">
      <c r="A81" t="inlineStr">
        <is>
          <t xml:space="preserve">   • paleta 1 = položka 1 (MBR membrány)        → 8421999090: 500,0 kg NW / 525,0 kg GW / 50 ks</t>
        </is>
      </c>
    </row>
    <row r="82">
      <c r="A82" t="inlineStr">
        <is>
          <t xml:space="preserve">   • paleta 2 = položky 2, 3, 4 (dávkovací čerpadla + ND) → 8413502090: 480,0 kg NW / 496,0 kg GW / 28 ks</t>
        </is>
      </c>
    </row>
    <row r="83">
      <c r="A83" t="inlineStr">
        <is>
          <t xml:space="preserve">   • 2 kartony = položka 5 (příslušenství elektrody)      → HS k potvrzení: 5,0 kg NW / 7,5 kg GW / 9 ks</t>
        </is>
      </c>
    </row>
    <row r="84">
      <c r="A84" t="inlineStr">
        <is>
          <t>Kontrolní součet: 985,0 kg NW / 1 028,5 kg GW / 87 ks / 4 kolli – souhlasí s PL, loading info i B/L (1 028,500 KGS).</t>
        </is>
      </c>
    </row>
    <row r="85">
      <c r="A85" t="inlineStr"/>
    </row>
    <row r="86">
      <c r="A86" s="18">
        <f>== KLASIFIKACE PODLE ODESÍLATELE ===</f>
        <v/>
      </c>
    </row>
    <row r="87">
      <c r="A87" t="inlineStr">
        <is>
          <t>Zásilka má jediného odesílatele: Hengshui Snowate Environmental Technology Co., Ltd.</t>
        </is>
      </c>
    </row>
    <row r="88">
      <c r="A88" t="inlineStr">
        <is>
          <t>Rozdělení podle odesílatelů se proto neuplatní – všechny řádky patří pod jednoho odesílatele.</t>
        </is>
      </c>
    </row>
    <row r="89">
      <c r="A89" t="inlineStr"/>
    </row>
    <row r="90">
      <c r="A90" s="18">
        <f>== TERMÍNY ===</f>
        <v/>
      </c>
    </row>
    <row r="91">
      <c r="A91" t="inlineStr">
        <is>
          <t>Faktura / packing list:  5. 6. 2026</t>
        </is>
      </c>
    </row>
    <row r="92">
      <c r="A92" t="inlineStr">
        <is>
          <t>Nakládka:               18. 6. 2026</t>
        </is>
      </c>
    </row>
    <row r="93">
      <c r="A93" t="inlineStr">
        <is>
          <t>Shipped on board:        3. 7. 2026 (OOCL SWEDEN 008W, Shanghai)</t>
        </is>
      </c>
    </row>
    <row r="94">
      <c r="A94" t="inlineStr">
        <is>
          <t>Příjezd A1 Praha:       31. 8.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2026-08-26T13:23:19Z</dcterms:created>
  <dcterms:modified xsi:type="dcterms:W3CDTF">2026-08-26T13:23:19Z</dcterms:modified>
</cp:coreProperties>
</file>