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Položky (detail)" sheetId="2" state="visible" r:id="rId2"/>
    <sheet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C0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1" pivotButton="0" quotePrefix="0" xfId="0"/>
    <xf numFmtId="0" fontId="3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4" fontId="2" fillId="0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55" customWidth="1" min="9" max="9"/>
  </cols>
  <sheetData>
    <row r="1">
      <c r="A1" s="1" t="inlineStr">
        <is>
          <t>HS kód</t>
        </is>
      </c>
      <c r="B1" s="1" t="inlineStr">
        <is>
          <t>Popis zboží (CZ)</t>
        </is>
      </c>
      <c r="C1" s="1" t="inlineStr">
        <is>
          <t>Země původu (COO)</t>
        </is>
      </c>
      <c r="D1" s="1" t="inlineStr">
        <is>
          <t>Celkové množství (ks)</t>
        </is>
      </c>
      <c r="E1" s="1" t="inlineStr">
        <is>
          <t>Čistá hmotnost (kg)</t>
        </is>
      </c>
      <c r="F1" s="1" t="inlineStr">
        <is>
          <t>Hrubá hmotnost (kg)</t>
        </is>
      </c>
      <c r="G1" s="1" t="inlineStr">
        <is>
          <t>Hodnota USD</t>
        </is>
      </c>
      <c r="H1" s="1" t="inlineStr">
        <is>
          <t>Příznak</t>
        </is>
      </c>
      <c r="I1" s="1" t="inlineStr">
        <is>
          <t>TARIC / poznámka / CBAM / Antidumping</t>
        </is>
      </c>
    </row>
    <row r="2" ht="60" customHeight="1">
      <c r="A2" s="2" t="inlineStr">
        <is>
          <t>3304300000</t>
        </is>
      </c>
      <c r="B2" s="3" t="inlineStr">
        <is>
          <t>Kosmetické přípravky pro manikúru a pedikúru – peeling na nohy (Sugar Scrub), sůl do koupele (Spa Salt), masážní gel na nohy s mátou (Gel Scrub Mint), krémy na nohy (Lotion), tekuté mýdlo na ruce (Lotion Soap)</t>
        </is>
      </c>
      <c r="C2" s="2" t="inlineStr">
        <is>
          <t>US</t>
        </is>
      </c>
      <c r="D2" s="2" t="n">
        <v>1015</v>
      </c>
      <c r="E2" s="4" t="n">
        <v>19958.06</v>
      </c>
      <c r="F2" s="4" t="n">
        <v>19935</v>
      </c>
      <c r="G2" s="4" t="n">
        <v>23800</v>
      </c>
      <c r="H2" s="5" t="inlineStr">
        <is>
          <t>POZOR</t>
        </is>
      </c>
      <c r="I2" s="2" t="inlineStr">
        <is>
          <t>Bez preferenční věty (USA – žádná preference s EU neexistuje, platí sazba třetí země; dle TARIC pro 3304 30 00 je smluvní clo 0 % – ověřit při podání). Nesoulad hmotností a kusů – viz legenda a list Poznámky.</t>
        </is>
      </c>
    </row>
    <row r="3">
      <c r="A3" s="6" t="inlineStr">
        <is>
          <t>CELKEM</t>
        </is>
      </c>
      <c r="B3" s="7" t="n"/>
      <c r="C3" s="6" t="n"/>
      <c r="D3" s="6" t="n">
        <v>1015</v>
      </c>
      <c r="E3" s="8" t="n">
        <v>19958.06</v>
      </c>
      <c r="F3" s="8" t="n">
        <v>19935</v>
      </c>
      <c r="G3" s="8" t="n">
        <v>23800</v>
      </c>
      <c r="H3" s="6" t="n"/>
      <c r="I3" s="6" t="n"/>
    </row>
    <row r="5">
      <c r="A5" s="9" t="inlineStr">
        <is>
          <t>Legenda:</t>
        </is>
      </c>
    </row>
    <row r="6" ht="30" customHeight="1">
      <c r="B6" s="10" t="inlineStr">
        <is>
          <t>⚠️ PREFERENČNÍ VĚTA: v žádném z 5 dokumentů (obchodní faktura 952626, HBL, MBL, D/O, freight faktura) NENÍ preferenční věta. Původ USA – EU nemá s USA preferenční dohodu, uplatní se standardní sazba třetí země.</t>
        </is>
      </c>
    </row>
    <row r="7" ht="30" customHeight="1">
      <c r="B7" s="10" t="inlineStr">
        <is>
          <t>⚠️ HMOTNOSTI: faktura uvádí NET 44 000 lbs (= 19 958,06 kg) a sloupec „Gross (KGS)“ 19 958 kg – to je jen přepočet téhož čísla lbs→kg, nikoli skutečná hrubá hmotnost. B/L uvádí gross 19 935 kg. Skutečná čistá hmotnost není v dokladech samostatně uvedena – vyžádat od shippera.</t>
        </is>
      </c>
    </row>
    <row r="8" ht="30" customHeight="1">
      <c r="B8" s="10" t="inlineStr">
        <is>
          <t>⚠️ POČET KUSŮ: faktura = 1 015 ks, HBL/MBL/D/O = 1 032 ks. Rozdíl 17 ks – vyjasnit před podáním JSD.</t>
        </is>
      </c>
    </row>
    <row r="9" ht="30" customHeight="1">
      <c r="B9" s="10" t="inlineStr">
        <is>
          <t>CBAM: NE – kosmetika nespadá do působnosti CBAM.</t>
        </is>
      </c>
    </row>
    <row r="10" ht="30" customHeight="1">
      <c r="B10" s="10" t="inlineStr">
        <is>
          <t>ANTIDUMPING: NE – na HS 3304 30 00 z USA se antidumpingové clo nevztahuje.</t>
        </is>
      </c>
    </row>
    <row r="11" ht="30" customHeight="1">
      <c r="B11" s="10" t="inlineStr">
        <is>
          <t>SLEVA: žádná obchodní sleva na faktuře – hodnota bez úprav.</t>
        </is>
      </c>
    </row>
  </sheetData>
  <mergeCells count="6">
    <mergeCell ref="B9:I9"/>
    <mergeCell ref="B7:I7"/>
    <mergeCell ref="B11:I11"/>
    <mergeCell ref="B6:I6"/>
    <mergeCell ref="B10:I10"/>
    <mergeCell ref="B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55" customWidth="1" min="3" max="3"/>
    <col width="16" customWidth="1" min="4" max="4"/>
    <col width="8" customWidth="1" min="5" max="5"/>
    <col width="10" customWidth="1" min="6" max="6"/>
    <col width="14" customWidth="1" min="7" max="7"/>
    <col width="12" customWidth="1" min="8" max="8"/>
    <col width="6" customWidth="1" min="9" max="9"/>
  </cols>
  <sheetData>
    <row r="1">
      <c r="A1" s="11" t="inlineStr">
        <is>
          <t>#</t>
        </is>
      </c>
      <c r="B1" s="11" t="inlineStr">
        <is>
          <t>Položka (faktura)</t>
        </is>
      </c>
      <c r="C1" s="11" t="inlineStr">
        <is>
          <t>Český popis (z instrukcí)</t>
        </is>
      </c>
      <c r="D1" s="11" t="inlineStr">
        <is>
          <t>HS kód (deklarovaný)</t>
        </is>
      </c>
      <c r="E1" s="11" t="inlineStr">
        <is>
          <t>Ks</t>
        </is>
      </c>
      <c r="F1" s="11" t="inlineStr">
        <is>
          <t>Net (lbs)</t>
        </is>
      </c>
      <c r="G1" s="11" t="inlineStr">
        <is>
          <t>Hmotnost (kg)*</t>
        </is>
      </c>
      <c r="H1" s="11" t="inlineStr">
        <is>
          <t>Cena USD</t>
        </is>
      </c>
      <c r="I1" s="11" t="inlineStr">
        <is>
          <t>COO</t>
        </is>
      </c>
    </row>
    <row r="2">
      <c r="A2" s="2" t="n">
        <v>1</v>
      </c>
      <c r="B2" s="3" t="inlineStr">
        <is>
          <t>BEAUTY AID (Sugar Scrub 5 Gal)</t>
        </is>
      </c>
      <c r="C2" s="3" t="inlineStr">
        <is>
          <t>Peeling na nohy – zjemňuje a vyhlazuje pokožku, odstraňuje odumřelé kožní buňky</t>
        </is>
      </c>
      <c r="D2" s="2" t="inlineStr">
        <is>
          <t>3304.30.00.00</t>
        </is>
      </c>
      <c r="E2" s="2" t="n">
        <v>288</v>
      </c>
      <c r="F2" s="2" t="n">
        <v>15360</v>
      </c>
      <c r="G2" s="2" t="n">
        <v>6967</v>
      </c>
      <c r="H2" s="4" t="n">
        <v>11520</v>
      </c>
      <c r="I2" s="2" t="inlineStr">
        <is>
          <t>US</t>
        </is>
      </c>
    </row>
    <row r="3">
      <c r="A3" s="2" t="n">
        <v>2</v>
      </c>
      <c r="B3" s="3" t="inlineStr">
        <is>
          <t>BEAUTY AID (Spa Salt 5 Gal)</t>
        </is>
      </c>
      <c r="C3" s="3" t="inlineStr">
        <is>
          <t>Sůl do koupele, modrá – relaxace, čištění; na ruce, nohy a tělo</t>
        </is>
      </c>
      <c r="D3" s="2" t="inlineStr">
        <is>
          <t>3304.30.00.00</t>
        </is>
      </c>
      <c r="E3" s="2" t="n">
        <v>192</v>
      </c>
      <c r="F3" s="2" t="n">
        <v>9440</v>
      </c>
      <c r="G3" s="2" t="n">
        <v>4282</v>
      </c>
      <c r="H3" s="4" t="n">
        <v>3456</v>
      </c>
      <c r="I3" s="2" t="inlineStr">
        <is>
          <t>US</t>
        </is>
      </c>
    </row>
    <row r="4">
      <c r="A4" s="2" t="n">
        <v>3</v>
      </c>
      <c r="B4" s="3" t="inlineStr">
        <is>
          <t>BEAUTY AID (Spa Salt - 1 Gal)</t>
        </is>
      </c>
      <c r="C4" s="3" t="inlineStr">
        <is>
          <t>Sůl do koupele, modrá – relaxace, čištění; na ruce, nohy a tělo</t>
        </is>
      </c>
      <c r="D4" s="2" t="inlineStr">
        <is>
          <t>3304.30.00.00</t>
        </is>
      </c>
      <c r="E4" s="2" t="n">
        <v>67</v>
      </c>
      <c r="F4" s="2" t="n">
        <v>3010</v>
      </c>
      <c r="G4" s="2" t="n">
        <v>1365</v>
      </c>
      <c r="H4" s="4" t="n">
        <v>1169.82</v>
      </c>
      <c r="I4" s="2" t="inlineStr">
        <is>
          <t>US</t>
        </is>
      </c>
    </row>
    <row r="5">
      <c r="A5" s="2" t="n">
        <v>4</v>
      </c>
      <c r="B5" s="3" t="inlineStr">
        <is>
          <t>BEAUTY AID (Gel Scrub Mint 5 Gal)</t>
        </is>
      </c>
      <c r="C5" s="3" t="inlineStr">
        <is>
          <t>Aromaterapeutický masážní gel na nohy (máta), hydratační účinek</t>
        </is>
      </c>
      <c r="D5" s="2" t="inlineStr">
        <is>
          <t>3304.30.00.00</t>
        </is>
      </c>
      <c r="E5" s="2" t="n">
        <v>96</v>
      </c>
      <c r="F5" s="2" t="n">
        <v>4060</v>
      </c>
      <c r="G5" s="2" t="n">
        <v>1842</v>
      </c>
      <c r="H5" s="4" t="n">
        <v>1728</v>
      </c>
      <c r="I5" s="2" t="inlineStr">
        <is>
          <t>US</t>
        </is>
      </c>
    </row>
    <row r="6">
      <c r="A6" s="2" t="n">
        <v>5</v>
      </c>
      <c r="B6" s="3" t="inlineStr">
        <is>
          <t>BEAUTY AID (Gel Scrub Mint 1 Gal)</t>
        </is>
      </c>
      <c r="C6" s="3" t="inlineStr">
        <is>
          <t>Aromaterapeutický masážní gel na nohy (máta), hydratační účinek</t>
        </is>
      </c>
      <c r="D6" s="2" t="inlineStr">
        <is>
          <t>3304.30.00.00</t>
        </is>
      </c>
      <c r="E6" s="2" t="n">
        <v>60</v>
      </c>
      <c r="F6" s="2" t="n">
        <v>2220</v>
      </c>
      <c r="G6" s="2" t="n">
        <v>1007</v>
      </c>
      <c r="H6" s="4" t="n">
        <v>960</v>
      </c>
      <c r="I6" s="2" t="inlineStr">
        <is>
          <t>US</t>
        </is>
      </c>
    </row>
    <row r="7">
      <c r="A7" s="2" t="n">
        <v>6</v>
      </c>
      <c r="B7" s="3" t="inlineStr">
        <is>
          <t>BEAUTY AID (Lotion - Gal)</t>
        </is>
      </c>
      <c r="C7" s="3" t="inlineStr">
        <is>
          <t>Krém na nohy 3785,4 ml – zjemňuje a chrání pokožku nohou, změkčuje ztvrdlou kůži</t>
        </is>
      </c>
      <c r="D7" s="2" t="inlineStr">
        <is>
          <t>3304.30.00.00</t>
        </is>
      </c>
      <c r="E7" s="2" t="n">
        <v>141</v>
      </c>
      <c r="F7" s="2" t="n">
        <v>4540</v>
      </c>
      <c r="G7" s="2" t="n">
        <v>2059</v>
      </c>
      <c r="H7" s="4" t="n">
        <v>2109.36</v>
      </c>
      <c r="I7" s="2" t="inlineStr">
        <is>
          <t>US</t>
        </is>
      </c>
    </row>
    <row r="8">
      <c r="A8" s="2" t="n">
        <v>7</v>
      </c>
      <c r="B8" s="3" t="inlineStr">
        <is>
          <t>BEAUTY AID (Lotion 32oz)</t>
        </is>
      </c>
      <c r="C8" s="3" t="inlineStr">
        <is>
          <t>Krém na nohy 946 ml – zjemňuje a chrání pokožku nohou</t>
        </is>
      </c>
      <c r="D8" s="2" t="inlineStr">
        <is>
          <t>3304.30.00.00</t>
        </is>
      </c>
      <c r="E8" s="2" t="n">
        <v>20</v>
      </c>
      <c r="F8" s="2" t="n">
        <v>740</v>
      </c>
      <c r="G8" s="2" t="n">
        <v>336</v>
      </c>
      <c r="H8" s="4" t="n">
        <v>720</v>
      </c>
      <c r="I8" s="2" t="inlineStr">
        <is>
          <t>US</t>
        </is>
      </c>
    </row>
    <row r="9">
      <c r="A9" s="2" t="n">
        <v>8</v>
      </c>
      <c r="B9" s="3" t="inlineStr">
        <is>
          <t>BEAUTY AID (Lotion 16oz)</t>
        </is>
      </c>
      <c r="C9" s="3" t="inlineStr">
        <is>
          <t>Krém na nohy 473,1 ml – zjemňuje a chrání pokožku nohou</t>
        </is>
      </c>
      <c r="D9" s="2" t="inlineStr">
        <is>
          <t>3304.30.00.00</t>
        </is>
      </c>
      <c r="E9" s="2" t="n">
        <v>120</v>
      </c>
      <c r="F9" s="2" t="n">
        <v>3720</v>
      </c>
      <c r="G9" s="2" t="n">
        <v>1687</v>
      </c>
      <c r="H9" s="4" t="n">
        <v>1740</v>
      </c>
      <c r="I9" s="2" t="inlineStr">
        <is>
          <t>US</t>
        </is>
      </c>
    </row>
    <row r="10">
      <c r="A10" s="2" t="n">
        <v>9</v>
      </c>
      <c r="B10" s="3" t="inlineStr">
        <is>
          <t>BEAUTY AID (Lotion 8oz)</t>
        </is>
      </c>
      <c r="C10" s="3" t="inlineStr">
        <is>
          <t>Krém na nohy 236 ml – zjemňuje a chrání pokožku nohou</t>
        </is>
      </c>
      <c r="D10" s="2" t="inlineStr">
        <is>
          <t>3304.30.00.00</t>
        </is>
      </c>
      <c r="E10" s="2" t="n">
        <v>30</v>
      </c>
      <c r="F10" s="2" t="n">
        <v>900</v>
      </c>
      <c r="G10" s="2" t="n">
        <v>408</v>
      </c>
      <c r="H10" s="4" t="n">
        <v>391.5</v>
      </c>
      <c r="I10" s="2" t="inlineStr">
        <is>
          <t>US</t>
        </is>
      </c>
    </row>
    <row r="11">
      <c r="A11" s="2" t="n">
        <v>10</v>
      </c>
      <c r="B11" s="3" t="inlineStr">
        <is>
          <t>Sample: Lotion, soap - 16oz</t>
        </is>
      </c>
      <c r="C11" s="3" t="inlineStr">
        <is>
          <t>Tekuté mýdlo na ruce (vzorek) – šetrně čistí namáhanou pokožku</t>
        </is>
      </c>
      <c r="D11" s="2" t="inlineStr">
        <is>
          <t>3304.30.00.00</t>
        </is>
      </c>
      <c r="E11" s="2" t="n">
        <v>1</v>
      </c>
      <c r="F11" s="2" t="n">
        <v>10</v>
      </c>
      <c r="G11" s="2" t="n">
        <v>5</v>
      </c>
      <c r="H11" s="4" t="n">
        <v>5.32</v>
      </c>
      <c r="I11" s="2" t="inlineStr">
        <is>
          <t>US</t>
        </is>
      </c>
    </row>
    <row r="12">
      <c r="A12" s="6" t="inlineStr"/>
      <c r="B12" s="7" t="inlineStr">
        <is>
          <t>CELKEM</t>
        </is>
      </c>
      <c r="C12" s="7" t="n"/>
      <c r="D12" s="6" t="n"/>
      <c r="E12" s="6" t="n">
        <v>1015</v>
      </c>
      <c r="F12" s="6" t="n">
        <v>44000</v>
      </c>
      <c r="G12" s="6" t="n">
        <v>19958</v>
      </c>
      <c r="H12" s="8" t="n">
        <v>23800</v>
      </c>
      <c r="I12" s="6" t="n"/>
    </row>
    <row r="14">
      <c r="B14" t="inlineStr">
        <is>
          <t>* Sloupec „Hmotnost (kg)“ na faktuře je označen jako Gross (KGS), ale je to pouze přepočet Net (lbs) → kg (faktor 0,4536).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>
        <f>== ZÁSILKA ===</f>
        <v/>
      </c>
    </row>
    <row r="2">
      <c r="A2" t="inlineStr">
        <is>
          <t>Klient: NSN Cosmetics Ltd / NSN Cosmetic s.r.o., Plovdivská 3266/2, 143 00 Praha 4 – Modřany</t>
        </is>
      </c>
    </row>
    <row r="3">
      <c r="A3" t="inlineStr">
        <is>
          <t>Shipper: CALI CHEM INC. dba BeBeauty, 14271 Corporate Dr. #B, Garden Grove, CA 92843, USA</t>
        </is>
      </c>
    </row>
    <row r="4">
      <c r="A4" t="inlineStr">
        <is>
          <t>Kontejner: OOCU9479533 / pečeť 11912515 / 40HQ, 65 CBM, FCL/FCL</t>
        </is>
      </c>
    </row>
    <row r="5">
      <c r="A5" t="inlineStr">
        <is>
          <t>Plavidlo: CMA CGM BLUE WHALE V. 060E, POL Los Angeles (ETD 6.–7.6.2026), POD Hamburg (ETA 15.–16.7.2026)</t>
        </is>
      </c>
    </row>
    <row r="6">
      <c r="A6" t="inlineStr">
        <is>
          <t>HBL: EHAM-W26JUN504 (WIN CARGO USA), MBL: LAXHAM6160504V (Vanguard), D/O OOCL: OOLU2327917280</t>
        </is>
      </c>
    </row>
    <row r="7">
      <c r="A7" t="inlineStr">
        <is>
          <t>Doručení: NSN Cosmetic s.r.o, Komoranská 63, 143 00 Praha 4 – Modřany (8:00–17:00, tran the thoai, tel. 723 441 209); na vykládce VZV</t>
        </is>
      </c>
    </row>
    <row r="8">
      <c r="A8" t="inlineStr">
        <is>
          <t>Režim dle instrukcí: JSD (volný oběh), vyclení na adrese Plovdivská 3266/2</t>
        </is>
      </c>
    </row>
    <row r="9">
      <c r="A9" t="inlineStr">
        <is>
          <t>Vrácení prázdného kontejneru: Metrans, Podleská 926, Praha; free time 3 kal. dny (storage) / 14 prac. dnů (devanning)</t>
        </is>
      </c>
    </row>
    <row r="10">
      <c r="A10" t="inlineStr"/>
    </row>
    <row r="11">
      <c r="A11" s="9">
        <f>== PŘIJATÉ DOKUMENTY (stav 13.7.2026) ===</f>
        <v/>
      </c>
    </row>
    <row r="12">
      <c r="A12" t="inlineStr">
        <is>
          <t>✓ Obchodní faktura / packing list Cali Chem č. 952626 z 29.5.2026 – 10 položek, 23 800,00 USD, vše HS 3304.30.00.00, COO USA</t>
        </is>
      </c>
    </row>
    <row r="13">
      <c r="A13" t="inlineStr">
        <is>
          <t>✓ HBL EHAM-W26JUN504 (WIN CARGO USA, 3 originály, shipped on board 7.6.2026)</t>
        </is>
      </c>
    </row>
    <row r="14">
      <c r="A14" t="inlineStr">
        <is>
          <t>✓ MBL LAXHAM6160504V (Vanguard Logistics, express release, non-negotiable copy)</t>
        </is>
      </c>
    </row>
    <row r="15">
      <c r="A15" t="inlineStr">
        <is>
          <t>✓ Delivery Order OOCL OOLU2327917280 (vyst. 9.7.2026), ATB: ATB1505238807202648510001</t>
        </is>
      </c>
    </row>
    <row r="16">
      <c r="A16" t="inlineStr">
        <is>
          <t>✓ Freight faktura WIN CARGO USA EHAM-W26JUN504 z 11.6.2026: ocean freight 3 700 USD + ENS 95 USD + bank fee 30 USD = 3 825 USD</t>
        </is>
      </c>
    </row>
    <row r="17">
      <c r="A17" t="inlineStr">
        <is>
          <t>✓ Instrukce k celnímu odbavení (INSTRUKCE_usa1.xlsx) – české popisy položek, hodnota 23 800 USD, JSD</t>
        </is>
      </c>
    </row>
    <row r="18">
      <c r="A18" t="inlineStr"/>
    </row>
    <row r="19">
      <c r="A19" s="9">
        <f>== ⚠️ PREFERENČNÍ VĚTA – NENÍ ===</f>
        <v/>
      </c>
    </row>
    <row r="20">
      <c r="A20" t="inlineStr">
        <is>
          <t>Žádný dokument neobsahuje preferenční větu (prohlášení o preferenčním původu).</t>
        </is>
      </c>
    </row>
    <row r="21">
      <c r="A21" t="inlineStr">
        <is>
          <t>Původ zboží: USA. EU nemá s USA preferenční obchodní dohodu → preferenci nelze uplatnit a věta se ani nevyžaduje.</t>
        </is>
      </c>
    </row>
    <row r="22">
      <c r="A22" t="inlineStr">
        <is>
          <t>Platí smluvní sazba třetí země; dle TARIC je u 3304 30 00 00 smluvní clo 0 % (ověřit při podání JSD). DPH 21 %.</t>
        </is>
      </c>
    </row>
    <row r="23">
      <c r="A23" t="inlineStr"/>
    </row>
    <row r="24">
      <c r="A24" s="9">
        <f>== ⚠️ NESROVNALOSTI K VYJASNĚNÍ ===</f>
        <v/>
      </c>
    </row>
    <row r="25">
      <c r="A25" t="inlineStr">
        <is>
          <t>1) POČET KUSŮ: faktura 1 015 ks vs. HBL/MBL/D/O 1 032 ks (SLAC). Rozdíl 17 ks – vyjasnit se shipperem/forwarderem.</t>
        </is>
      </c>
    </row>
    <row r="26">
      <c r="A26" t="inlineStr">
        <is>
          <t>2) HMOTNOSTI: faktura Net 44 000 lbs = 19 958,06 kg; sloupec Gross (KGS) 19 958 kg je jen přepočet lbs→kg (není to skutečná GW).</t>
        </is>
      </c>
    </row>
    <row r="27">
      <c r="A27" t="inlineStr">
        <is>
          <t xml:space="preserve">   B/L gross 19 935 kg &lt; „net“ 19 958 kg → fyzicky nemožné. Skutečná NET hmotnost chybí – vyžádat od shippera.</t>
        </is>
      </c>
    </row>
    <row r="28">
      <c r="A28" t="inlineStr">
        <is>
          <t xml:space="preserve">   Pro JSD zatím: GW 19 935 kg (dle B/L); NW nutno doložit.</t>
        </is>
      </c>
    </row>
    <row r="29">
      <c r="A29" t="inlineStr">
        <is>
          <t>3) SAZEBNÍ ZAŘAZENÍ: vše deklarováno pod 3304.30 (přípravky pro manikúru/pedikúru). Pozor – „sůl do koupele“ obvykle patří</t>
        </is>
      </c>
    </row>
    <row r="30">
      <c r="A30" t="inlineStr">
        <is>
          <t xml:space="preserve">   do 3307 30 00 a „tekuté mýdlo na ruce“ do 3401 30 00. Vzhledem k určení (pedikúra/nail salon) je 3304.30 obhajitelné,</t>
        </is>
      </c>
    </row>
    <row r="31">
      <c r="A31" t="inlineStr">
        <is>
          <t xml:space="preserve">   ale doporučuji potvrdit zařazení položek 2, 3 a 10 před podáním.</t>
        </is>
      </c>
    </row>
    <row r="32">
      <c r="A32" t="inlineStr">
        <is>
          <t>4) INCOTERM: na faktuře není uveden; B/L „Freight Prepaid“. Ocean freight 3 700 USD hradí shipper → pro celní hodnotu</t>
        </is>
      </c>
    </row>
    <row r="33">
      <c r="A33" t="inlineStr">
        <is>
          <t xml:space="preserve">   ověřit dodací podmínku (při CFR/CIF je přeprava již v ceně; při FOB/EXW nutno přičíst přepravu k celní hodnotě).</t>
        </is>
      </c>
    </row>
    <row r="34">
      <c r="A34" t="inlineStr"/>
    </row>
    <row r="35">
      <c r="A35" s="9">
        <f>== CBAM / ANTIDUMPING ===</f>
        <v/>
      </c>
    </row>
    <row r="36">
      <c r="A36" t="inlineStr">
        <is>
          <t>CBAM: nevztahuje se (kosmetické přípravky).</t>
        </is>
      </c>
    </row>
    <row r="37">
      <c r="A37" t="inlineStr">
        <is>
          <t>Antidumping: nevztahuje se (HS 3304 30 00, původ USA).</t>
        </is>
      </c>
    </row>
    <row r="38">
      <c r="A38" t="inlineStr"/>
    </row>
    <row r="39">
      <c r="A39" s="9">
        <f>== SLEVA ===</f>
        <v/>
      </c>
    </row>
    <row r="40">
      <c r="A40" t="inlineStr">
        <is>
          <t>Žádná obchodní sleva na faktuře – celní hodnota bez úprav: 23 800,00 USD.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2026-07-13T08:26:57Z</dcterms:created>
  <dcterms:modified xsi:type="dcterms:W3CDTF">2026-07-13T08:26:57Z</dcterms:modified>
</cp:coreProperties>
</file>