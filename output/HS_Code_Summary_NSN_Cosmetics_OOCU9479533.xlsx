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(detail)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4" fontId="0" fillId="3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4" fontId="3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60" customWidth="1" min="9" max="9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Celkové množství (ks)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USD</t>
        </is>
      </c>
      <c r="H1" s="1" t="inlineStr">
        <is>
          <t>Příznak</t>
        </is>
      </c>
      <c r="I1" s="1" t="inlineStr">
        <is>
          <t>TARIC / poznámka / CBAM / Antidumping</t>
        </is>
      </c>
    </row>
    <row r="2" ht="55" customHeight="1">
      <c r="A2" s="2" t="inlineStr">
        <is>
          <t>3304990000</t>
        </is>
      </c>
      <c r="B2" s="3" t="inlineStr">
        <is>
          <t>Ostatní kosmetické přípravky pro péči o pokožku – peeling na nohy (Sugar Scrub), masážní gel na nohy s mátou (Gel Scrub Mint), krémy na nohy (Lotion)</t>
        </is>
      </c>
      <c r="C2" s="2" t="inlineStr">
        <is>
          <t>US</t>
        </is>
      </c>
      <c r="D2" s="2" t="n">
        <v>755</v>
      </c>
      <c r="E2" s="4" t="n">
        <v>14306.3</v>
      </c>
      <c r="F2" s="4" t="n">
        <v>14289.77</v>
      </c>
      <c r="G2" s="4" t="n">
        <v>19168.86</v>
      </c>
      <c r="H2" s="2" t="n"/>
      <c r="I2" s="3" t="inlineStr">
        <is>
          <t>Smluvní clo třetí země 0 %. Přeřazeno z deklarovaného 3304.30 (manikúra/pedikúra) – jde o péči o pokožku, ne o nehty.</t>
        </is>
      </c>
    </row>
    <row r="3" ht="55" customHeight="1">
      <c r="A3" s="5" t="inlineStr">
        <is>
          <t>3307300000</t>
        </is>
      </c>
      <c r="B3" s="6" t="inlineStr">
        <is>
          <t>Vonné soli a jiné přípravky do koupele – sůl do koupele Spa Salt, modrá (balení 5 gal a 1 gal)</t>
        </is>
      </c>
      <c r="C3" s="5" t="inlineStr">
        <is>
          <t>US</t>
        </is>
      </c>
      <c r="D3" s="5" t="n">
        <v>259</v>
      </c>
      <c r="E3" s="7" t="n">
        <v>5647.23</v>
      </c>
      <c r="F3" s="7" t="n">
        <v>5640.7</v>
      </c>
      <c r="G3" s="7" t="n">
        <v>4625.82</v>
      </c>
      <c r="H3" s="8" t="inlineStr">
        <is>
          <t>CLO 6,5 %</t>
        </is>
      </c>
      <c r="I3" s="6" t="inlineStr">
        <is>
          <t>Smluvní clo třetí země 6,5 % (≈ 300 USD). Přeřazeno z deklarovaného 3304.30 – soli do koupele jsou jmenovitě uvedeny v 3307 30. Bez preference (USA).</t>
        </is>
      </c>
    </row>
    <row r="4" ht="55" customHeight="1">
      <c r="A4" s="2" t="inlineStr">
        <is>
          <t>3401300000</t>
        </is>
      </c>
      <c r="B4" s="3" t="inlineStr">
        <is>
          <t>Organické povrchově aktivní prostředky k mytí pokožky, tekuté – tekuté mýdlo na ruce (vzorek, 1 ks)</t>
        </is>
      </c>
      <c r="C4" s="2" t="inlineStr">
        <is>
          <t>US</t>
        </is>
      </c>
      <c r="D4" s="2" t="n">
        <v>1</v>
      </c>
      <c r="E4" s="4" t="n">
        <v>4.54</v>
      </c>
      <c r="F4" s="4" t="n">
        <v>4.53</v>
      </c>
      <c r="G4" s="4" t="n">
        <v>5.32</v>
      </c>
      <c r="H4" s="2" t="n"/>
      <c r="I4" s="3" t="inlineStr">
        <is>
          <t>Smluvní clo třetí země 4 % (hodnota 5,32 USD – zanedbatelné). Přeřazeno z deklarovaného 3304.30.</t>
        </is>
      </c>
    </row>
    <row r="5" ht="55" customHeight="1">
      <c r="A5" s="9" t="inlineStr">
        <is>
          <t>CELKEM</t>
        </is>
      </c>
      <c r="B5" s="10" t="n"/>
      <c r="C5" s="9" t="n"/>
      <c r="D5" s="9" t="n">
        <v>1015</v>
      </c>
      <c r="E5" s="11" t="n">
        <v>19958.07</v>
      </c>
      <c r="F5" s="11" t="n">
        <v>19935</v>
      </c>
      <c r="G5" s="11" t="n">
        <v>23800</v>
      </c>
      <c r="H5" s="9" t="n"/>
      <c r="I5" s="10" t="n"/>
    </row>
    <row r="7">
      <c r="A7" s="12" t="inlineStr">
        <is>
          <t>Legenda:</t>
        </is>
      </c>
    </row>
    <row r="8" ht="42" customHeight="1">
      <c r="B8" s="13" t="inlineStr">
        <is>
          <t>⚠️ PREFERENČNÍ VĚTA: v žádném z 5 dokumentů NENÍ preferenční věta. Původ USA – EU nemá s USA preferenční dohodu, uplatní se standardní sazba třetí země (3304 99: 0 %, 3307 30: 6,5 %, 3401 30: 4 %). DPH 21 %.</t>
        </is>
      </c>
    </row>
    <row r="9" ht="42" customHeight="1">
      <c r="B9" s="13" t="inlineStr">
        <is>
          <t>⚠️ PŘEŘAZENÍ HS: shipper deklaroval vše pod 3304.30.00.00 (manikúra/pedikúra). Dle TARIC jde o jiné zboží – rozděleno na 3 kódy (viz sloupec poznámka). US export kód není pro dovoz do EU závazný.</t>
        </is>
      </c>
    </row>
    <row r="10" ht="42" customHeight="1">
      <c r="B10" s="13" t="inlineStr">
        <is>
          <t>⚠️ HMOTNOSTI: faktura uvádí NET 44 000 lbs (= 19 958,06 kg); sloupec „Gross (KGS)“ na faktuře je jen přepočet lbs→kg, nikoli skutečná GW. B/L gross 19 935 kg &lt; přepočtená NET → skutečná čistá hmotnost chybí, vyžádat od shippera. GW rozdělena proporcionálně dle NET (faktor 0,99885).</t>
        </is>
      </c>
    </row>
    <row r="11" ht="42" customHeight="1">
      <c r="B11" s="13" t="inlineStr">
        <is>
          <t>⚠️ POČET KUSŮ: faktura = 1 015 ks, HBL/MBL/D/O = 1 032 ks. Rozdíl 17 ks – vyjasnit před podáním JSD.</t>
        </is>
      </c>
    </row>
    <row r="12" ht="42" customHeight="1">
      <c r="B12" s="13" t="inlineStr">
        <is>
          <t>CBAM: NE – kosmetika/mýdlo nespadá do působnosti CBAM. ANTIDUMPING: NE (původ USA). SLEVA: žádná.</t>
        </is>
      </c>
    </row>
  </sheetData>
  <mergeCells count="5">
    <mergeCell ref="B9:I9"/>
    <mergeCell ref="B12:I12"/>
    <mergeCell ref="B11:I11"/>
    <mergeCell ref="B10:I10"/>
    <mergeCell ref="B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0" customWidth="1" min="3" max="3"/>
    <col width="14" customWidth="1" min="4" max="4"/>
    <col width="14" customWidth="1" min="5" max="5"/>
    <col width="8" customWidth="1" min="6" max="6"/>
    <col width="10" customWidth="1" min="7" max="7"/>
    <col width="13" customWidth="1" min="8" max="8"/>
    <col width="12" customWidth="1" min="9" max="9"/>
    <col width="6" customWidth="1" min="10" max="10"/>
  </cols>
  <sheetData>
    <row r="1">
      <c r="A1" s="14" t="inlineStr">
        <is>
          <t>#</t>
        </is>
      </c>
      <c r="B1" s="14" t="inlineStr">
        <is>
          <t>Položka (faktura)</t>
        </is>
      </c>
      <c r="C1" s="14" t="inlineStr">
        <is>
          <t>Český popis (z instrukcí)</t>
        </is>
      </c>
      <c r="D1" s="14" t="inlineStr">
        <is>
          <t>HS kód (JSD)</t>
        </is>
      </c>
      <c r="E1" s="14" t="inlineStr">
        <is>
          <t>HS deklarovaný shipperem</t>
        </is>
      </c>
      <c r="F1" s="14" t="inlineStr">
        <is>
          <t>Ks</t>
        </is>
      </c>
      <c r="G1" s="14" t="inlineStr">
        <is>
          <t>Net (lbs)</t>
        </is>
      </c>
      <c r="H1" s="14" t="inlineStr">
        <is>
          <t>Hmotnost (kg)*</t>
        </is>
      </c>
      <c r="I1" s="14" t="inlineStr">
        <is>
          <t>Cena USD</t>
        </is>
      </c>
      <c r="J1" s="14" t="inlineStr">
        <is>
          <t>COO</t>
        </is>
      </c>
    </row>
    <row r="2">
      <c r="A2" s="2" t="n">
        <v>1</v>
      </c>
      <c r="B2" s="3" t="inlineStr">
        <is>
          <t>BEAUTY AID (Sugar Scrub 5 Gal)</t>
        </is>
      </c>
      <c r="C2" s="3" t="inlineStr">
        <is>
          <t>Peeling na nohy – zjemňuje a vyhlazuje pokožku, odstraňuje odumřelé kožní buňky</t>
        </is>
      </c>
      <c r="D2" s="2" t="inlineStr">
        <is>
          <t>3304990000</t>
        </is>
      </c>
      <c r="E2" s="2" t="inlineStr">
        <is>
          <t>3304.30.00.00</t>
        </is>
      </c>
      <c r="F2" s="2" t="n">
        <v>288</v>
      </c>
      <c r="G2" s="2" t="n">
        <v>15360</v>
      </c>
      <c r="H2" s="2" t="n">
        <v>6967</v>
      </c>
      <c r="I2" s="4" t="n">
        <v>11520</v>
      </c>
      <c r="J2" s="2" t="inlineStr">
        <is>
          <t>US</t>
        </is>
      </c>
    </row>
    <row r="3">
      <c r="A3" s="2" t="n">
        <v>2</v>
      </c>
      <c r="B3" s="3" t="inlineStr">
        <is>
          <t>BEAUTY AID (Spa Salt 5 Gal)</t>
        </is>
      </c>
      <c r="C3" s="3" t="inlineStr">
        <is>
          <t>Sůl do koupele, modrá – relaxace, čištění; na ruce, nohy a tělo</t>
        </is>
      </c>
      <c r="D3" s="2" t="inlineStr">
        <is>
          <t>3307300000</t>
        </is>
      </c>
      <c r="E3" s="2" t="inlineStr">
        <is>
          <t>3304.30.00.00</t>
        </is>
      </c>
      <c r="F3" s="2" t="n">
        <v>192</v>
      </c>
      <c r="G3" s="2" t="n">
        <v>9440</v>
      </c>
      <c r="H3" s="2" t="n">
        <v>4282</v>
      </c>
      <c r="I3" s="4" t="n">
        <v>3456</v>
      </c>
      <c r="J3" s="2" t="inlineStr">
        <is>
          <t>US</t>
        </is>
      </c>
    </row>
    <row r="4">
      <c r="A4" s="2" t="n">
        <v>3</v>
      </c>
      <c r="B4" s="3" t="inlineStr">
        <is>
          <t>BEAUTY AID (Spa Salt - 1 Gal)</t>
        </is>
      </c>
      <c r="C4" s="3" t="inlineStr">
        <is>
          <t>Sůl do koupele, modrá – relaxace, čištění; na ruce, nohy a tělo</t>
        </is>
      </c>
      <c r="D4" s="2" t="inlineStr">
        <is>
          <t>3307300000</t>
        </is>
      </c>
      <c r="E4" s="2" t="inlineStr">
        <is>
          <t>3304.30.00.00</t>
        </is>
      </c>
      <c r="F4" s="2" t="n">
        <v>67</v>
      </c>
      <c r="G4" s="2" t="n">
        <v>3010</v>
      </c>
      <c r="H4" s="2" t="n">
        <v>1365</v>
      </c>
      <c r="I4" s="4" t="n">
        <v>1169.82</v>
      </c>
      <c r="J4" s="2" t="inlineStr">
        <is>
          <t>US</t>
        </is>
      </c>
    </row>
    <row r="5">
      <c r="A5" s="2" t="n">
        <v>4</v>
      </c>
      <c r="B5" s="3" t="inlineStr">
        <is>
          <t>BEAUTY AID (Gel Scrub Mint 5 Gal)</t>
        </is>
      </c>
      <c r="C5" s="3" t="inlineStr">
        <is>
          <t>Aromaterapeutický masážní gel na nohy (máta), hydratační účinek</t>
        </is>
      </c>
      <c r="D5" s="2" t="inlineStr">
        <is>
          <t>3304990000</t>
        </is>
      </c>
      <c r="E5" s="2" t="inlineStr">
        <is>
          <t>3304.30.00.00</t>
        </is>
      </c>
      <c r="F5" s="2" t="n">
        <v>96</v>
      </c>
      <c r="G5" s="2" t="n">
        <v>4060</v>
      </c>
      <c r="H5" s="2" t="n">
        <v>1842</v>
      </c>
      <c r="I5" s="4" t="n">
        <v>1728</v>
      </c>
      <c r="J5" s="2" t="inlineStr">
        <is>
          <t>US</t>
        </is>
      </c>
    </row>
    <row r="6">
      <c r="A6" s="2" t="n">
        <v>5</v>
      </c>
      <c r="B6" s="3" t="inlineStr">
        <is>
          <t>BEAUTY AID (Gel Scrub Mint 1 Gal)</t>
        </is>
      </c>
      <c r="C6" s="3" t="inlineStr">
        <is>
          <t>Aromaterapeutický masážní gel na nohy (máta), hydratační účinek</t>
        </is>
      </c>
      <c r="D6" s="2" t="inlineStr">
        <is>
          <t>3304990000</t>
        </is>
      </c>
      <c r="E6" s="2" t="inlineStr">
        <is>
          <t>3304.30.00.00</t>
        </is>
      </c>
      <c r="F6" s="2" t="n">
        <v>60</v>
      </c>
      <c r="G6" s="2" t="n">
        <v>2220</v>
      </c>
      <c r="H6" s="2" t="n">
        <v>1007</v>
      </c>
      <c r="I6" s="4" t="n">
        <v>960</v>
      </c>
      <c r="J6" s="2" t="inlineStr">
        <is>
          <t>US</t>
        </is>
      </c>
    </row>
    <row r="7">
      <c r="A7" s="2" t="n">
        <v>6</v>
      </c>
      <c r="B7" s="3" t="inlineStr">
        <is>
          <t>BEAUTY AID (Lotion - Gal)</t>
        </is>
      </c>
      <c r="C7" s="3" t="inlineStr">
        <is>
          <t>Krém na nohy 3785,4 ml – zjemňuje a chrání pokožku nohou, změkčuje ztvrdlou kůži</t>
        </is>
      </c>
      <c r="D7" s="2" t="inlineStr">
        <is>
          <t>3304990000</t>
        </is>
      </c>
      <c r="E7" s="2" t="inlineStr">
        <is>
          <t>3304.30.00.00</t>
        </is>
      </c>
      <c r="F7" s="2" t="n">
        <v>141</v>
      </c>
      <c r="G7" s="2" t="n">
        <v>4540</v>
      </c>
      <c r="H7" s="2" t="n">
        <v>2059</v>
      </c>
      <c r="I7" s="4" t="n">
        <v>2109.36</v>
      </c>
      <c r="J7" s="2" t="inlineStr">
        <is>
          <t>US</t>
        </is>
      </c>
    </row>
    <row r="8">
      <c r="A8" s="2" t="n">
        <v>7</v>
      </c>
      <c r="B8" s="3" t="inlineStr">
        <is>
          <t>BEAUTY AID (Lotion 32oz)</t>
        </is>
      </c>
      <c r="C8" s="3" t="inlineStr">
        <is>
          <t>Krém na nohy 946 ml – zjemňuje a chrání pokožku nohou</t>
        </is>
      </c>
      <c r="D8" s="2" t="inlineStr">
        <is>
          <t>3304990000</t>
        </is>
      </c>
      <c r="E8" s="2" t="inlineStr">
        <is>
          <t>3304.30.00.00</t>
        </is>
      </c>
      <c r="F8" s="2" t="n">
        <v>20</v>
      </c>
      <c r="G8" s="2" t="n">
        <v>740</v>
      </c>
      <c r="H8" s="2" t="n">
        <v>336</v>
      </c>
      <c r="I8" s="4" t="n">
        <v>720</v>
      </c>
      <c r="J8" s="2" t="inlineStr">
        <is>
          <t>US</t>
        </is>
      </c>
    </row>
    <row r="9">
      <c r="A9" s="2" t="n">
        <v>8</v>
      </c>
      <c r="B9" s="3" t="inlineStr">
        <is>
          <t>BEAUTY AID (Lotion 16oz)</t>
        </is>
      </c>
      <c r="C9" s="3" t="inlineStr">
        <is>
          <t>Krém na nohy 473,1 ml – zjemňuje a chrání pokožku nohou</t>
        </is>
      </c>
      <c r="D9" s="2" t="inlineStr">
        <is>
          <t>3304990000</t>
        </is>
      </c>
      <c r="E9" s="2" t="inlineStr">
        <is>
          <t>3304.30.00.00</t>
        </is>
      </c>
      <c r="F9" s="2" t="n">
        <v>120</v>
      </c>
      <c r="G9" s="2" t="n">
        <v>3720</v>
      </c>
      <c r="H9" s="2" t="n">
        <v>1687</v>
      </c>
      <c r="I9" s="4" t="n">
        <v>1740</v>
      </c>
      <c r="J9" s="2" t="inlineStr">
        <is>
          <t>US</t>
        </is>
      </c>
    </row>
    <row r="10">
      <c r="A10" s="2" t="n">
        <v>9</v>
      </c>
      <c r="B10" s="3" t="inlineStr">
        <is>
          <t>BEAUTY AID (Lotion 8oz)</t>
        </is>
      </c>
      <c r="C10" s="3" t="inlineStr">
        <is>
          <t>Krém na nohy 236 ml – zjemňuje a chrání pokožku nohou</t>
        </is>
      </c>
      <c r="D10" s="2" t="inlineStr">
        <is>
          <t>3304990000</t>
        </is>
      </c>
      <c r="E10" s="2" t="inlineStr">
        <is>
          <t>3304.30.00.00</t>
        </is>
      </c>
      <c r="F10" s="2" t="n">
        <v>30</v>
      </c>
      <c r="G10" s="2" t="n">
        <v>900</v>
      </c>
      <c r="H10" s="2" t="n">
        <v>408</v>
      </c>
      <c r="I10" s="4" t="n">
        <v>391.5</v>
      </c>
      <c r="J10" s="2" t="inlineStr">
        <is>
          <t>US</t>
        </is>
      </c>
    </row>
    <row r="11">
      <c r="A11" s="2" t="n">
        <v>10</v>
      </c>
      <c r="B11" s="3" t="inlineStr">
        <is>
          <t>Sample: Lotion, soap - 16oz</t>
        </is>
      </c>
      <c r="C11" s="3" t="inlineStr">
        <is>
          <t>Tekuté mýdlo na ruce (vzorek) – šetrně čistí namáhanou pokožku</t>
        </is>
      </c>
      <c r="D11" s="2" t="inlineStr">
        <is>
          <t>3401300000</t>
        </is>
      </c>
      <c r="E11" s="2" t="inlineStr">
        <is>
          <t>3304.30.00.00</t>
        </is>
      </c>
      <c r="F11" s="2" t="n">
        <v>1</v>
      </c>
      <c r="G11" s="2" t="n">
        <v>10</v>
      </c>
      <c r="H11" s="2" t="n">
        <v>5</v>
      </c>
      <c r="I11" s="4" t="n">
        <v>5.32</v>
      </c>
      <c r="J11" s="2" t="inlineStr">
        <is>
          <t>US</t>
        </is>
      </c>
    </row>
    <row r="12">
      <c r="A12" s="9" t="inlineStr"/>
      <c r="B12" s="10" t="inlineStr">
        <is>
          <t>CELKEM</t>
        </is>
      </c>
      <c r="C12" s="10" t="n"/>
      <c r="D12" s="9" t="n"/>
      <c r="E12" s="9" t="n"/>
      <c r="F12" s="9" t="n">
        <v>1015</v>
      </c>
      <c r="G12" s="9" t="n">
        <v>44000</v>
      </c>
      <c r="H12" s="9" t="n">
        <v>19958</v>
      </c>
      <c r="I12" s="11" t="n">
        <v>23800</v>
      </c>
      <c r="J12" s="9" t="n"/>
    </row>
    <row r="14">
      <c r="B14" t="inlineStr">
        <is>
          <t>* Sloupec „Hmotnost (kg)“ na faktuře je označen jako Gross (KGS), ale je to pouze přepočet Net (lbs) → kg (faktor 0,4536).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2">
        <f>== ZÁSILKA ===</f>
        <v/>
      </c>
    </row>
    <row r="2">
      <c r="A2" t="inlineStr">
        <is>
          <t>Klient: NSN Cosmetics Ltd / NSN Cosmetic s.r.o., Plovdivská 3266/2, 143 00 Praha 4 – Modřany</t>
        </is>
      </c>
    </row>
    <row r="3">
      <c r="A3" t="inlineStr">
        <is>
          <t>Shipper: CALI CHEM INC. dba BeBeauty, 14271 Corporate Dr. #B, Garden Grove, CA 92843, USA</t>
        </is>
      </c>
    </row>
    <row r="4">
      <c r="A4" t="inlineStr">
        <is>
          <t>Kontejner: OOCU9479533 / pečeť 11912515 / 40HQ, 65 CBM, FCL/FCL</t>
        </is>
      </c>
    </row>
    <row r="5">
      <c r="A5" t="inlineStr">
        <is>
          <t>Plavidlo: CMA CGM BLUE WHALE V. 060E, POL Los Angeles (ETD 6.–7.6.2026), POD Hamburg (ETA 15.–16.7.2026)</t>
        </is>
      </c>
    </row>
    <row r="6">
      <c r="A6" t="inlineStr">
        <is>
          <t>HBL: EHAM-W26JUN504 (WIN CARGO USA), MBL: LAXHAM6160504V (Vanguard), D/O OOCL: OOLU2327917280</t>
        </is>
      </c>
    </row>
    <row r="7">
      <c r="A7" t="inlineStr">
        <is>
          <t>Doručení: NSN Cosmetic s.r.o, Komoranská 63, 143 00 Praha 4 – Modřany (8:00–17:00, tran the thoai, tel. 723 441 209); na vykládce VZV</t>
        </is>
      </c>
    </row>
    <row r="8">
      <c r="A8" t="inlineStr">
        <is>
          <t>Režim dle instrukcí: JSD (volný oběh), vyclení na adrese Plovdivská 3266/2</t>
        </is>
      </c>
    </row>
    <row r="9">
      <c r="A9" t="inlineStr">
        <is>
          <t>Vrácení prázdného kontejneru: Metrans, Podleská 926, Praha; free time 3 kal. dny (storage) / 14 prac. dnů (devanning)</t>
        </is>
      </c>
    </row>
    <row r="10">
      <c r="A10" t="inlineStr"/>
    </row>
    <row r="11">
      <c r="A11" s="12">
        <f>== PŘIJATÉ DOKUMENTY (stav 13.7.2026) ===</f>
        <v/>
      </c>
    </row>
    <row r="12">
      <c r="A12" t="inlineStr">
        <is>
          <t>✓ Obchodní faktura / packing list Cali Chem č. 952626 z 29.5.2026 – 10 položek, 23 800,00 USD, COO USA</t>
        </is>
      </c>
    </row>
    <row r="13">
      <c r="A13" t="inlineStr">
        <is>
          <t>✓ HBL EHAM-W26JUN504 (WIN CARGO USA, 3 originály, shipped on board 7.6.2026)</t>
        </is>
      </c>
    </row>
    <row r="14">
      <c r="A14" t="inlineStr">
        <is>
          <t>✓ MBL LAXHAM6160504V (Vanguard Logistics, express release, non-negotiable copy)</t>
        </is>
      </c>
    </row>
    <row r="15">
      <c r="A15" t="inlineStr">
        <is>
          <t>✓ Delivery Order OOCL OOLU2327917280 (vyst. 9.7.2026), ATB: ATB1505238807202648510001</t>
        </is>
      </c>
    </row>
    <row r="16">
      <c r="A16" t="inlineStr">
        <is>
          <t>✓ Freight faktura WIN CARGO USA EHAM-W26JUN504 z 11.6.2026: ocean freight 3 700 USD + ENS 95 USD + bank fee 30 USD = 3 825 USD</t>
        </is>
      </c>
    </row>
    <row r="17">
      <c r="A17" t="inlineStr">
        <is>
          <t>✓ Instrukce k celnímu odbavení (INSTRUKCE_usa1.xlsx) – české popisy položek, hodnota 23 800 USD, JSD</t>
        </is>
      </c>
    </row>
    <row r="18">
      <c r="A18" t="inlineStr"/>
    </row>
    <row r="19">
      <c r="A19" s="12">
        <f>== SAZEBNÍ ZAŘAZENÍ – ROZHODNUTÍ (13.7.2026) ===</f>
        <v/>
      </c>
    </row>
    <row r="20">
      <c r="A20" t="inlineStr">
        <is>
          <t>Shipper deklaroval všech 10 položek pod 3304.30.00.00 (přípravky pro manikúru nebo pedikúru).</t>
        </is>
      </c>
    </row>
    <row r="21">
      <c r="A21" t="inlineStr">
        <is>
          <t>Po kontrole TARIC rozděleno na 3 kódy (US export kód není pro dovoz do EU závazný):</t>
        </is>
      </c>
    </row>
    <row r="22">
      <c r="A22" t="inlineStr">
        <is>
          <t xml:space="preserve">  • 3304 99 00 00 – peelingy, gely, krémy na nohy (péče o pokožku, ne o nehty) … clo 0 %</t>
        </is>
      </c>
    </row>
    <row r="23">
      <c r="A23" t="inlineStr">
        <is>
          <t xml:space="preserve">  • 3307 30 00 00 – Spa Salt = sůl do koupele, jmenovitě uvedena v 3307 30 … clo 6,5 % (≈ 300 USD z 4 625,82 USD)</t>
        </is>
      </c>
    </row>
    <row r="24">
      <c r="A24" t="inlineStr">
        <is>
          <t xml:space="preserve">  • 3401 30 00 00 – tekuté mýdlo na ruce, vzorek 1 ks … clo 4 % (z 5,32 USD, zanedbatelné)</t>
        </is>
      </c>
    </row>
    <row r="25">
      <c r="A25" t="inlineStr">
        <is>
          <t>Sazby ověřit v TARIC při podání JSD. U soli by definitivu dalo složení / product datasheet, příp. ZISZ (BTI).</t>
        </is>
      </c>
    </row>
    <row r="26">
      <c r="A26" t="inlineStr"/>
    </row>
    <row r="27">
      <c r="A27" s="12">
        <f>== ⚠️ PREFERENČNÍ VĚTA – NENÍ ===</f>
        <v/>
      </c>
    </row>
    <row r="28">
      <c r="A28" t="inlineStr">
        <is>
          <t>Žádný dokument neobsahuje preferenční větu (prohlášení o preferenčním původu).</t>
        </is>
      </c>
    </row>
    <row r="29">
      <c r="A29" t="inlineStr">
        <is>
          <t>Původ zboží: USA. EU nemá s USA preferenční obchodní dohodu → preferenci nelze uplatnit a věta se ani nevyžaduje.</t>
        </is>
      </c>
    </row>
    <row r="30">
      <c r="A30" t="inlineStr">
        <is>
          <t>Platí smluvní sazby třetí země (viz výše). DPH 21 %.</t>
        </is>
      </c>
    </row>
    <row r="31">
      <c r="A31" t="inlineStr"/>
    </row>
    <row r="32">
      <c r="A32" s="12">
        <f>== ⚠️ NESROVNALOSTI K VYJASNĚNÍ ===</f>
        <v/>
      </c>
    </row>
    <row r="33">
      <c r="A33" t="inlineStr">
        <is>
          <t>1) POČET KUSŮ: faktura 1 015 ks vs. HBL/MBL/D/O 1 032 ks (SLAC). Rozdíl 17 ks – vyjasnit se shipperem/forwarderem.</t>
        </is>
      </c>
    </row>
    <row r="34">
      <c r="A34" t="inlineStr">
        <is>
          <t>2) HMOTNOSTI: faktura Net 44 000 lbs = 19 958,06 kg; sloupec Gross (KGS) 19 958 kg je jen přepočet lbs→kg (není to skutečná GW).</t>
        </is>
      </c>
    </row>
    <row r="35">
      <c r="A35" t="inlineStr">
        <is>
          <t xml:space="preserve">   B/L gross 19 935 kg &lt; „net“ 19 958 kg → fyzicky nemožné. Skutečná NET hmotnost chybí – vyžádat od shippera.</t>
        </is>
      </c>
    </row>
    <row r="36">
      <c r="A36" t="inlineStr">
        <is>
          <t xml:space="preserve">   Pro JSD zatím: GW 19 935 kg (dle B/L), rozdělena proporcionálně dle NET; NW nutno doložit.</t>
        </is>
      </c>
    </row>
    <row r="37">
      <c r="A37" t="inlineStr">
        <is>
          <t>3) INCOTERM: na faktuře není uveden; B/L „Freight Prepaid“. Ocean freight 3 700 USD hradí shipper → pro celní hodnotu</t>
        </is>
      </c>
    </row>
    <row r="38">
      <c r="A38" t="inlineStr">
        <is>
          <t xml:space="preserve">   ověřit dodací podmínku (při CFR/CIF je přeprava již v ceně; při FOB/EXW nutno přičíst přepravu k celní hodnotě).</t>
        </is>
      </c>
    </row>
    <row r="39">
      <c r="A39" t="inlineStr"/>
    </row>
    <row r="40">
      <c r="A40" s="12">
        <f>== CBAM / ANTIDUMPING ===</f>
        <v/>
      </c>
    </row>
    <row r="41">
      <c r="A41" t="inlineStr">
        <is>
          <t>CBAM: nevztahuje se (kosmetické přípravky, mýdlo).</t>
        </is>
      </c>
    </row>
    <row r="42">
      <c r="A42" t="inlineStr">
        <is>
          <t>Antidumping: nevztahuje se (kap. 33/34, původ USA).</t>
        </is>
      </c>
    </row>
    <row r="43">
      <c r="A43" t="inlineStr"/>
    </row>
    <row r="44">
      <c r="A44" s="12">
        <f>== SLEVA ===</f>
        <v/>
      </c>
    </row>
    <row r="45">
      <c r="A45" t="inlineStr">
        <is>
          <t>Žádná obchodní sleva na faktuře – celní hodnota bez úprav: 23 800,00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2026-07-13T08:42:13Z</dcterms:created>
  <dcterms:modified xsi:type="dcterms:W3CDTF">2026-07-13T08:42:13Z</dcterms:modified>
</cp:coreProperties>
</file>